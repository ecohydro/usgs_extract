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Sheet1!$A$1:$E$121</definedName>
  </definedNames>
  <calcPr/>
</workbook>
</file>

<file path=xl/sharedStrings.xml><?xml version="1.0" encoding="utf-8"?>
<sst xmlns="http://schemas.openxmlformats.org/spreadsheetml/2006/main" count="173" uniqueCount="31">
  <si>
    <t>ID</t>
  </si>
  <si>
    <t>PAGE</t>
  </si>
  <si>
    <t>Water Type</t>
  </si>
  <si>
    <t>Notes</t>
  </si>
  <si>
    <t>ID_PAGE</t>
  </si>
  <si>
    <t>Discharge</t>
  </si>
  <si>
    <t>Water categories count</t>
  </si>
  <si>
    <t>Groundwater</t>
  </si>
  <si>
    <t>Precipitation</t>
  </si>
  <si>
    <t>Springs</t>
  </si>
  <si>
    <t>Irrigation</t>
  </si>
  <si>
    <t>Water quality</t>
  </si>
  <si>
    <t>Reservoir</t>
  </si>
  <si>
    <t>Recharge</t>
  </si>
  <si>
    <t>Non-water data</t>
  </si>
  <si>
    <t>Total pages</t>
  </si>
  <si>
    <t>Also chemical analyses (of the springs)</t>
  </si>
  <si>
    <t>Also springs (chemical analysis of spring water)</t>
  </si>
  <si>
    <t>Thermo data</t>
  </si>
  <si>
    <t>Strat column</t>
  </si>
  <si>
    <t>Mineral compositions</t>
  </si>
  <si>
    <t>Chemical analyses minerals soils</t>
  </si>
  <si>
    <t>Conversion units for sediment</t>
  </si>
  <si>
    <t>Gold values</t>
  </si>
  <si>
    <t>Lithological water bearing units ('water' as a term is in this doc)</t>
  </si>
  <si>
    <t xml:space="preserve">Lithological data </t>
  </si>
  <si>
    <t>Sediment particle sizes</t>
  </si>
  <si>
    <t>River silt thickness</t>
  </si>
  <si>
    <t>Lunar rocks</t>
  </si>
  <si>
    <t>Lunar basins</t>
  </si>
  <si>
    <t>Landforms in creek basin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</si>
</sst>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3" fillId="0" fontId="2" numFmtId="0" xfId="0" applyAlignment="1" applyBorder="1" applyFont="1">
      <alignment readingOrder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15.0</v>
      </c>
      <c r="B2" s="3">
        <v>144.0</v>
      </c>
      <c r="C2" s="2" t="s">
        <v>5</v>
      </c>
      <c r="D2" s="2"/>
      <c r="E2" s="2" t="str">
        <f t="shared" ref="E2:E200" si="1">IF(B2&gt;0, CONCATENATE(A2,"_",B2), "")</f>
        <v>15_144</v>
      </c>
      <c r="F2" s="4" t="s">
        <v>6</v>
      </c>
      <c r="G2" s="5"/>
      <c r="H2" s="2"/>
      <c r="I2" s="2" t="str">
        <f>TEXTJOIN(", ", TRUE, E2:E136)</f>
        <v>15_144, 15_206, 15_392, 15_181, 43_29, 43_10, 43_43, 194_199, 194_151, 251_203, 251_34, 251_410, 251_202, 366_195, 1061_18, 1072_314, 1084_227, 1084_123, 1084_193, 1084_240, 1084_122, 1109_76, 1109_43, 1110_20, 1110_21, 1110_23, 1110_130, 1128_26, 1128_17, 1137_46, 1137_42, 1137_43, 1166_50, 1257_127, 1257_63, 1258_106, 1258_124, 1258_80, 1258_72, 1258_121, 1258_109, 1258_119, 1258_114, 1258_123, 1258_104, 1298_11, 1312_178, 1325_8, 1326_34, 1326_56, 1326_66, 1328_17, 1337_22, 1337_57, 1337_66, 1422_48, 1520_267, 1532_172, 1568_35, 1572_24, 1572_25, 1606_127, 1751_39, 1752_88, 2040_25, 2040_9, 2040_11, 2057_12, 2057_13, 2060_79, 2060_287, 2060_57, 2060_333, 2060_413, 2060_75, 2060_444, 2063_140, 2063_228, 2063_246, 2063_137, 2063_125, 2131_16, 2131_89, 2132_21, 2132_41, 2133_90, 2133_72, 2187_17, 2187_87, 2187_92, 2188_15, 2188_63, 2188_18, 2188_105, 2188_69, 2188_41, 2188_19, 2188_20, 2188_95, 2188_88, 2245_64, 2246_450, 2294_93, 2888_36, 2888_274, 2888_295, 2888_326, 2888_392, 2888_393, 2888_394, 2888_377, 3153_83, 3153_120, 52651_27, 52651_34, 52651_43, 53419_22, 53419_38, 53419_40, 53419_51, 28370_10, 28370_16, 4015_20, 38998_26, 38998_30, 70038405_19, 6506_26, 6506_30, 9800_15, 53456_42, 70210573_36, 70232242_35, 70232242_56, 70232242_50, 9347_22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15.0</v>
      </c>
      <c r="B3" s="3">
        <v>206.0</v>
      </c>
      <c r="C3" s="2" t="s">
        <v>5</v>
      </c>
      <c r="D3" s="2"/>
      <c r="E3" s="2" t="str">
        <f t="shared" si="1"/>
        <v>15_206</v>
      </c>
      <c r="F3" s="6" t="s">
        <v>7</v>
      </c>
      <c r="G3" s="7">
        <f t="shared" ref="G3:G11" si="2">COUNTIF(C:C, F3)</f>
        <v>15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15.0</v>
      </c>
      <c r="B4" s="3">
        <v>392.0</v>
      </c>
      <c r="C4" s="2" t="s">
        <v>5</v>
      </c>
      <c r="D4" s="2"/>
      <c r="E4" s="2" t="str">
        <f t="shared" si="1"/>
        <v>15_392</v>
      </c>
      <c r="F4" s="6" t="s">
        <v>5</v>
      </c>
      <c r="G4" s="7">
        <f t="shared" si="2"/>
        <v>16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15.0</v>
      </c>
      <c r="B5" s="3">
        <v>181.0</v>
      </c>
      <c r="C5" s="2" t="s">
        <v>5</v>
      </c>
      <c r="D5" s="2"/>
      <c r="E5" s="2" t="str">
        <f t="shared" si="1"/>
        <v>15_181</v>
      </c>
      <c r="F5" s="6" t="s">
        <v>8</v>
      </c>
      <c r="G5" s="7">
        <f t="shared" si="2"/>
        <v>16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43.0</v>
      </c>
      <c r="B6" s="3">
        <v>29.0</v>
      </c>
      <c r="C6" s="2" t="s">
        <v>5</v>
      </c>
      <c r="D6" s="2"/>
      <c r="E6" s="2" t="str">
        <f t="shared" si="1"/>
        <v>43_29</v>
      </c>
      <c r="F6" s="6" t="s">
        <v>9</v>
      </c>
      <c r="G6" s="7">
        <f t="shared" si="2"/>
        <v>15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43.0</v>
      </c>
      <c r="B7" s="3">
        <v>10.0</v>
      </c>
      <c r="C7" s="2" t="s">
        <v>5</v>
      </c>
      <c r="D7" s="2"/>
      <c r="E7" s="2" t="str">
        <f t="shared" si="1"/>
        <v>43_10</v>
      </c>
      <c r="F7" s="6" t="s">
        <v>10</v>
      </c>
      <c r="G7" s="7">
        <f t="shared" si="2"/>
        <v>15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43.0</v>
      </c>
      <c r="B8" s="3">
        <v>43.0</v>
      </c>
      <c r="C8" s="2" t="s">
        <v>5</v>
      </c>
      <c r="D8" s="2"/>
      <c r="E8" s="2" t="str">
        <f t="shared" si="1"/>
        <v>43_43</v>
      </c>
      <c r="F8" s="8" t="s">
        <v>11</v>
      </c>
      <c r="G8" s="7">
        <f t="shared" si="2"/>
        <v>15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194.0</v>
      </c>
      <c r="B9" s="3">
        <v>199.0</v>
      </c>
      <c r="C9" s="9" t="s">
        <v>11</v>
      </c>
      <c r="D9" s="2"/>
      <c r="E9" s="2" t="str">
        <f t="shared" si="1"/>
        <v>194_199</v>
      </c>
      <c r="F9" s="6" t="s">
        <v>12</v>
      </c>
      <c r="G9" s="7">
        <f t="shared" si="2"/>
        <v>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194.0</v>
      </c>
      <c r="B10" s="3">
        <v>151.0</v>
      </c>
      <c r="C10" s="9" t="s">
        <v>11</v>
      </c>
      <c r="D10" s="2"/>
      <c r="E10" s="2" t="str">
        <f t="shared" si="1"/>
        <v>194_151</v>
      </c>
      <c r="F10" s="6" t="s">
        <v>13</v>
      </c>
      <c r="G10" s="7">
        <f t="shared" si="2"/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251.0</v>
      </c>
      <c r="B11" s="3">
        <v>203.0</v>
      </c>
      <c r="C11" s="2" t="s">
        <v>12</v>
      </c>
      <c r="D11" s="2"/>
      <c r="E11" s="2" t="str">
        <f t="shared" si="1"/>
        <v>251_203</v>
      </c>
      <c r="F11" s="10" t="s">
        <v>14</v>
      </c>
      <c r="G11" s="7">
        <f t="shared" si="2"/>
        <v>15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251.0</v>
      </c>
      <c r="B12" s="3">
        <v>34.0</v>
      </c>
      <c r="C12" s="2" t="s">
        <v>5</v>
      </c>
      <c r="D12" s="2"/>
      <c r="E12" s="2" t="str">
        <f t="shared" si="1"/>
        <v>251_34</v>
      </c>
      <c r="F12" s="11" t="s">
        <v>15</v>
      </c>
      <c r="G12" s="12">
        <f>SUM(G3:G11)</f>
        <v>135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251.0</v>
      </c>
      <c r="B13" s="3">
        <v>410.0</v>
      </c>
      <c r="C13" s="2" t="s">
        <v>5</v>
      </c>
      <c r="D13" s="2"/>
      <c r="E13" s="2" t="str">
        <f t="shared" si="1"/>
        <v>251_410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251.0</v>
      </c>
      <c r="B14" s="3">
        <v>202.0</v>
      </c>
      <c r="C14" s="2" t="s">
        <v>5</v>
      </c>
      <c r="D14" s="2"/>
      <c r="E14" s="2" t="str">
        <f t="shared" si="1"/>
        <v>251_202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366.0</v>
      </c>
      <c r="B15" s="3">
        <v>195.0</v>
      </c>
      <c r="C15" s="2" t="s">
        <v>12</v>
      </c>
      <c r="D15" s="2"/>
      <c r="E15" s="2" t="str">
        <f t="shared" si="1"/>
        <v>366_195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1061.0</v>
      </c>
      <c r="B16" s="3">
        <v>18.0</v>
      </c>
      <c r="C16" s="2" t="s">
        <v>8</v>
      </c>
      <c r="D16" s="2"/>
      <c r="E16" s="2" t="str">
        <f t="shared" si="1"/>
        <v>1061_18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1072.0</v>
      </c>
      <c r="B17" s="3">
        <v>314.0</v>
      </c>
      <c r="C17" s="9" t="s">
        <v>11</v>
      </c>
      <c r="D17" s="2"/>
      <c r="E17" s="2" t="str">
        <f t="shared" si="1"/>
        <v>1072_314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1084.0</v>
      </c>
      <c r="B18" s="3">
        <v>227.0</v>
      </c>
      <c r="C18" s="9" t="s">
        <v>11</v>
      </c>
      <c r="D18" s="2"/>
      <c r="E18" s="2" t="str">
        <f t="shared" si="1"/>
        <v>1084_227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1084.0</v>
      </c>
      <c r="B19" s="3">
        <v>123.0</v>
      </c>
      <c r="C19" s="9" t="s">
        <v>11</v>
      </c>
      <c r="D19" s="2"/>
      <c r="E19" s="2" t="str">
        <f t="shared" si="1"/>
        <v>1084_123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1084.0</v>
      </c>
      <c r="B20" s="3">
        <v>193.0</v>
      </c>
      <c r="C20" s="9" t="s">
        <v>11</v>
      </c>
      <c r="D20" s="2"/>
      <c r="E20" s="2" t="str">
        <f t="shared" si="1"/>
        <v>1084_193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1084.0</v>
      </c>
      <c r="B21" s="3">
        <v>240.0</v>
      </c>
      <c r="C21" s="2" t="s">
        <v>10</v>
      </c>
      <c r="D21" s="2"/>
      <c r="E21" s="2" t="str">
        <f t="shared" si="1"/>
        <v>1084_240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1084.0</v>
      </c>
      <c r="B22" s="3">
        <v>122.0</v>
      </c>
      <c r="C22" s="2" t="s">
        <v>10</v>
      </c>
      <c r="D22" s="2"/>
      <c r="E22" s="2" t="str">
        <f t="shared" si="1"/>
        <v>1084_122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1109.0</v>
      </c>
      <c r="B23" s="3">
        <v>76.0</v>
      </c>
      <c r="C23" s="2" t="s">
        <v>10</v>
      </c>
      <c r="D23" s="2"/>
      <c r="E23" s="2" t="str">
        <f t="shared" si="1"/>
        <v>1109_76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1109.0</v>
      </c>
      <c r="B24" s="3">
        <v>43.0</v>
      </c>
      <c r="C24" s="2" t="s">
        <v>10</v>
      </c>
      <c r="D24" s="2"/>
      <c r="E24" s="2" t="str">
        <f t="shared" si="1"/>
        <v>1109_43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1110.0</v>
      </c>
      <c r="B25" s="3">
        <v>20.0</v>
      </c>
      <c r="C25" s="2" t="s">
        <v>8</v>
      </c>
      <c r="D25" s="2"/>
      <c r="E25" s="2" t="str">
        <f t="shared" si="1"/>
        <v>1110_20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1110.0</v>
      </c>
      <c r="B26" s="3">
        <v>21.0</v>
      </c>
      <c r="C26" s="2" t="s">
        <v>8</v>
      </c>
      <c r="D26" s="2"/>
      <c r="E26" s="2" t="str">
        <f t="shared" si="1"/>
        <v>1110_21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1110.0</v>
      </c>
      <c r="B27" s="3">
        <v>23.0</v>
      </c>
      <c r="C27" s="2" t="s">
        <v>8</v>
      </c>
      <c r="D27" s="2"/>
      <c r="E27" s="2" t="str">
        <f t="shared" si="1"/>
        <v>1110_23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1110.0</v>
      </c>
      <c r="B28" s="3">
        <v>130.0</v>
      </c>
      <c r="C28" s="2" t="s">
        <v>10</v>
      </c>
      <c r="D28" s="2"/>
      <c r="E28" s="2" t="str">
        <f t="shared" si="1"/>
        <v>1110_130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1128.0</v>
      </c>
      <c r="B29" s="3">
        <v>26.0</v>
      </c>
      <c r="C29" s="2" t="s">
        <v>10</v>
      </c>
      <c r="D29" s="2"/>
      <c r="E29" s="2" t="str">
        <f t="shared" si="1"/>
        <v>1128_26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1128.0</v>
      </c>
      <c r="B30" s="3">
        <v>17.0</v>
      </c>
      <c r="C30" s="2" t="s">
        <v>8</v>
      </c>
      <c r="D30" s="2"/>
      <c r="E30" s="2" t="str">
        <f t="shared" si="1"/>
        <v>1128_17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1137.0</v>
      </c>
      <c r="B31" s="3">
        <v>46.0</v>
      </c>
      <c r="C31" s="2" t="s">
        <v>13</v>
      </c>
      <c r="D31" s="2"/>
      <c r="E31" s="2" t="str">
        <f t="shared" si="1"/>
        <v>1137_46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1137.0</v>
      </c>
      <c r="B32" s="3">
        <v>42.0</v>
      </c>
      <c r="C32" s="2" t="s">
        <v>10</v>
      </c>
      <c r="D32" s="2"/>
      <c r="E32" s="2" t="str">
        <f t="shared" si="1"/>
        <v>1137_42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1137.0</v>
      </c>
      <c r="B33" s="3">
        <v>43.0</v>
      </c>
      <c r="C33" s="2" t="s">
        <v>10</v>
      </c>
      <c r="D33" s="2"/>
      <c r="E33" s="2" t="str">
        <f t="shared" si="1"/>
        <v>1137_43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1166.0</v>
      </c>
      <c r="B34" s="3">
        <v>50.0</v>
      </c>
      <c r="C34" s="2" t="s">
        <v>12</v>
      </c>
      <c r="D34" s="2"/>
      <c r="E34" s="2" t="str">
        <f t="shared" si="1"/>
        <v>1166_50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1257.0</v>
      </c>
      <c r="B35" s="3">
        <v>127.0</v>
      </c>
      <c r="C35" s="2" t="s">
        <v>10</v>
      </c>
      <c r="D35" s="2"/>
      <c r="E35" s="2" t="str">
        <f t="shared" si="1"/>
        <v>1257_127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1257.0</v>
      </c>
      <c r="B36" s="3">
        <v>63.0</v>
      </c>
      <c r="C36" s="2" t="s">
        <v>10</v>
      </c>
      <c r="D36" s="2"/>
      <c r="E36" s="2" t="str">
        <f t="shared" si="1"/>
        <v>1257_63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1258.0</v>
      </c>
      <c r="B37" s="3">
        <v>106.0</v>
      </c>
      <c r="C37" s="2" t="s">
        <v>13</v>
      </c>
      <c r="D37" s="2"/>
      <c r="E37" s="2" t="str">
        <f t="shared" si="1"/>
        <v>1258_106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1258.0</v>
      </c>
      <c r="B38" s="3">
        <v>124.0</v>
      </c>
      <c r="C38" s="2" t="s">
        <v>13</v>
      </c>
      <c r="D38" s="2"/>
      <c r="E38" s="2" t="str">
        <f t="shared" si="1"/>
        <v>1258_124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1258.0</v>
      </c>
      <c r="B39" s="3">
        <v>80.0</v>
      </c>
      <c r="C39" s="2" t="s">
        <v>13</v>
      </c>
      <c r="D39" s="2"/>
      <c r="E39" s="2" t="str">
        <f t="shared" si="1"/>
        <v>1258_80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1258.0</v>
      </c>
      <c r="B40" s="3">
        <v>72.0</v>
      </c>
      <c r="C40" s="2" t="s">
        <v>13</v>
      </c>
      <c r="D40" s="2"/>
      <c r="E40" s="2" t="str">
        <f t="shared" si="1"/>
        <v>1258_72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1258.0</v>
      </c>
      <c r="B41" s="3">
        <v>121.0</v>
      </c>
      <c r="C41" s="2" t="s">
        <v>13</v>
      </c>
      <c r="D41" s="2"/>
      <c r="E41" s="2" t="str">
        <f t="shared" si="1"/>
        <v>1258_121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1258.0</v>
      </c>
      <c r="B42" s="3">
        <v>109.0</v>
      </c>
      <c r="C42" s="2" t="s">
        <v>13</v>
      </c>
      <c r="D42" s="2"/>
      <c r="E42" s="2" t="str">
        <f t="shared" si="1"/>
        <v>1258_109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1258.0</v>
      </c>
      <c r="B43" s="3">
        <v>119.0</v>
      </c>
      <c r="C43" s="2" t="s">
        <v>13</v>
      </c>
      <c r="D43" s="2"/>
      <c r="E43" s="2" t="str">
        <f t="shared" si="1"/>
        <v>1258_119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1258.0</v>
      </c>
      <c r="B44" s="3">
        <v>114.0</v>
      </c>
      <c r="C44" s="2" t="s">
        <v>13</v>
      </c>
      <c r="D44" s="2"/>
      <c r="E44" s="2" t="str">
        <f t="shared" si="1"/>
        <v>1258_114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1258.0</v>
      </c>
      <c r="B45" s="3">
        <v>123.0</v>
      </c>
      <c r="C45" s="2" t="s">
        <v>10</v>
      </c>
      <c r="D45" s="2"/>
      <c r="E45" s="2" t="str">
        <f t="shared" si="1"/>
        <v>1258_123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1258.0</v>
      </c>
      <c r="B46" s="3">
        <v>104.0</v>
      </c>
      <c r="C46" s="2" t="s">
        <v>10</v>
      </c>
      <c r="D46" s="2"/>
      <c r="E46" s="2" t="str">
        <f t="shared" si="1"/>
        <v>1258_104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1298.0</v>
      </c>
      <c r="B47" s="3">
        <v>11.0</v>
      </c>
      <c r="C47" s="2" t="s">
        <v>8</v>
      </c>
      <c r="D47" s="2"/>
      <c r="E47" s="2" t="str">
        <f t="shared" si="1"/>
        <v>1298_11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1312.0</v>
      </c>
      <c r="B48" s="3">
        <v>178.0</v>
      </c>
      <c r="C48" s="2" t="s">
        <v>13</v>
      </c>
      <c r="D48" s="2"/>
      <c r="E48" s="2" t="str">
        <f t="shared" si="1"/>
        <v>1312_178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1325.0</v>
      </c>
      <c r="B49" s="3">
        <v>8.0</v>
      </c>
      <c r="C49" s="2" t="s">
        <v>8</v>
      </c>
      <c r="D49" s="2"/>
      <c r="E49" s="2" t="str">
        <f t="shared" si="1"/>
        <v>1325_8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1326.0</v>
      </c>
      <c r="B50" s="3">
        <v>34.0</v>
      </c>
      <c r="C50" s="2" t="s">
        <v>10</v>
      </c>
      <c r="D50" s="2"/>
      <c r="E50" s="2" t="str">
        <f t="shared" si="1"/>
        <v>1326_34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1326.0</v>
      </c>
      <c r="B51" s="3">
        <v>56.0</v>
      </c>
      <c r="C51" s="2" t="s">
        <v>10</v>
      </c>
      <c r="D51" s="2"/>
      <c r="E51" s="2" t="str">
        <f t="shared" si="1"/>
        <v>1326_56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1326.0</v>
      </c>
      <c r="B52" s="3">
        <v>66.0</v>
      </c>
      <c r="C52" s="2" t="s">
        <v>10</v>
      </c>
      <c r="D52" s="2"/>
      <c r="E52" s="2" t="str">
        <f t="shared" si="1"/>
        <v>1326_66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1328.0</v>
      </c>
      <c r="B53" s="3">
        <v>17.0</v>
      </c>
      <c r="C53" s="9" t="s">
        <v>11</v>
      </c>
      <c r="D53" s="2"/>
      <c r="E53" s="2" t="str">
        <f t="shared" si="1"/>
        <v>1328_17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1337.0</v>
      </c>
      <c r="B54" s="3">
        <v>22.0</v>
      </c>
      <c r="C54" s="9" t="s">
        <v>11</v>
      </c>
      <c r="D54" s="2"/>
      <c r="E54" s="2" t="str">
        <f t="shared" si="1"/>
        <v>1337_22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1337.0</v>
      </c>
      <c r="B55" s="3">
        <v>57.0</v>
      </c>
      <c r="C55" s="9" t="s">
        <v>11</v>
      </c>
      <c r="D55" s="2"/>
      <c r="E55" s="2" t="str">
        <f t="shared" si="1"/>
        <v>1337_57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1337.0</v>
      </c>
      <c r="B56" s="3">
        <v>66.0</v>
      </c>
      <c r="C56" s="9" t="s">
        <v>11</v>
      </c>
      <c r="D56" s="2"/>
      <c r="E56" s="2" t="str">
        <f t="shared" si="1"/>
        <v>1337_66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1422.0</v>
      </c>
      <c r="B57" s="3">
        <v>48.0</v>
      </c>
      <c r="C57" s="9" t="s">
        <v>11</v>
      </c>
      <c r="D57" s="2"/>
      <c r="E57" s="2" t="str">
        <f t="shared" si="1"/>
        <v>1422_48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1520.0</v>
      </c>
      <c r="B58" s="3">
        <v>267.0</v>
      </c>
      <c r="C58" s="2" t="s">
        <v>12</v>
      </c>
      <c r="D58" s="2"/>
      <c r="E58" s="2" t="str">
        <f t="shared" si="1"/>
        <v>1520_267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1532.0</v>
      </c>
      <c r="B59" s="3">
        <v>172.0</v>
      </c>
      <c r="C59" s="2" t="s">
        <v>12</v>
      </c>
      <c r="D59" s="2"/>
      <c r="E59" s="2" t="str">
        <f t="shared" si="1"/>
        <v>1532_172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1568.0</v>
      </c>
      <c r="B60" s="3">
        <v>35.0</v>
      </c>
      <c r="C60" s="2" t="s">
        <v>13</v>
      </c>
      <c r="D60" s="2"/>
      <c r="E60" s="2" t="str">
        <f t="shared" si="1"/>
        <v>1568_35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1572.0</v>
      </c>
      <c r="B61" s="3">
        <v>24.0</v>
      </c>
      <c r="C61" s="2" t="s">
        <v>13</v>
      </c>
      <c r="D61" s="2"/>
      <c r="E61" s="2" t="str">
        <f t="shared" si="1"/>
        <v>1572_24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1572.0</v>
      </c>
      <c r="B62" s="3">
        <v>25.0</v>
      </c>
      <c r="C62" s="2" t="s">
        <v>13</v>
      </c>
      <c r="D62" s="2"/>
      <c r="E62" s="2" t="str">
        <f t="shared" si="1"/>
        <v>1572_25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1606.0</v>
      </c>
      <c r="B63" s="3">
        <v>127.0</v>
      </c>
      <c r="C63" s="2" t="s">
        <v>5</v>
      </c>
      <c r="D63" s="2"/>
      <c r="E63" s="2" t="str">
        <f t="shared" si="1"/>
        <v>1606_127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1751.0</v>
      </c>
      <c r="B64" s="13">
        <v>39.0</v>
      </c>
      <c r="C64" s="1" t="s">
        <v>5</v>
      </c>
      <c r="D64" s="2"/>
      <c r="E64" s="2" t="str">
        <f t="shared" si="1"/>
        <v>1751_39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1752.0</v>
      </c>
      <c r="B65" s="13">
        <v>88.0</v>
      </c>
      <c r="C65" s="1" t="s">
        <v>5</v>
      </c>
      <c r="D65" s="2"/>
      <c r="E65" s="2" t="str">
        <f t="shared" si="1"/>
        <v>1752_88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2040.0</v>
      </c>
      <c r="B66" s="3">
        <v>25.0</v>
      </c>
      <c r="C66" s="9" t="s">
        <v>11</v>
      </c>
      <c r="D66" s="2"/>
      <c r="E66" s="2" t="str">
        <f t="shared" si="1"/>
        <v>2040_25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2040.0</v>
      </c>
      <c r="B67" s="3">
        <v>9.0</v>
      </c>
      <c r="C67" s="2" t="s">
        <v>8</v>
      </c>
      <c r="D67" s="2"/>
      <c r="E67" s="2" t="str">
        <f t="shared" si="1"/>
        <v>2040_9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2040.0</v>
      </c>
      <c r="B68" s="3">
        <v>11.0</v>
      </c>
      <c r="C68" s="2" t="s">
        <v>12</v>
      </c>
      <c r="D68" s="2"/>
      <c r="E68" s="2" t="str">
        <f t="shared" si="1"/>
        <v>2040_11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2057.0</v>
      </c>
      <c r="B69" s="3">
        <v>12.0</v>
      </c>
      <c r="C69" s="2" t="s">
        <v>8</v>
      </c>
      <c r="D69" s="2"/>
      <c r="E69" s="2" t="str">
        <f t="shared" si="1"/>
        <v>2057_12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2057.0</v>
      </c>
      <c r="B70" s="3">
        <v>13.0</v>
      </c>
      <c r="C70" s="2" t="s">
        <v>8</v>
      </c>
      <c r="D70" s="2"/>
      <c r="E70" s="2" t="str">
        <f t="shared" si="1"/>
        <v>2057_13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2060.0</v>
      </c>
      <c r="B71" s="3">
        <v>79.0</v>
      </c>
      <c r="C71" s="2" t="s">
        <v>7</v>
      </c>
      <c r="D71" s="2"/>
      <c r="E71" s="2" t="str">
        <f t="shared" si="1"/>
        <v>2060_79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2060.0</v>
      </c>
      <c r="B72" s="3">
        <v>287.0</v>
      </c>
      <c r="C72" s="2" t="s">
        <v>7</v>
      </c>
      <c r="D72" s="2"/>
      <c r="E72" s="2" t="str">
        <f t="shared" si="1"/>
        <v>2060_287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2060.0</v>
      </c>
      <c r="B73" s="3">
        <v>57.0</v>
      </c>
      <c r="C73" s="2" t="s">
        <v>7</v>
      </c>
      <c r="D73" s="2"/>
      <c r="E73" s="2" t="str">
        <f t="shared" si="1"/>
        <v>2060_57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2060.0</v>
      </c>
      <c r="B74" s="3">
        <v>333.0</v>
      </c>
      <c r="C74" s="2" t="s">
        <v>7</v>
      </c>
      <c r="D74" s="2"/>
      <c r="E74" s="2" t="str">
        <f t="shared" si="1"/>
        <v>2060_333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2060.0</v>
      </c>
      <c r="B75" s="3">
        <v>413.0</v>
      </c>
      <c r="C75" s="2" t="s">
        <v>7</v>
      </c>
      <c r="D75" s="2"/>
      <c r="E75" s="2" t="str">
        <f t="shared" si="1"/>
        <v>2060_413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2060.0</v>
      </c>
      <c r="B76" s="3">
        <v>75.0</v>
      </c>
      <c r="C76" s="2" t="s">
        <v>7</v>
      </c>
      <c r="D76" s="2"/>
      <c r="E76" s="2" t="str">
        <f t="shared" si="1"/>
        <v>2060_75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2060.0</v>
      </c>
      <c r="B77" s="3">
        <v>444.0</v>
      </c>
      <c r="C77" s="2" t="s">
        <v>7</v>
      </c>
      <c r="D77" s="2"/>
      <c r="E77" s="2" t="str">
        <f t="shared" si="1"/>
        <v>2060_444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2063.0</v>
      </c>
      <c r="B78" s="3">
        <v>140.0</v>
      </c>
      <c r="C78" s="2" t="s">
        <v>12</v>
      </c>
      <c r="D78" s="2"/>
      <c r="E78" s="2" t="str">
        <f t="shared" si="1"/>
        <v>2063_140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2063.0</v>
      </c>
      <c r="B79" s="3">
        <v>228.0</v>
      </c>
      <c r="C79" s="2" t="s">
        <v>12</v>
      </c>
      <c r="D79" s="2"/>
      <c r="E79" s="2" t="str">
        <f t="shared" si="1"/>
        <v>2063_228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2063.0</v>
      </c>
      <c r="B80" s="3">
        <v>246.0</v>
      </c>
      <c r="C80" s="2" t="s">
        <v>12</v>
      </c>
      <c r="D80" s="2"/>
      <c r="E80" s="2" t="str">
        <f t="shared" si="1"/>
        <v>2063_246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2063.0</v>
      </c>
      <c r="B81" s="3">
        <v>137.0</v>
      </c>
      <c r="C81" s="2" t="s">
        <v>12</v>
      </c>
      <c r="D81" s="2"/>
      <c r="E81" s="2" t="str">
        <f t="shared" si="1"/>
        <v>2063_137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2063.0</v>
      </c>
      <c r="B82" s="3">
        <v>125.0</v>
      </c>
      <c r="C82" s="2" t="s">
        <v>5</v>
      </c>
      <c r="D82" s="2"/>
      <c r="E82" s="2" t="str">
        <f t="shared" si="1"/>
        <v>2063_125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2131.0</v>
      </c>
      <c r="B83" s="3">
        <v>16.0</v>
      </c>
      <c r="C83" s="2" t="s">
        <v>8</v>
      </c>
      <c r="D83" s="2"/>
      <c r="E83" s="2" t="str">
        <f t="shared" si="1"/>
        <v>2131_16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2131.0</v>
      </c>
      <c r="B84" s="3">
        <v>89.0</v>
      </c>
      <c r="C84" s="2" t="s">
        <v>7</v>
      </c>
      <c r="D84" s="2"/>
      <c r="E84" s="2" t="str">
        <f t="shared" si="1"/>
        <v>2131_89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2132.0</v>
      </c>
      <c r="B85" s="3">
        <v>21.0</v>
      </c>
      <c r="C85" s="2" t="s">
        <v>8</v>
      </c>
      <c r="D85" s="2"/>
      <c r="E85" s="2" t="str">
        <f t="shared" si="1"/>
        <v>2132_21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2132.0</v>
      </c>
      <c r="B86" s="3">
        <v>41.0</v>
      </c>
      <c r="C86" s="2" t="s">
        <v>12</v>
      </c>
      <c r="D86" s="2"/>
      <c r="E86" s="2" t="str">
        <f t="shared" si="1"/>
        <v>2132_41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2133.0</v>
      </c>
      <c r="B87" s="3">
        <v>90.0</v>
      </c>
      <c r="C87" s="2" t="s">
        <v>12</v>
      </c>
      <c r="D87" s="2"/>
      <c r="E87" s="2" t="str">
        <f t="shared" si="1"/>
        <v>2133_90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2133.0</v>
      </c>
      <c r="B88" s="3">
        <v>72.0</v>
      </c>
      <c r="C88" s="2" t="s">
        <v>12</v>
      </c>
      <c r="D88" s="2"/>
      <c r="E88" s="2" t="str">
        <f t="shared" si="1"/>
        <v>2133_72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2187.0</v>
      </c>
      <c r="B89" s="3">
        <v>17.0</v>
      </c>
      <c r="C89" s="2" t="s">
        <v>8</v>
      </c>
      <c r="D89" s="2"/>
      <c r="E89" s="2" t="str">
        <f t="shared" si="1"/>
        <v>2187_17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2187.0</v>
      </c>
      <c r="B90" s="3">
        <v>87.0</v>
      </c>
      <c r="C90" s="2" t="s">
        <v>7</v>
      </c>
      <c r="D90" s="2"/>
      <c r="E90" s="2" t="str">
        <f t="shared" si="1"/>
        <v>2187_87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2187.0</v>
      </c>
      <c r="B91" s="3">
        <v>92.0</v>
      </c>
      <c r="C91" s="2" t="s">
        <v>7</v>
      </c>
      <c r="D91" s="2"/>
      <c r="E91" s="2" t="str">
        <f t="shared" si="1"/>
        <v>2187_92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2188.0</v>
      </c>
      <c r="B92" s="13">
        <v>15.0</v>
      </c>
      <c r="C92" s="1" t="s">
        <v>5</v>
      </c>
      <c r="D92" s="2"/>
      <c r="E92" s="2" t="str">
        <f t="shared" si="1"/>
        <v>2188_15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2188.0</v>
      </c>
      <c r="B93" s="13">
        <v>63.0</v>
      </c>
      <c r="C93" s="1" t="s">
        <v>9</v>
      </c>
      <c r="D93" s="2"/>
      <c r="E93" s="2" t="str">
        <f t="shared" si="1"/>
        <v>2188_63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2188.0</v>
      </c>
      <c r="B94" s="13">
        <v>18.0</v>
      </c>
      <c r="C94" s="1" t="s">
        <v>8</v>
      </c>
      <c r="D94" s="2"/>
      <c r="E94" s="2" t="str">
        <f t="shared" si="1"/>
        <v>2188_18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2188.0</v>
      </c>
      <c r="B95" s="13">
        <v>105.0</v>
      </c>
      <c r="C95" s="9" t="s">
        <v>11</v>
      </c>
      <c r="D95" s="2"/>
      <c r="E95" s="2" t="str">
        <f t="shared" si="1"/>
        <v>2188_105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2188.0</v>
      </c>
      <c r="B96" s="13">
        <v>69.0</v>
      </c>
      <c r="C96" s="1" t="s">
        <v>12</v>
      </c>
      <c r="D96" s="2"/>
      <c r="E96" s="2" t="str">
        <f t="shared" si="1"/>
        <v>2188_69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2188.0</v>
      </c>
      <c r="B97" s="13">
        <v>41.0</v>
      </c>
      <c r="C97" s="1" t="s">
        <v>7</v>
      </c>
      <c r="D97" s="2"/>
      <c r="E97" s="2" t="str">
        <f t="shared" si="1"/>
        <v>2188_41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2188.0</v>
      </c>
      <c r="B98" s="3">
        <v>19.0</v>
      </c>
      <c r="C98" s="2" t="s">
        <v>8</v>
      </c>
      <c r="D98" s="2"/>
      <c r="E98" s="2" t="str">
        <f t="shared" si="1"/>
        <v>2188_19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2188.0</v>
      </c>
      <c r="B99" s="3">
        <v>20.0</v>
      </c>
      <c r="C99" s="2" t="s">
        <v>8</v>
      </c>
      <c r="D99" s="2"/>
      <c r="E99" s="2" t="str">
        <f t="shared" si="1"/>
        <v>2188_20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2188.0</v>
      </c>
      <c r="B100" s="3">
        <v>95.0</v>
      </c>
      <c r="C100" s="2" t="s">
        <v>7</v>
      </c>
      <c r="D100" s="2"/>
      <c r="E100" s="2" t="str">
        <f t="shared" si="1"/>
        <v>2188_95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2188.0</v>
      </c>
      <c r="B101" s="3">
        <v>88.0</v>
      </c>
      <c r="C101" s="2" t="s">
        <v>7</v>
      </c>
      <c r="D101" s="2"/>
      <c r="E101" s="2" t="str">
        <f t="shared" si="1"/>
        <v>2188_88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2245.0</v>
      </c>
      <c r="B102" s="3">
        <v>64.0</v>
      </c>
      <c r="C102" s="2" t="s">
        <v>5</v>
      </c>
      <c r="D102" s="2"/>
      <c r="E102" s="2" t="str">
        <f t="shared" si="1"/>
        <v>2245_64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2246.0</v>
      </c>
      <c r="B103" s="3">
        <v>450.0</v>
      </c>
      <c r="C103" s="2" t="s">
        <v>7</v>
      </c>
      <c r="D103" s="2"/>
      <c r="E103" s="2" t="str">
        <f t="shared" si="1"/>
        <v>2246_450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2294.0</v>
      </c>
      <c r="B104" s="3">
        <v>93.0</v>
      </c>
      <c r="C104" s="2" t="s">
        <v>12</v>
      </c>
      <c r="D104" s="2"/>
      <c r="E104" s="2" t="str">
        <f t="shared" si="1"/>
        <v>2294_93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2888.0</v>
      </c>
      <c r="B105" s="3">
        <v>36.0</v>
      </c>
      <c r="C105" s="2" t="s">
        <v>9</v>
      </c>
      <c r="D105" s="2" t="s">
        <v>16</v>
      </c>
      <c r="E105" s="2" t="str">
        <f t="shared" si="1"/>
        <v>2888_36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2888.0</v>
      </c>
      <c r="B106" s="3">
        <v>274.0</v>
      </c>
      <c r="C106" s="2" t="s">
        <v>9</v>
      </c>
      <c r="D106" s="2" t="s">
        <v>16</v>
      </c>
      <c r="E106" s="2" t="str">
        <f t="shared" si="1"/>
        <v>2888_274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2888.0</v>
      </c>
      <c r="B107" s="3">
        <v>295.0</v>
      </c>
      <c r="C107" s="2" t="s">
        <v>9</v>
      </c>
      <c r="D107" s="2" t="s">
        <v>16</v>
      </c>
      <c r="E107" s="2" t="str">
        <f t="shared" si="1"/>
        <v>2888_295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2888.0</v>
      </c>
      <c r="B108" s="3">
        <v>326.0</v>
      </c>
      <c r="C108" s="2" t="s">
        <v>7</v>
      </c>
      <c r="D108" s="2" t="s">
        <v>16</v>
      </c>
      <c r="E108" s="2" t="str">
        <f t="shared" si="1"/>
        <v>2888_326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2888.0</v>
      </c>
      <c r="B109" s="3">
        <v>392.0</v>
      </c>
      <c r="C109" s="2" t="s">
        <v>9</v>
      </c>
      <c r="D109" s="2"/>
      <c r="E109" s="2" t="str">
        <f t="shared" si="1"/>
        <v>2888_392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2888.0</v>
      </c>
      <c r="B110" s="3">
        <v>393.0</v>
      </c>
      <c r="C110" s="2" t="s">
        <v>9</v>
      </c>
      <c r="D110" s="2"/>
      <c r="E110" s="2" t="str">
        <f t="shared" si="1"/>
        <v>2888_393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2888.0</v>
      </c>
      <c r="B111" s="3">
        <v>394.0</v>
      </c>
      <c r="C111" s="2" t="s">
        <v>9</v>
      </c>
      <c r="D111" s="2"/>
      <c r="E111" s="2" t="str">
        <f t="shared" si="1"/>
        <v>2888_394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2888.0</v>
      </c>
      <c r="B112" s="3">
        <v>377.0</v>
      </c>
      <c r="C112" s="2" t="s">
        <v>9</v>
      </c>
      <c r="D112" s="2" t="s">
        <v>16</v>
      </c>
      <c r="E112" s="2" t="str">
        <f t="shared" si="1"/>
        <v>2888_377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3153.0</v>
      </c>
      <c r="B113" s="3">
        <v>83.0</v>
      </c>
      <c r="C113" s="2" t="s">
        <v>9</v>
      </c>
      <c r="D113" s="2"/>
      <c r="E113" s="2" t="str">
        <f t="shared" si="1"/>
        <v>3153_83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3153.0</v>
      </c>
      <c r="B114" s="3">
        <v>120.0</v>
      </c>
      <c r="C114" s="2" t="s">
        <v>9</v>
      </c>
      <c r="D114" s="2"/>
      <c r="E114" s="2" t="str">
        <f t="shared" si="1"/>
        <v>3153_120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52651.0</v>
      </c>
      <c r="B115" s="3">
        <v>27.0</v>
      </c>
      <c r="C115" s="2" t="s">
        <v>9</v>
      </c>
      <c r="D115" s="2"/>
      <c r="E115" s="2" t="str">
        <f t="shared" si="1"/>
        <v>52651_27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52651.0</v>
      </c>
      <c r="B116" s="3">
        <v>34.0</v>
      </c>
      <c r="C116" s="2" t="s">
        <v>9</v>
      </c>
      <c r="D116" s="2"/>
      <c r="E116" s="2" t="str">
        <f t="shared" si="1"/>
        <v>52651_34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52651.0</v>
      </c>
      <c r="B117" s="3">
        <v>43.0</v>
      </c>
      <c r="C117" s="2" t="s">
        <v>9</v>
      </c>
      <c r="D117" s="2"/>
      <c r="E117" s="2" t="str">
        <f t="shared" si="1"/>
        <v>52651_43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53419.0</v>
      </c>
      <c r="B118" s="3">
        <v>22.0</v>
      </c>
      <c r="C118" s="2" t="s">
        <v>9</v>
      </c>
      <c r="D118" s="2"/>
      <c r="E118" s="2" t="str">
        <f t="shared" si="1"/>
        <v>53419_22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v>53419.0</v>
      </c>
      <c r="B119" s="3">
        <v>38.0</v>
      </c>
      <c r="C119" s="2" t="s">
        <v>9</v>
      </c>
      <c r="D119" s="2"/>
      <c r="E119" s="2" t="str">
        <f t="shared" si="1"/>
        <v>53419_38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53419.0</v>
      </c>
      <c r="B120" s="3">
        <v>40.0</v>
      </c>
      <c r="C120" s="9" t="s">
        <v>11</v>
      </c>
      <c r="D120" s="2" t="s">
        <v>17</v>
      </c>
      <c r="E120" s="2" t="str">
        <f t="shared" si="1"/>
        <v>53419_40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v>53419.0</v>
      </c>
      <c r="B121" s="3">
        <v>51.0</v>
      </c>
      <c r="C121" s="9" t="s">
        <v>11</v>
      </c>
      <c r="D121" s="2" t="s">
        <v>17</v>
      </c>
      <c r="E121" s="2" t="str">
        <f t="shared" si="1"/>
        <v>53419_51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9">
        <v>28370.0</v>
      </c>
      <c r="B122" s="9">
        <v>10.0</v>
      </c>
      <c r="C122" s="9" t="s">
        <v>14</v>
      </c>
      <c r="D122" s="9" t="s">
        <v>18</v>
      </c>
      <c r="E122" s="2" t="str">
        <f t="shared" si="1"/>
        <v>28370_10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9">
        <v>28370.0</v>
      </c>
      <c r="B123" s="9">
        <v>16.0</v>
      </c>
      <c r="C123" s="9" t="s">
        <v>14</v>
      </c>
      <c r="D123" s="9" t="s">
        <v>18</v>
      </c>
      <c r="E123" s="2" t="str">
        <f t="shared" si="1"/>
        <v>28370_16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9">
        <v>4015.0</v>
      </c>
      <c r="B124" s="9">
        <v>20.0</v>
      </c>
      <c r="C124" s="9" t="s">
        <v>14</v>
      </c>
      <c r="D124" s="9" t="s">
        <v>19</v>
      </c>
      <c r="E124" s="2" t="str">
        <f t="shared" si="1"/>
        <v>4015_20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9">
        <v>38998.0</v>
      </c>
      <c r="B125" s="9">
        <v>26.0</v>
      </c>
      <c r="C125" s="9" t="s">
        <v>14</v>
      </c>
      <c r="D125" s="9" t="s">
        <v>20</v>
      </c>
      <c r="E125" s="2" t="str">
        <f t="shared" si="1"/>
        <v>38998_26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9">
        <v>38998.0</v>
      </c>
      <c r="B126" s="9">
        <v>30.0</v>
      </c>
      <c r="C126" s="9" t="s">
        <v>14</v>
      </c>
      <c r="D126" s="9" t="s">
        <v>21</v>
      </c>
      <c r="E126" s="2" t="str">
        <f t="shared" si="1"/>
        <v>38998_30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9">
        <v>7.0038405E7</v>
      </c>
      <c r="B127" s="9">
        <v>19.0</v>
      </c>
      <c r="C127" s="9" t="s">
        <v>14</v>
      </c>
      <c r="D127" s="9" t="s">
        <v>22</v>
      </c>
      <c r="E127" s="2" t="str">
        <f t="shared" si="1"/>
        <v>70038405_19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9">
        <v>6506.0</v>
      </c>
      <c r="B128" s="9">
        <v>26.0</v>
      </c>
      <c r="C128" s="9" t="s">
        <v>14</v>
      </c>
      <c r="D128" s="9" t="s">
        <v>23</v>
      </c>
      <c r="E128" s="2" t="str">
        <f t="shared" si="1"/>
        <v>6506_26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9">
        <v>6506.0</v>
      </c>
      <c r="B129" s="9">
        <v>30.0</v>
      </c>
      <c r="C129" s="9" t="s">
        <v>14</v>
      </c>
      <c r="D129" s="9" t="s">
        <v>23</v>
      </c>
      <c r="E129" s="2" t="str">
        <f t="shared" si="1"/>
        <v>6506_30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9">
        <v>9800.0</v>
      </c>
      <c r="B130" s="9">
        <v>15.0</v>
      </c>
      <c r="C130" s="9" t="s">
        <v>14</v>
      </c>
      <c r="D130" s="9" t="s">
        <v>24</v>
      </c>
      <c r="E130" s="2" t="str">
        <f t="shared" si="1"/>
        <v>9800_15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9">
        <v>53456.0</v>
      </c>
      <c r="B131" s="9">
        <v>42.0</v>
      </c>
      <c r="C131" s="9" t="s">
        <v>14</v>
      </c>
      <c r="D131" s="9" t="s">
        <v>25</v>
      </c>
      <c r="E131" s="2" t="str">
        <f t="shared" si="1"/>
        <v>53456_42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9">
        <v>7.0210573E7</v>
      </c>
      <c r="B132" s="9">
        <v>36.0</v>
      </c>
      <c r="C132" s="9" t="s">
        <v>14</v>
      </c>
      <c r="D132" s="9" t="s">
        <v>26</v>
      </c>
      <c r="E132" s="2" t="str">
        <f t="shared" si="1"/>
        <v>70210573_36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9">
        <v>7.0232242E7</v>
      </c>
      <c r="B133" s="9">
        <v>35.0</v>
      </c>
      <c r="C133" s="9" t="s">
        <v>14</v>
      </c>
      <c r="D133" s="9" t="s">
        <v>27</v>
      </c>
      <c r="E133" s="2" t="str">
        <f t="shared" si="1"/>
        <v>70232242_35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9">
        <v>7.0232242E7</v>
      </c>
      <c r="B134" s="9">
        <v>56.0</v>
      </c>
      <c r="C134" s="9" t="s">
        <v>14</v>
      </c>
      <c r="D134" s="9" t="s">
        <v>28</v>
      </c>
      <c r="E134" s="2" t="str">
        <f t="shared" si="1"/>
        <v>70232242_56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9">
        <v>7.0232242E7</v>
      </c>
      <c r="B135" s="9">
        <v>50.0</v>
      </c>
      <c r="C135" s="9" t="s">
        <v>14</v>
      </c>
      <c r="D135" s="9" t="s">
        <v>29</v>
      </c>
      <c r="E135" s="2" t="str">
        <f t="shared" si="1"/>
        <v>70232242_50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9">
        <v>9347.0</v>
      </c>
      <c r="B136" s="9">
        <v>22.0</v>
      </c>
      <c r="C136" s="9" t="s">
        <v>14</v>
      </c>
      <c r="D136" s="9" t="s">
        <v>30</v>
      </c>
      <c r="E136" s="2" t="str">
        <f t="shared" si="1"/>
        <v>9347_22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 t="str">
        <f t="shared" si="1"/>
        <v/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 t="str">
        <f t="shared" si="1"/>
        <v/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 t="str">
        <f t="shared" si="1"/>
        <v/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 t="str">
        <f t="shared" si="1"/>
        <v/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 t="str">
        <f t="shared" si="1"/>
        <v/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 t="str">
        <f t="shared" si="1"/>
        <v/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 t="str">
        <f t="shared" si="1"/>
        <v/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 t="str">
        <f t="shared" si="1"/>
        <v/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 t="str">
        <f t="shared" si="1"/>
        <v/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 t="str">
        <f t="shared" si="1"/>
        <v/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 t="str">
        <f t="shared" si="1"/>
        <v/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 t="str">
        <f t="shared" si="1"/>
        <v/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 t="str">
        <f t="shared" si="1"/>
        <v/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 t="str">
        <f t="shared" si="1"/>
        <v/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 t="str">
        <f t="shared" si="1"/>
        <v/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 t="str">
        <f t="shared" si="1"/>
        <v/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 t="str">
        <f t="shared" si="1"/>
        <v/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 t="str">
        <f t="shared" si="1"/>
        <v/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 t="str">
        <f t="shared" si="1"/>
        <v/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 t="str">
        <f t="shared" si="1"/>
        <v/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 t="str">
        <f t="shared" si="1"/>
        <v/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 t="str">
        <f t="shared" si="1"/>
        <v/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 t="str">
        <f t="shared" si="1"/>
        <v/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 t="str">
        <f t="shared" si="1"/>
        <v/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 t="str">
        <f t="shared" si="1"/>
        <v/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 t="str">
        <f t="shared" si="1"/>
        <v/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 t="str">
        <f t="shared" si="1"/>
        <v/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 t="str">
        <f t="shared" si="1"/>
        <v/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 t="str">
        <f t="shared" si="1"/>
        <v/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 t="str">
        <f t="shared" si="1"/>
        <v/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 t="str">
        <f t="shared" si="1"/>
        <v/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 t="str">
        <f t="shared" si="1"/>
        <v/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 t="str">
        <f t="shared" si="1"/>
        <v/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 t="str">
        <f t="shared" si="1"/>
        <v/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 t="str">
        <f t="shared" si="1"/>
        <v/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 t="str">
        <f t="shared" si="1"/>
        <v/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 t="str">
        <f t="shared" si="1"/>
        <v/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 t="str">
        <f t="shared" si="1"/>
        <v/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 t="str">
        <f t="shared" si="1"/>
        <v/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 t="str">
        <f t="shared" si="1"/>
        <v/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 t="str">
        <f t="shared" si="1"/>
        <v/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 t="str">
        <f t="shared" si="1"/>
        <v/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 t="str">
        <f t="shared" si="1"/>
        <v/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 t="str">
        <f t="shared" si="1"/>
        <v/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 t="str">
        <f t="shared" si="1"/>
        <v/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 t="str">
        <f t="shared" si="1"/>
        <v/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 t="str">
        <f t="shared" si="1"/>
        <v/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 t="str">
        <f t="shared" si="1"/>
        <v/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 t="str">
        <f t="shared" si="1"/>
        <v/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 t="str">
        <f t="shared" si="1"/>
        <v/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 t="str">
        <f t="shared" si="1"/>
        <v/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 t="str">
        <f t="shared" si="1"/>
        <v/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 t="str">
        <f t="shared" si="1"/>
        <v/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 t="str">
        <f t="shared" si="1"/>
        <v/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 t="str">
        <f t="shared" si="1"/>
        <v/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 t="str">
        <f t="shared" si="1"/>
        <v/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 t="str">
        <f t="shared" si="1"/>
        <v/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 t="str">
        <f t="shared" si="1"/>
        <v/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 t="str">
        <f t="shared" si="1"/>
        <v/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 t="str">
        <f t="shared" si="1"/>
        <v/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 t="str">
        <f t="shared" si="1"/>
        <v/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 t="str">
        <f t="shared" si="1"/>
        <v/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 t="str">
        <f t="shared" si="1"/>
        <v/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 t="str">
        <f t="shared" si="1"/>
        <v/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E$121">
    <sortState ref="A1:E121">
      <sortCondition ref="A1:A121"/>
    </sortState>
  </autoFilter>
  <drawing r:id="rId1"/>
</worksheet>
</file>