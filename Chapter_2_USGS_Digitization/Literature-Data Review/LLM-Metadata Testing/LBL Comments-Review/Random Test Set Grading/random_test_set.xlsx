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Summary stats" sheetId="2" r:id="rId6"/>
  </sheets>
  <definedNames>
    <definedName hidden="1" localSheetId="0" name="_xlnm._FilterDatabase">metadata!$A$1:$Z$1292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tc={a8e88478-72d7-4024-97ca-817259be80ac}</author>
  </authors>
  <commentList>
    <comment authorId="0" xr:uid="{a8e88478-72d7-4024-97ca-817259be80ac}" ref="A4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page available in PDF folder
</t>
      </text>
    </comment>
  </commentList>
</comments>
</file>

<file path=xl/sharedStrings.xml><?xml version="1.0" encoding="utf-8"?>
<sst xmlns="http://schemas.openxmlformats.org/spreadsheetml/2006/main" count="2915" uniqueCount="1562">
  <si>
    <t>ID</t>
  </si>
  <si>
    <t>PAGE_NUMBER</t>
  </si>
  <si>
    <t>Inferred_Latitude</t>
  </si>
  <si>
    <t>Inferred_Longitude</t>
  </si>
  <si>
    <t>Actual_Latitude</t>
  </si>
  <si>
    <t>Actual_Longitude</t>
  </si>
  <si>
    <t>Location</t>
  </si>
  <si>
    <t>Townships_Ranges_Sections</t>
  </si>
  <si>
    <t>Watersource_Name</t>
  </si>
  <si>
    <t>Actual_County</t>
  </si>
  <si>
    <t>Inferred_County</t>
  </si>
  <si>
    <t>Dates_of_Recording</t>
  </si>
  <si>
    <t>Temporal_Resolution</t>
  </si>
  <si>
    <t>Units_Of_Measurement</t>
  </si>
  <si>
    <t>Water_Type</t>
  </si>
  <si>
    <t>KeyTerms</t>
  </si>
  <si>
    <t>Page Grade</t>
  </si>
  <si>
    <t>At bridge on U.S Highway 99, 0.8 mile upstream from confluence with Sacramento River, and 4.7 miles downstream from gaging station near Los Molinos</t>
  </si>
  <si>
    <t>[]</t>
  </si>
  <si>
    <t>Mill Creek at Mouth, Near Los Molinos</t>
  </si>
  <si>
    <t>Tehama</t>
  </si>
  <si>
    <t>11/07/1963-09/30/1964</t>
  </si>
  <si>
    <t>Monthly</t>
  </si>
  <si>
    <t>{'pH': None, 'Specific_conductance': 'micro-mhos per 25°C', 'Sodium_adoption_ratio': None, 'Hardness_CaCO3_as_Non_carbonate': 'mg/L', 'Hardness_CaCO3_as_Calcium_Magnesium': 'mg/L', 'Dissolved_solids_180°C_Tons_per_day': 'tons per day', 'Dissolved_solids_180°C_Tons_per_acre-foot': 'tons per acre-foot', 'Dissolved_solids_180°C_Parts_per_million': 'ppm', 'Boron_B': 'mg/L', 'Nitrate_NO3': 'mg/L', 'Fluoride_F': 'mg/L', 'Chloride_Cl': 'mg/L', 'Sulfate_SO4': 'mg/L', 'Carbonate_CO2': None, 'Bicarbonate_HCO3': 'mg/L', 'Potassium_K': 'mg/L', 'Sodium_Na': 'mg/L', 'Magnesium_Mg': 'mg/L', 'Calcium_Ca': 'mg/L', 'Silica_SiO2': 'mg/L', 'Mean_discharge_cfs': 'cubic feet per second'}</t>
  </si>
  <si>
    <t>Stream Discharge</t>
  </si>
  <si>
    <t>['Mill Creek', 'Los Molinos', 'Sacramento River', 'Chemical analyses']</t>
  </si>
  <si>
    <t>LB_161</t>
  </si>
  <si>
    <t>Lat. 33°33' long. 111°39', NE1 sec. 5, T. 2 N., R. 7 E.</t>
  </si>
  <si>
    <t>['T. 2 N., R. 7 E., NE1 sec. 5']</t>
  </si>
  <si>
    <t>Salt River</t>
  </si>
  <si>
    <t>Maricopa County, Arizona</t>
  </si>
  <si>
    <t>01/1895-07/1896, 04/1897-11/1899, 01/1901-04/1902, 01/1903-12/1910</t>
  </si>
  <si>
    <t>{'Discharge': 'second-feet', 'Runoff_Second-Foot-Days': 'second-foot-days', 'Runoff_Acre-Feet': 'acre-feet'}</t>
  </si>
  <si>
    <t>['stream gaging', 'discharge measurements', 'vertical staff gages']</t>
  </si>
  <si>
    <t>LB_280</t>
  </si>
  <si>
    <t>San Joaquin River Basin, California</t>
  </si>
  <si>
    <t>Middle Fork of Mokelumne River at West Point</t>
  </si>
  <si>
    <t>Calaveras County</t>
  </si>
  <si>
    <t>10/01/1915-09/30/1916</t>
  </si>
  <si>
    <t>{'Discharge': 'second-feet', 'Runoff': 'acre-feet'}</t>
  </si>
  <si>
    <t>['Monthly discharge', 'Discharge in second-feet']</t>
  </si>
  <si>
    <t>LB_248</t>
  </si>
  <si>
    <t>Sec. 34, T. 6 N., R. 14 E., at Laidet ranch, Calaveras County, California</t>
  </si>
  <si>
    <t>['T. 6 N., R. 14 E., Sec. 34']</t>
  </si>
  <si>
    <t>South Fork of Mokelumne River near Railroad Flat</t>
  </si>
  <si>
    <t>10/23/1911-09/30/1915</t>
  </si>
  <si>
    <t>Daily measurements recorded twice a day</t>
  </si>
  <si>
    <t>{'Stage': 'feet', 'Discharge': 'second-feet'}</t>
  </si>
  <si>
    <t>['Discharge measurements', 'Vertical staff gage']</t>
  </si>
  <si>
    <t># Graded</t>
  </si>
  <si>
    <t>LB_249</t>
  </si>
  <si>
    <t>SE 1/4 sec. 17, T. 3 S., R. 14 E., below waste gates, 500 feet below intake at La Grange Dam on Tuolumne River, and 1 1/2 miles northeast of La Grange</t>
  </si>
  <si>
    <t>['T. 3 S., R. 14 E., sec. 17']</t>
  </si>
  <si>
    <t>Modesto Canal near La Grange</t>
  </si>
  <si>
    <t>Stanislaus County</t>
  </si>
  <si>
    <t>10/01/1926-09/30/1927</t>
  </si>
  <si>
    <t>Daily</t>
  </si>
  <si>
    <t>Second-feet</t>
  </si>
  <si>
    <t>['Canal', 'Discharge', 'Tuolumne River', 'Irrigation']</t>
  </si>
  <si>
    <t>Overall Accuracy</t>
  </si>
  <si>
    <t>LB_36</t>
  </si>
  <si>
    <t>Near Knights Ferry, California</t>
  </si>
  <si>
    <t>Stanislaus River near Knights Ferry</t>
  </si>
  <si>
    <t>Calaveras</t>
  </si>
  <si>
    <t>03/21/1926-09/30/1926</t>
  </si>
  <si>
    <t>{'Gage_Height': 'Feet', 'Discharge': 'Second-feet'}</t>
  </si>
  <si>
    <t>['Maximum stage', 'Minimum stage', 'Discharge', 'Rating curve']</t>
  </si>
  <si>
    <t>LB_120</t>
  </si>
  <si>
    <t>Accuracy by category</t>
  </si>
  <si>
    <t>Orland project of the United States Bureau of Reclamation</t>
  </si>
  <si>
    <t>East Park Reservoir</t>
  </si>
  <si>
    <t>Butte County</t>
  </si>
  <si>
    <t>11/01/1926-06/30/1926</t>
  </si>
  <si>
    <t>second-feet</t>
  </si>
  <si>
    <t>Reservoir</t>
  </si>
  <si>
    <t>['storage', 'United States Bureau of Reclamation']</t>
  </si>
  <si>
    <t>Lat</t>
  </si>
  <si>
    <t>LB_262</t>
  </si>
  <si>
    <t>Long</t>
  </si>
  <si>
    <t>near Lodoga, Calif.</t>
  </si>
  <si>
    <t>Little Stony Creek near Lodoga</t>
  </si>
  <si>
    <t>Glenn County</t>
  </si>
  <si>
    <t>11/01/1926-09/30/1926</t>
  </si>
  <si>
    <t>Daily and Monthly</t>
  </si>
  <si>
    <t>['diverted', 'daily-discharge record', 'Little Stony Creek']</t>
  </si>
  <si>
    <t>Locaction</t>
  </si>
  <si>
    <t>LB_263</t>
  </si>
  <si>
    <t>TRS</t>
  </si>
  <si>
    <t>Near Mentone, Calif.</t>
  </si>
  <si>
    <t>['SW. 1/4 sec. 4', 'T. 1 S.', 'R. 2 W.']</t>
  </si>
  <si>
    <t>Southern California Edison Co.'s Canal and Greenspot Pipeline</t>
  </si>
  <si>
    <t>Riverside</t>
  </si>
  <si>
    <t>10/01/1929-09/30/1930</t>
  </si>
  <si>
    <t>['canal discharge', 'pipe-line discharge', 'discharge of canal and pipe line']</t>
  </si>
  <si>
    <t>Watersource</t>
  </si>
  <si>
    <t>LB_91</t>
  </si>
  <si>
    <t>County</t>
  </si>
  <si>
    <t>Yosemite National Park, at bridge, 0.7 mile upstream from mouth and 2.2 miles (revised) east of Yosemite Lodge</t>
  </si>
  <si>
    <t>Tenaya Creek near Yosemite</t>
  </si>
  <si>
    <t>Mariposa County</t>
  </si>
  <si>
    <t>10/01/1943-09/30/1944</t>
  </si>
  <si>
    <t>['stream discharge', 'water-stage recorder', 'Drainage area']</t>
  </si>
  <si>
    <t>Date of Recording</t>
  </si>
  <si>
    <t>LB_279</t>
  </si>
  <si>
    <t>Resolution</t>
  </si>
  <si>
    <t>Near El Nido, California</t>
  </si>
  <si>
    <t>Chamberlain Slough</t>
  </si>
  <si>
    <t>Siskiyou County</t>
  </si>
  <si>
    <t>10/01/1939-09/30/1945</t>
  </si>
  <si>
    <t>['Discharge', 'second-feet', 'Slough']</t>
  </si>
  <si>
    <t>Units</t>
  </si>
  <si>
    <t>LB_155</t>
  </si>
  <si>
    <t>Water Type</t>
  </si>
  <si>
    <t>Just upstream from dam site and 3.5 miles downstream from highway bridge at Guenoc</t>
  </si>
  <si>
    <t>['T. 11 N., R. 6 W., sec. 22']</t>
  </si>
  <si>
    <t>Putah Creek near Guenoc</t>
  </si>
  <si>
    <t>Lake County</t>
  </si>
  <si>
    <t>02/01/1904-09/30/1945</t>
  </si>
  <si>
    <t>{'Discharge': 'second-feet', 'Gage_Height': 'feet'}</t>
  </si>
  <si>
    <t>['stream discharge', 'gage height', 'second-feet']</t>
  </si>
  <si>
    <t>LB_130</t>
  </si>
  <si>
    <t>Water-stage recorder, lat. 33°06'20", long. 116°51'30", in NEt sec. 27, T. 12 S., R. 1 E., 1.5 miles downstream from Temescal Creek and 4.5 miles north of Ramona.</t>
  </si>
  <si>
    <t>['T. 12 S., R. 1 E., sec. 27']</t>
  </si>
  <si>
    <t>Santa Ysabel Creek near Ramona, Calif.</t>
  </si>
  <si>
    <t>San Diego</t>
  </si>
  <si>
    <t>10/1945-09/1946</t>
  </si>
  <si>
    <t>['water-stage recorder', 'gage height', 'discharge']</t>
  </si>
  <si>
    <t>LB_269</t>
  </si>
  <si>
    <t>Downstream side of State Street Bridge at Long Beach, 1.7 miles upstream from mouth</t>
  </si>
  <si>
    <t>Los Angeles River at Long Beach</t>
  </si>
  <si>
    <t>Los Angeles County</t>
  </si>
  <si>
    <t>10/01/1950-09/30/1951</t>
  </si>
  <si>
    <t>cubic feet per second (cfs)</t>
  </si>
  <si>
    <t>['stream discharge', 'water-stage recorder', 'gage height', 'flood-control reservoirs']</t>
  </si>
  <si>
    <t>LB_226</t>
  </si>
  <si>
    <t>Lat 36°16'50", long. 121°19'20" in sec. 16, T. 19 S., R. 6 E.</t>
  </si>
  <si>
    <t>['T. 19 S., R. 6 E., sec. 16']</t>
  </si>
  <si>
    <t>Arroyo Seco</t>
  </si>
  <si>
    <t>San Luis Obispo County</t>
  </si>
  <si>
    <t>{'Start_Date': '11/01/1901', 'End_Date': '09/30/1951'}</t>
  </si>
  <si>
    <t>{'Latitude_Longitude': 'Degrees, Minutes, Seconds (DMS)', 'Discharge': 'cubic feet per second (cfs)'}</t>
  </si>
  <si>
    <t>['discharge', 'gage height', 'water-stage recorder']</t>
  </si>
  <si>
    <t>LB_115</t>
  </si>
  <si>
    <t>near Brea, Calif.</t>
  </si>
  <si>
    <t>Fullerton Creek below Fullerton Dam</t>
  </si>
  <si>
    <t>Orange County</t>
  </si>
  <si>
    <t>10/01/1941-09/30/1952</t>
  </si>
  <si>
    <t>{'Discharge': 'cubic feet per second (cfs)', 'Area': 'square miles (sq mi) and acre-feet (acre-ft)'}</t>
  </si>
  <si>
    <t>['Discharge', 'Gage Height', 'Flow Regulated', 'Flood-Control Reservoir']</t>
  </si>
  <si>
    <t>LB_52</t>
  </si>
  <si>
    <t>on right bank 1,500 ft downstream from Willow Creek and 5.5 miles northeast of Friant</t>
  </si>
  <si>
    <t>['NWENE sec. 14, T. 10 S., R. 21 E.']</t>
  </si>
  <si>
    <t>Fine Gold Creek near Friant</t>
  </si>
  <si>
    <t>Madera County</t>
  </si>
  <si>
    <t>10/01/1936-09/30/1952</t>
  </si>
  <si>
    <t>Daily measurements over the water year October 1951 to September 1952</t>
  </si>
  <si>
    <t>{'Latitude': 'degrees minutes seconds', 'Longitude': 'degrees minutes seconds', 'Discharge': 'cubic feet per second (cfs)', 'Gage_Height': 'feet'}</t>
  </si>
  <si>
    <t>['Discharge', 'Gage Height', 'Flow Rate', 'Precipitation Effects']</t>
  </si>
  <si>
    <t>LB_270</t>
  </si>
  <si>
    <t>NEt sec. 18, T. 6 S. R. 24 E., on right bank 0.5 mile downstream from Beasore Creek, 0.6 mile southwest of Arnold Meadow, and 12 miles northeast of town of Bass Lake</t>
  </si>
  <si>
    <t>['T. 6 S. R. 24 E., NEt sec. 18']</t>
  </si>
  <si>
    <t>Chiquito Creek near Arnold Meadow</t>
  </si>
  <si>
    <t>Tuolumne County</t>
  </si>
  <si>
    <t>09/1921-06/1928, 11/1951-09/1953</t>
  </si>
  <si>
    <t>Daily measurements from November to September (excluding winter records)</t>
  </si>
  <si>
    <t>{'Discharge': 'cubic feet per second (cfs)', 'Gage_Height': 'feet'}</t>
  </si>
  <si>
    <t>['Discharge', 'Water-stage recorder', 'Gage height', 'Cubic feet per second']</t>
  </si>
  <si>
    <t>Riverside Narrows, near Arlington, Calif.</t>
  </si>
  <si>
    <t>['T. 2 S., R. 6 W., sec. 25']</t>
  </si>
  <si>
    <t>Santa Ana River</t>
  </si>
  <si>
    <t>01/01/1929-09/30/1957</t>
  </si>
  <si>
    <t>{'Discharge': 'cubic feet per second (cfs)', 'Area': 'square miles (sq mi)', 'Volume': 'acre-feet'}</t>
  </si>
  <si>
    <t>['Santa Ana River', 'Riverside Narrows', 'Arlington, Calif.', 'Discharge measurements', 'Ground-water withdrawals', 'Diversions for irrigation', 'Return flow from irrigated areas']</t>
  </si>
  <si>
    <t>LB_117</t>
  </si>
  <si>
    <t>at Friant Dam, 0.9 mile northeast of Friant</t>
  </si>
  <si>
    <t>['NW1SW1 sec. 5']</t>
  </si>
  <si>
    <t>Friant-Madera Canal at Friant</t>
  </si>
  <si>
    <t>Tulare County</t>
  </si>
  <si>
    <t>10/01/1956-09/30/1957</t>
  </si>
  <si>
    <t>['Canal', 'Discharge', 'Madera Canal', 'Friant Dam']</t>
  </si>
  <si>
    <t>LB_51</t>
  </si>
  <si>
    <t>SW sec. 17, T. 36 N., R. 2 E.</t>
  </si>
  <si>
    <t>['T. 36 N., R. 2 E., SW sec. 17']</t>
  </si>
  <si>
    <t>Pit River below Pit No. 4 Dam</t>
  </si>
  <si>
    <t>Lassen County</t>
  </si>
  <si>
    <t>07/1927-09/1957</t>
  </si>
  <si>
    <t>daily</t>
  </si>
  <si>
    <t>{'Discharge': 'cfs', 'Volume': 'acre-ft'}</t>
  </si>
  <si>
    <t>['discharge', 'Pit No. 4 Dam', 'streamflow', 'reservoirs', 'powerplants', 'diversion']</t>
  </si>
  <si>
    <t>LB_156</t>
  </si>
  <si>
    <t>Boundary between Canada de los Pinos and Lomas de la Purificacion Grants on right bank, 1.1 miles downstream from Cachuma Dam and 5 miles southeast of Santa Ynez, Santa Barbara County.</t>
  </si>
  <si>
    <t>Santa Ynez River near Santa Ynez</t>
  </si>
  <si>
    <t>Santa Barbara County</t>
  </si>
  <si>
    <t>12/1928-09/1931,10/1932-09/1959</t>
  </si>
  <si>
    <t>{'Water-stage': 'feet', 'Discharge': 'cubic feet per second (cfs)'}</t>
  </si>
  <si>
    <t>['Santa Ynez River', 'stream discharge', 'gage height', 'cubic feet per second', 'flow regulated']</t>
  </si>
  <si>
    <t>LB_232</t>
  </si>
  <si>
    <t>SW1NW1 sec. 17, T.24 N., R.9 E.</t>
  </si>
  <si>
    <t>['T.24 N., R.9 E., SW1NW1 sec. 17']</t>
  </si>
  <si>
    <t>Spanish Creek near Quincy</t>
  </si>
  <si>
    <t>Plumas County</t>
  </si>
  <si>
    <t>10/01/1958-09/30/1959</t>
  </si>
  <si>
    <t>{'Discharge': 'cubic feet per second (cfs)', 'Gage_Height': 'feet', 'Acres_Foot': 'ac-ft'}</t>
  </si>
  <si>
    <t>['discharge', 'stream discharge', 'water-stage recorder']</t>
  </si>
  <si>
    <t>LB_93</t>
  </si>
  <si>
    <t>Temecula, Riverside County</t>
  </si>
  <si>
    <t>Murrieta Creek</t>
  </si>
  <si>
    <t>Riverside County</t>
  </si>
  <si>
    <t>10/01/1924-09/30/1960</t>
  </si>
  <si>
    <t>{'Discharge': 'cubic feet per second (cfs)', 'Accumulated Volume': 'acre-feet'}</t>
  </si>
  <si>
    <t>['Discharge', 'Monthly discharge', 'Gage height', 'Flow measurements']</t>
  </si>
  <si>
    <t>LB_271</t>
  </si>
  <si>
    <t>Right bank, 1.0 mile west of Gerber</t>
  </si>
  <si>
    <t>Elder Creek at Gerber</t>
  </si>
  <si>
    <t>Tehama County</t>
  </si>
  <si>
    <t>10/01/1959-09/30/1960</t>
  </si>
  <si>
    <t>Daily measurements from October to September</t>
  </si>
  <si>
    <t>['discharge', 'stream', 'flow', 'gage', 'water stage']</t>
  </si>
  <si>
    <t>LB_98</t>
  </si>
  <si>
    <t>Near San Bernardino, California</t>
  </si>
  <si>
    <t>['[TRS]']</t>
  </si>
  <si>
    <t>Devil Canyon Creek</t>
  </si>
  <si>
    <t>San Bernardino County</t>
  </si>
  <si>
    <t>10/01/1961-09/30/1962</t>
  </si>
  <si>
    <t>Cubic Feet per Second (cfs)</t>
  </si>
  <si>
    <t>['Discharge', 'Cubic Feet per Second', 'WATER YEAR']</t>
  </si>
  <si>
    <t>LB_231</t>
  </si>
  <si>
    <t>United States Southwest Section</t>
  </si>
  <si>
    <t>Observation Wells</t>
  </si>
  <si>
    <t>Southwestern United States (including Hawaii)</t>
  </si>
  <si>
    <t>01/01/1952-12/31/1952</t>
  </si>
  <si>
    <t>['Feet', 'Inches']</t>
  </si>
  <si>
    <t>Groundwater</t>
  </si>
  <si>
    <t>['ground-water supplies', 'observation-well program', 'artesian pressures', 'water levels']</t>
  </si>
  <si>
    <t>LB_125</t>
  </si>
  <si>
    <t>Oroville, California</t>
  </si>
  <si>
    <t>Feather River at Oroville</t>
  </si>
  <si>
    <t>02/09/1907-12/17/1908</t>
  </si>
  <si>
    <t>1 to 21 days</t>
  </si>
  <si>
    <t>{'Width': 'Feet', 'Area_of_section': 'Sq. ft.', 'Gage_height': 'Feet', 'Discharge': 'Sec.-ft.'}</t>
  </si>
  <si>
    <t>['Feather River', 'Oroville', 'discharge measurements', 'stream']</t>
  </si>
  <si>
    <t>LB_114</t>
  </si>
  <si>
    <t>Near Burbank, Los Angeles, California</t>
  </si>
  <si>
    <t>Los Angeles River Diversions</t>
  </si>
  <si>
    <t>02/24/1906-12/18/1906</t>
  </si>
  <si>
    <t>Weekly to monthly measurements</t>
  </si>
  <si>
    <t>['diversions', 'surface and underground diversions', 'river channel']</t>
  </si>
  <si>
    <t>LB_290</t>
  </si>
  <si>
    <t>Santa Monica Mountains, near Santa Monica, California</t>
  </si>
  <si>
    <t>Malibu Creek Reservoir</t>
  </si>
  <si>
    <t>1906 (implied throughout summer)</t>
  </si>
  <si>
    <t>Seasonal (irrigation during summer months)</t>
  </si>
  <si>
    <t>acres</t>
  </si>
  <si>
    <t>['reservoir', 'Triunfo Creek', 'irrigation']</t>
  </si>
  <si>
    <t>LB_291</t>
  </si>
  <si>
    <t>Lower Lake, California</t>
  </si>
  <si>
    <t>Cache Creek</t>
  </si>
  <si>
    <t>01/01/1909-12/31/1909</t>
  </si>
  <si>
    <t>feet</t>
  </si>
  <si>
    <t>['gage height', 'discharge measurement', 'stream bed', 'water flow']</t>
  </si>
  <si>
    <t>LB_54</t>
  </si>
  <si>
    <t>Near Jamul, California</t>
  </si>
  <si>
    <t>Cottonwood Creek</t>
  </si>
  <si>
    <t>San Diego County</t>
  </si>
  <si>
    <t>01/01/1910-12/31/1910</t>
  </si>
  <si>
    <t>{'Discharge': 'second-feet', 'Run-off': 'acre-feet'}</t>
  </si>
  <si>
    <t>['Discharge', 'Run-off', 'Cottonwood Creek']</t>
  </si>
  <si>
    <t>LB_86</t>
  </si>
  <si>
    <t>Dulzura Canal</t>
  </si>
  <si>
    <t>{'Gage_Height': 'feet', 'Discharge': 'second-feet'}</t>
  </si>
  <si>
    <t>Irrigation</t>
  </si>
  <si>
    <t>['Dulzura Canal', 'Gage Height', 'Discharge']</t>
  </si>
  <si>
    <t>LB_87</t>
  </si>
  <si>
    <t>Near Dome, Ariz.</t>
  </si>
  <si>
    <t>Gila River</t>
  </si>
  <si>
    <t>La Paz County, Arizona</t>
  </si>
  <si>
    <t>10/01/1914-09/30/1919</t>
  </si>
  <si>
    <t>{'Discharge': 'second-feet', 'Runoff': ['Second-foot-days', 'Acre-feet']}</t>
  </si>
  <si>
    <t>['Discharge', 'Second-feet', 'Runoff']</t>
  </si>
  <si>
    <t>LB_286</t>
  </si>
  <si>
    <t>412 miles east of San Bernardino, Southern California</t>
  </si>
  <si>
    <t>Williams Well</t>
  </si>
  <si>
    <t>01/03/1906-12/28/1908</t>
  </si>
  <si>
    <t>Weekly</t>
  </si>
  <si>
    <t>Feet</t>
  </si>
  <si>
    <t>['well', 'groundwater levels', 'depth below top of original well']</t>
  </si>
  <si>
    <t>LB_38</t>
  </si>
  <si>
    <t>Poway Mesa</t>
  </si>
  <si>
    <t>Beaver Oil Well</t>
  </si>
  <si>
    <t>['feet']</t>
  </si>
  <si>
    <t>['Encountered water', 'soda water', 'mineralized']</t>
  </si>
  <si>
    <t>LB_266</t>
  </si>
  <si>
    <t>About 2 miles southeast of Arcata, 250 feet northwest of junction of Bayside golf course road and Old Arcata Road, 150 feet southwest of Old Arcata Road</t>
  </si>
  <si>
    <t>['5N/1E-4H1']</t>
  </si>
  <si>
    <t>A. C. Arnold Well</t>
  </si>
  <si>
    <t>Humboldt County</t>
  </si>
  <si>
    <t>06/07/1951-08/24/1955</t>
  </si>
  <si>
    <t>Approximately monthly to biannual</t>
  </si>
  <si>
    <t>['domestic well', 'groundwater']</t>
  </si>
  <si>
    <t>LB_103</t>
  </si>
  <si>
    <t>About 3 miles east of Eureka, approximately 400 feet northeast of dwelling, 200 feet west of Old Arcata Road</t>
  </si>
  <si>
    <t>['5N/1E-20Q1']</t>
  </si>
  <si>
    <t>L. L. Spinney Well</t>
  </si>
  <si>
    <t>Approximately biannual to annual</t>
  </si>
  <si>
    <t>['domestic and stock well', 'groundwater']</t>
  </si>
  <si>
    <t>LB_104</t>
  </si>
  <si>
    <t>About 0.7 mile south of McKinleyville, in school yard 30 feet north of school building</t>
  </si>
  <si>
    <t>['6N/1E-6H1']</t>
  </si>
  <si>
    <t>Washington School Well</t>
  </si>
  <si>
    <t>06/07/1951-08/26/1955</t>
  </si>
  <si>
    <t>['unused well', 'groundwater']</t>
  </si>
  <si>
    <t>LB_105</t>
  </si>
  <si>
    <t>About 1 mile northwest of Arcata, 0.25 mile north of Bay School</t>
  </si>
  <si>
    <t>['6N/1E-19Q1']</t>
  </si>
  <si>
    <t>N. Holgersen Well</t>
  </si>
  <si>
    <t>LB_106</t>
  </si>
  <si>
    <t>Near Covelo, California</t>
  </si>
  <si>
    <t>['Not specified']</t>
  </si>
  <si>
    <t>Middle Eel River near Covelo</t>
  </si>
  <si>
    <t>Mendocino County</t>
  </si>
  <si>
    <t>08/22/1911-09/30/1913</t>
  </si>
  <si>
    <t>['Discharge', 'Run-off', 'Mean', 'Maximum', 'Minimum']</t>
  </si>
  <si>
    <t>LB_55</t>
  </si>
  <si>
    <t>SW. 1/4 sec. 24, T. 4 S., R. 3 E., near Garberville, California</t>
  </si>
  <si>
    <t>['T. 4 S., R. 3 E., SW. 1/4 sec. 24']</t>
  </si>
  <si>
    <t>South Fork of Eel River at Garberville</t>
  </si>
  <si>
    <t>08/25/1911-09/05/1913</t>
  </si>
  <si>
    <t>Variable (Discharge measurements)</t>
  </si>
  <si>
    <t>{'Gage height': 'Feet', 'Discharge': 'Sec.-ft'}</t>
  </si>
  <si>
    <t>['Gage height', 'Discharge measurements']</t>
  </si>
  <si>
    <t>LB_56</t>
  </si>
  <si>
    <t>Southwestern California, near the Colorado River Basin</t>
  </si>
  <si>
    <t>['[TRS, TRS, ...]']</t>
  </si>
  <si>
    <t>Shaver San Basin</t>
  </si>
  <si>
    <t>Imperial County</t>
  </si>
  <si>
    <t>10/01/1918-09/30/1919</t>
  </si>
  <si>
    <t>Cubic feet per second (cfs)</t>
  </si>
  <si>
    <t>['discharge', 'lower flume']</t>
  </si>
  <si>
    <t>LB_285</t>
  </si>
  <si>
    <t>Near Sespe, California</t>
  </si>
  <si>
    <t>Sespe Creek</t>
  </si>
  <si>
    <t>Ventura</t>
  </si>
  <si>
    <t>10/01/1922-09/30/1922</t>
  </si>
  <si>
    <t>['Discharge', 'Second-feet', 'Sespe Creek']</t>
  </si>
  <si>
    <t>LB_128</t>
  </si>
  <si>
    <t>Above Big Creek, California</t>
  </si>
  <si>
    <t>San Joaquin River</t>
  </si>
  <si>
    <t>San Joaquin County</t>
  </si>
  <si>
    <t>03/01/1922-09/30/1922</t>
  </si>
  <si>
    <t>['stream discharge', 'daily discharge', 'discharge measurements']</t>
  </si>
  <si>
    <t>LB_131</t>
  </si>
  <si>
    <t>Near Santa Paula, Calif.</t>
  </si>
  <si>
    <t>Santa Paula Creek</t>
  </si>
  <si>
    <t>Ventura County</t>
  </si>
  <si>
    <t>01/01/1928-05/31/1931</t>
  </si>
  <si>
    <t>['Daily discharge', 'second-feet']</t>
  </si>
  <si>
    <t>LB_3</t>
  </si>
  <si>
    <t>Near Potter Valley, California</t>
  </si>
  <si>
    <t>['SE. 1/4 sec. 30', 'T. 18 N.', 'R. 11 W.']</t>
  </si>
  <si>
    <t>Eel River at Van Arsdale Dam</t>
  </si>
  <si>
    <t>10/01/1930-09/30/1931</t>
  </si>
  <si>
    <t>['Eel River', 'Van Arsdale Dam', 'discharge', 'stream']</t>
  </si>
  <si>
    <t>LB_110</t>
  </si>
  <si>
    <t>11 miles northeast of Highland, SW1 sec. 27, T. 1 N., R. 3 W.</t>
  </si>
  <si>
    <t>['T. 1 N., R. 3 W., SW1 sec. 27']</t>
  </si>
  <si>
    <t>City Creek near Highland</t>
  </si>
  <si>
    <t>10/01/1933-09/30/1934</t>
  </si>
  <si>
    <t>['City Creek', 'stream discharge', 'water-stage recorder']</t>
  </si>
  <si>
    <t>LB_113</t>
  </si>
  <si>
    <t>Water-stage recorder in W1 sec. 16, T. 8 S., R. 1 E.</t>
  </si>
  <si>
    <t>['T. 8 S., R. 1 E., W1 sec. 16']</t>
  </si>
  <si>
    <t>Alamitos Creek</t>
  </si>
  <si>
    <t>Santa Clara County</t>
  </si>
  <si>
    <t>01/01/1930-09/30/1934</t>
  </si>
  <si>
    <t>{'Discharge': 'second-feet', 'Gage Height': 'feet'}</t>
  </si>
  <si>
    <t>['stream discharge', 'gage height', 'no flow']</t>
  </si>
  <si>
    <t>LB_94</t>
  </si>
  <si>
    <t>NW1 sec. 23, T. II S., R. 5 W., half a mile above State Highway bridge at Oceanside</t>
  </si>
  <si>
    <t>['T. II S., R. 5 W., NW1 sec. 23']</t>
  </si>
  <si>
    <t>San Luis Rey River at Oceanside</t>
  </si>
  <si>
    <t>04/01/1912-09/30/1914, 01/01/1916, 12/01/1929-09/30/1938</t>
  </si>
  <si>
    <t>{'Discharge': 'second-feet', 'Latitude_Longitude': 'decimal degrees'}</t>
  </si>
  <si>
    <t>['Discharge', 'second-feet', 'gage height', 'rating curve', 'storage', 'Lake Henshaw', 'diversions']</t>
  </si>
  <si>
    <t>LB_159</t>
  </si>
  <si>
    <t>SW1 sec. 17, T. 3 R. 14 E., half a mile northeast of La Grange and 1 mile downstream from intake at (levels by Modesto Irrigation District)</t>
  </si>
  <si>
    <t>['T. 3 R. 14 E., SW1 sec. 17']</t>
  </si>
  <si>
    <t>04/01/1903-09/30/1943</t>
  </si>
  <si>
    <t>['Modesto Irrigation District', 'La Grange Dam', 'Tuolumne River']</t>
  </si>
  <si>
    <t>LB_53</t>
  </si>
  <si>
    <t>near El Portal, California</t>
  </si>
  <si>
    <t>South Fork Merced River near El Portal</t>
  </si>
  <si>
    <t>10/01/1961-09/30/1963</t>
  </si>
  <si>
    <t>['Discharge', 'Cubic Feet Per Second']</t>
  </si>
  <si>
    <t>LB_1</t>
  </si>
  <si>
    <t>near El Portal, Calif.</t>
  </si>
  <si>
    <t>10/01/1963-09/30/1964</t>
  </si>
  <si>
    <t>['DISCHARGE', 'CUBIC FEET PER SECOND']</t>
  </si>
  <si>
    <t>LB_123</t>
  </si>
  <si>
    <t>10/01/1964-09/30/1965</t>
  </si>
  <si>
    <t>LB_124</t>
  </si>
  <si>
    <t>near Dardanelle, Calif.</t>
  </si>
  <si>
    <t>Clark Fork Stanislaus River</t>
  </si>
  <si>
    <t>10/01/1961-09/30/1962, 10/01/1962-09/30/1963</t>
  </si>
  <si>
    <t>['Discharge', 'Cubic Feet per Second', 'Water Year']</t>
  </si>
  <si>
    <t>LB_227</t>
  </si>
  <si>
    <t>California</t>
  </si>
  <si>
    <t>Cosumnes River at McConnell</t>
  </si>
  <si>
    <t>Sacramento County</t>
  </si>
  <si>
    <t>['Discharge', 'Cubic Feet per Second']</t>
  </si>
  <si>
    <t>LB_111</t>
  </si>
  <si>
    <t>10/01/1962-09/30/1963</t>
  </si>
  <si>
    <t>Near Mentone, California</t>
  </si>
  <si>
    <t>Santa Ana River Near Mentone</t>
  </si>
  <si>
    <t>10/01/1967-09/30/1969</t>
  </si>
  <si>
    <t>Cubic Feet per Second</t>
  </si>
  <si>
    <t>LB_225</t>
  </si>
  <si>
    <t>Hayward, California</t>
  </si>
  <si>
    <t>SAN LORENZO CREEK</t>
  </si>
  <si>
    <t>Alameda County</t>
  </si>
  <si>
    <t>10/01/1968-09/30/1970</t>
  </si>
  <si>
    <t>cubic feet per second</t>
  </si>
  <si>
    <t>['discharge', 'cubic feet per second', 'water year']</t>
  </si>
  <si>
    <t>LB_162</t>
  </si>
  <si>
    <t>Near Mesa Grande, California</t>
  </si>
  <si>
    <t>['T. 12 S., R. 1 E.']</t>
  </si>
  <si>
    <t>Black Canyon Creek</t>
  </si>
  <si>
    <t>11/01/1914-05/31/1915</t>
  </si>
  <si>
    <t>{'Discharge': 'second-feet'}</t>
  </si>
  <si>
    <t>LB_108</t>
  </si>
  <si>
    <t>Near Almond, California</t>
  </si>
  <si>
    <t>['NW. 1/4 sec. 23, T. 12 S., R. 1 E.']</t>
  </si>
  <si>
    <t>Temescal Creek</t>
  </si>
  <si>
    <t>02/15/1913-09/30/1914</t>
  </si>
  <si>
    <t>Unavailable from data</t>
  </si>
  <si>
    <t>{'Discharge': None}</t>
  </si>
  <si>
    <t>['Discharge measurements', 'wading']</t>
  </si>
  <si>
    <t>LB_109</t>
  </si>
  <si>
    <t>T. 6 N., R. 32 W.</t>
  </si>
  <si>
    <t>['11K1', '11L1', '11L2']</t>
  </si>
  <si>
    <t>Doty and Mercer Well</t>
  </si>
  <si>
    <t>Unknown</t>
  </si>
  <si>
    <t>{'Altitude': 'feet', 'Depth': 'feet', 'Diameter': 'inches'}</t>
  </si>
  <si>
    <t>['Gravel', 'Irrigation', 'Pump']</t>
  </si>
  <si>
    <t>LB_57</t>
  </si>
  <si>
    <t>['11R1']</t>
  </si>
  <si>
    <t>Murdo Campbell Well</t>
  </si>
  <si>
    <t>LB_58</t>
  </si>
  <si>
    <t>['12C1']</t>
  </si>
  <si>
    <t>Floyd Larsen Well</t>
  </si>
  <si>
    <t>Sept. 4, 1941</t>
  </si>
  <si>
    <t>{'Altitude': 'feet', 'Depth': 'feet'}</t>
  </si>
  <si>
    <t>['Gravel', 'Dewatering']</t>
  </si>
  <si>
    <t>LB_59</t>
  </si>
  <si>
    <t>['12C2']</t>
  </si>
  <si>
    <t>Frank Hansen Well</t>
  </si>
  <si>
    <t>['Sandy clay', 'Sand', 'Dewatering']</t>
  </si>
  <si>
    <t>LB_60</t>
  </si>
  <si>
    <t>['12F1']</t>
  </si>
  <si>
    <t>George Johansen Well</t>
  </si>
  <si>
    <t>Sept. 5, 1941</t>
  </si>
  <si>
    <t>['Gravel', 'Dewatering', 'Springs']</t>
  </si>
  <si>
    <t>LB_61</t>
  </si>
  <si>
    <t>['12G1']</t>
  </si>
  <si>
    <t>Anna T. Christiansen Well</t>
  </si>
  <si>
    <t>['Gravel', 'Sand', 'Dewatering', 'Springs']</t>
  </si>
  <si>
    <t>LB_62</t>
  </si>
  <si>
    <t>['12G2', '12G3']</t>
  </si>
  <si>
    <t>J. Petersen Well</t>
  </si>
  <si>
    <t>['Gravel', 'Sand', 'Dewatering']</t>
  </si>
  <si>
    <t>LB_63</t>
  </si>
  <si>
    <t>['12H1']</t>
  </si>
  <si>
    <t>L. Thompson Well</t>
  </si>
  <si>
    <t>['Dewatering']</t>
  </si>
  <si>
    <t>LB_64</t>
  </si>
  <si>
    <t>['12H2']</t>
  </si>
  <si>
    <t>R. J. Batty Well</t>
  </si>
  <si>
    <t>LB_65</t>
  </si>
  <si>
    <t>['12H3']</t>
  </si>
  <si>
    <t>Henry Gill Well</t>
  </si>
  <si>
    <t>['Sand', 'Gravel']</t>
  </si>
  <si>
    <t>LB_66</t>
  </si>
  <si>
    <t>['12J1']</t>
  </si>
  <si>
    <t>Buellton Union School Well</t>
  </si>
  <si>
    <t>Sept. 6, 1941</t>
  </si>
  <si>
    <t>LB_67</t>
  </si>
  <si>
    <t>['12J2']</t>
  </si>
  <si>
    <t>A. Bodine Well</t>
  </si>
  <si>
    <t>Sept. 11, 1941</t>
  </si>
  <si>
    <t>LB_68</t>
  </si>
  <si>
    <t>['12J3']</t>
  </si>
  <si>
    <t>L. H. Lauritzen Well</t>
  </si>
  <si>
    <t>LB_69</t>
  </si>
  <si>
    <t>['12J4']</t>
  </si>
  <si>
    <t>Robert Andersen Well</t>
  </si>
  <si>
    <t>{'Depth': 'feet'}</t>
  </si>
  <si>
    <t>['Dewatering', 'Springs']</t>
  </si>
  <si>
    <t>LB_70</t>
  </si>
  <si>
    <t>['12J5']</t>
  </si>
  <si>
    <t>Seaside Oil Co Well</t>
  </si>
  <si>
    <t>LB_71</t>
  </si>
  <si>
    <t>['12J6']</t>
  </si>
  <si>
    <t>Shell Oil Co Well</t>
  </si>
  <si>
    <t>LB_72</t>
  </si>
  <si>
    <t>['12J7']</t>
  </si>
  <si>
    <t>Petersen Estate Well</t>
  </si>
  <si>
    <t>LB_73</t>
  </si>
  <si>
    <t>About 2 miles east of Lompoc, on southwest side of walnut orchard, 150 feet northeast of Santa Ynez River, 0.5 mile southeast of Robinson Bridge</t>
  </si>
  <si>
    <t>City of Santa Barbara well 1-A</t>
  </si>
  <si>
    <t>08/26/1930-12/22/1942</t>
  </si>
  <si>
    <t>Monthly measurements from Aug 1930 to Dec 1942</t>
  </si>
  <si>
    <t>Feet above sea-level datum of 1929</t>
  </si>
  <si>
    <t>['ground-water basins', 'well 1-A', 'measuring point', 'city of Santa Barbara', 'Geological Survey']</t>
  </si>
  <si>
    <t>LB_2</t>
  </si>
  <si>
    <t>About sec. 34, T. 44 N., R. 11 W., about three-fourths of a mile below Placerville, Colo.</t>
  </si>
  <si>
    <t>['T. 44 N., R. 11 W.']</t>
  </si>
  <si>
    <t>San Miguel River</t>
  </si>
  <si>
    <t>El Dorado County</t>
  </si>
  <si>
    <t>09/13/1910-11/30/1912</t>
  </si>
  <si>
    <t>Second-feet for discharge, Acre-feet for run-off</t>
  </si>
  <si>
    <t>['Discharge', 'Second-feet', 'Run-off', 'Acre-feet']</t>
  </si>
  <si>
    <t>LB_95</t>
  </si>
  <si>
    <t>SW 1 sec. 31, T. 10 S., R. 3 W.</t>
  </si>
  <si>
    <t>['T. 10 S.', 'R. 3 W.', 'SW 1 sec. 31']</t>
  </si>
  <si>
    <t>San Luis Rey River</t>
  </si>
  <si>
    <t>04/16/1912-09/30/1916</t>
  </si>
  <si>
    <t>['Monthly discharge', 'Discharge in second-feet', 'Run-off']</t>
  </si>
  <si>
    <t>LB_171</t>
  </si>
  <si>
    <t>Near Lompoc, Calif.</t>
  </si>
  <si>
    <t>Santa Ynez River</t>
  </si>
  <si>
    <t>06/03/1918-09/23/1918</t>
  </si>
  <si>
    <t>{'Gage Height': 'Feet', 'Discharge': 'Sec.-ft'}</t>
  </si>
  <si>
    <t>['Discharge', 'Gage height', 'Sec.-ft']</t>
  </si>
  <si>
    <t>LB_289</t>
  </si>
  <si>
    <t>Arcata, Cal.</t>
  </si>
  <si>
    <t>Mad River near Arcata</t>
  </si>
  <si>
    <t>['description', 'discharge', 'gage heights']</t>
  </si>
  <si>
    <t>LB_233</t>
  </si>
  <si>
    <t>Ukiah, Cal.</t>
  </si>
  <si>
    <t>Ackerman Creek near Ukiah</t>
  </si>
  <si>
    <t>['discharge']</t>
  </si>
  <si>
    <t>LB_234</t>
  </si>
  <si>
    <t>Pasadena, Cal.</t>
  </si>
  <si>
    <t>Arroyo Seco (of San Gabriel River) near Pasadena</t>
  </si>
  <si>
    <t>['description', 'discharge']</t>
  </si>
  <si>
    <t>LB_235</t>
  </si>
  <si>
    <t>Fairoaks, Cal.</t>
  </si>
  <si>
    <t>American River at Fairoaks</t>
  </si>
  <si>
    <t>LB_236</t>
  </si>
  <si>
    <t>Soledad, Cal.</t>
  </si>
  <si>
    <t>Arroyo Seco (of Santa Ynez River) near Soledad</t>
  </si>
  <si>
    <t>LB_237</t>
  </si>
  <si>
    <t>Sonoma, Cal.</t>
  </si>
  <si>
    <t>Arroyo Seco (of Sonoma Creek) near Sonoma</t>
  </si>
  <si>
    <t>Sonoma County</t>
  </si>
  <si>
    <t>LB_238</t>
  </si>
  <si>
    <t>East Auburn, Cal.</t>
  </si>
  <si>
    <t>American River, Middle Fork, near East Auburn</t>
  </si>
  <si>
    <t>Placer County</t>
  </si>
  <si>
    <t>LB_239</t>
  </si>
  <si>
    <t>Colfax, Cal.</t>
  </si>
  <si>
    <t>American River, North Fork, near Colfax</t>
  </si>
  <si>
    <t>LB_240</t>
  </si>
  <si>
    <t>Kyburz, Cal.</t>
  </si>
  <si>
    <t>American River, South Fork, near Kyburz</t>
  </si>
  <si>
    <t>LB_241</t>
  </si>
  <si>
    <t>Red Bluff, Cal.</t>
  </si>
  <si>
    <t>Antelope Creek near Red Bluff</t>
  </si>
  <si>
    <t>LB_242</t>
  </si>
  <si>
    <t>Sacramento River at Antler, Cal.</t>
  </si>
  <si>
    <t>Antler, Cal., Sacramento River at Antler</t>
  </si>
  <si>
    <t>LB_243</t>
  </si>
  <si>
    <t>Kern River near Bakersfield, Cal.</t>
  </si>
  <si>
    <t>Bakersfield, Cal., Kern River near Bakersfield</t>
  </si>
  <si>
    <t>Kern County</t>
  </si>
  <si>
    <t>LB_244</t>
  </si>
  <si>
    <t>Middle Fork of Cosumnes River at Bakers Ford, Cal.</t>
  </si>
  <si>
    <t>Bakers Ford, Cal., Middle Fork of Cosumnes River at Bakers Ford</t>
  </si>
  <si>
    <t>LB_245</t>
  </si>
  <si>
    <t>McCloud River at Baird, Cal.</t>
  </si>
  <si>
    <t>Baird, Cal., McCloud River at Baird</t>
  </si>
  <si>
    <t>LB_246</t>
  </si>
  <si>
    <t>20 16 7, 20 16 36, 19 17 1, 19 16 34, 19 16 34, 19 16 34, 19 17 10, 19 17 13, 19 17 7, 19 17 18, 19 17 8, 19 17 6, 19 17 4, 20 16 31, 20 16 33, 20 16 16, 20 16 24, 20 16 25, 20 16 31, 20 16 30, 20 16 20, 20 16 18, 20 16 18, 20 16 10, 20 16 14, 20 16 24, 20 16 22, 20 16 28, 20 16 28, 20 16 35, 20 16 26, 20 16 36, 20 16 24, 20 16 12, 20 16 18, 20 16 19</t>
  </si>
  <si>
    <t>['20 16 7', '20 16 36', '19 17 1', '19 16 34', '19 16 34', '19 16 34', '19 17 10', '19 17 13', '19 17 7', '19 17 18', '19 17 8', '19 17 6', '19 17 4', '20 16 31', '20 16 33', '20 16 16', '20 16 24', '20 16 25', '20 16 31', '20 16 30', '20 16 20', '20 16 18', '20 16 18', '20 16 10', '20 16 14', '20 16 24', '20 16 22', '20 16 28', '20 16 28', '20 16 35', '20 16 26', '20 16 36', '20 16 24', '20 16 12', '20 16 18', '20 16 19']</t>
  </si>
  <si>
    <t>Fresno</t>
  </si>
  <si>
    <t>1880-01/01/1888 to 1899-12/31/1899</t>
  </si>
  <si>
    <t>['wells', 'yield', 'water level']</t>
  </si>
  <si>
    <t>LB_278</t>
  </si>
  <si>
    <t>Chipps Island, Kern County, California</t>
  </si>
  <si>
    <t>['N/A']</t>
  </si>
  <si>
    <t>Chipps Island Channel</t>
  </si>
  <si>
    <t>N/A</t>
  </si>
  <si>
    <t>Instantaneous</t>
  </si>
  <si>
    <t>['subsection discharges', 'instantaneous total discharge', 'interpolation procedure']</t>
  </si>
  <si>
    <t>LB_47</t>
  </si>
  <si>
    <t>near Palm Springs, Calif.</t>
  </si>
  <si>
    <t>['T. 5 S., R. 4 E., sec. 11']</t>
  </si>
  <si>
    <t>Tahquitz Creek</t>
  </si>
  <si>
    <t>1948-10/1950-09</t>
  </si>
  <si>
    <t>[{'Discharge': 'cubic feet per second'}, {'Runoff': 'acre-feet'}]</t>
  </si>
  <si>
    <t>['cubic feet per second', 'runoff', 'discharge']</t>
  </si>
  <si>
    <t>LB_281</t>
  </si>
  <si>
    <t>['SE1 sec. 11, T. 5 S., R. 4 E.']</t>
  </si>
  <si>
    <t>Palm Canyon Creek</t>
  </si>
  <si>
    <t>1930-10/1950-09</t>
  </si>
  <si>
    <t>LB_282</t>
  </si>
  <si>
    <t>Alluvial deposits adjacent to the Santa Ynez River from San Lucas Bridge to Robinson Bridge, California</t>
  </si>
  <si>
    <t>Aquifer</t>
  </si>
  <si>
    <t>1935-11/01/1951</t>
  </si>
  <si>
    <t>Yearly</t>
  </si>
  <si>
    <t>acre-feet per year</t>
  </si>
  <si>
    <t>['aquifer tests', 'underflow', 'ground-water gradient', 'saturated cross-sectional area']</t>
  </si>
  <si>
    <t>LB_250</t>
  </si>
  <si>
    <t>1945-04/01/1952</t>
  </si>
  <si>
    <t>acre-feet</t>
  </si>
  <si>
    <t>['pumpage', 'electric power', 'irrigation season', 'pump-efficiency tests']</t>
  </si>
  <si>
    <t>LB_251</t>
  </si>
  <si>
    <t>NW1NE1 sec 14, T.10 S., R.21 E.</t>
  </si>
  <si>
    <t>['T.10 S., R.21 E., NW1NE1 sec 14']</t>
  </si>
  <si>
    <t>Fresno County</t>
  </si>
  <si>
    <t>Feb. 6, 1937-Mar. 22, 1958</t>
  </si>
  <si>
    <t>Daily to Monthly</t>
  </si>
  <si>
    <t>{'Gage_Height': 'feet', 'Discharge': 'cubic feet per second (cfs)'}</t>
  </si>
  <si>
    <t>['Stage-discharge relation', 'Discharge', 'Gage height']</t>
  </si>
  <si>
    <t>LB_48</t>
  </si>
  <si>
    <t>SW1SW1 sec 16, T.15 S., R.12 E.</t>
  </si>
  <si>
    <t>['T.15 S., R.12 E., SW1SW1 sec 16']</t>
  </si>
  <si>
    <t>Panoche Creek below Silver Creek near Panoche</t>
  </si>
  <si>
    <t>Annual Peaks (1958)</t>
  </si>
  <si>
    <t>['Stage-discharge relation', 'Discharge']</t>
  </si>
  <si>
    <t>LB_49</t>
  </si>
  <si>
    <t>near Willits, Calif.</t>
  </si>
  <si>
    <t>Tomki Creek near Willits</t>
  </si>
  <si>
    <t>LB_230</t>
  </si>
  <si>
    <t>Right bank 0.2 mile downstream from Bloody Run Creek, 0.9 mile upstream from mouth, and 8.2 miles downstream from Longvale</t>
  </si>
  <si>
    <t>['NEt sec.1 T.20 N. R.14 W.']</t>
  </si>
  <si>
    <t>Outlet Creek near Longvale</t>
  </si>
  <si>
    <t>10/01/1956-09/30/1965</t>
  </si>
  <si>
    <t>Daily to hourly during peak events</t>
  </si>
  <si>
    <t>LB_4</t>
  </si>
  <si>
    <t>on left bank at highway bridge on Redding-Igo road, 1.0 mile northeast of Igo, 8 miles southwest of Redding, and 11.1 miles upstream from mouth.</t>
  </si>
  <si>
    <t>['T.31 N., R.6 W., NEANE sec 27']</t>
  </si>
  <si>
    <t>Clear Creek near Igo</t>
  </si>
  <si>
    <t>Shasta County</t>
  </si>
  <si>
    <t>10/01/1940-09/30/1965</t>
  </si>
  <si>
    <t>{'Discharge': 'cubic feet per second (cfs)', 'Gage_height': 'feet', 'Drainage_area': 'square miles (sq mi)', 'Average_discharge': {'value': 410, 'unit': 'cfs'}, 'Annual_average_discharge': {'value': 296800, 'unit': 'acre-ft per year'}}</t>
  </si>
  <si>
    <t>['Discharge', 'Gage height', 'Digital water-stage recorder']</t>
  </si>
  <si>
    <t>LB_127</t>
  </si>
  <si>
    <t>SACRAMENTO RIVER BASIN, California</t>
  </si>
  <si>
    <t>Seigler Creek at Lower Lake</t>
  </si>
  <si>
    <t>10/01/1966-09/30/1967</t>
  </si>
  <si>
    <t>Cubic Feet Per Second</t>
  </si>
  <si>
    <t>LB_84</t>
  </si>
  <si>
    <t>10/01/1967-09/30/1968</t>
  </si>
  <si>
    <t>LB_85</t>
  </si>
  <si>
    <t>Near Morgan Hill, California</t>
  </si>
  <si>
    <t>UVAS CREEK ABOVE UVAS RESERVOIR</t>
  </si>
  <si>
    <t>Santa Clara</t>
  </si>
  <si>
    <t>10/01/1966-12/31/1966</t>
  </si>
  <si>
    <t>{'Discharge': 'cfs', 'Suspended_Sediment_Concentration': 'ppm', 'Tons_Per_Day': 'tons per day'}</t>
  </si>
  <si>
    <t>['suspended sediment', 'mean discharge']</t>
  </si>
  <si>
    <t>LB_82</t>
  </si>
  <si>
    <t>Weott, California</t>
  </si>
  <si>
    <t>BULL CREEK NEAR WEOTT</t>
  </si>
  <si>
    <t>02/07/1967-07/18/1967</t>
  </si>
  <si>
    <t>2 days (Mostly)</t>
  </si>
  <si>
    <t>{'Suspended-sediment concentration': 'ppm', 'Turbidity as SiO2': 'ppm'}</t>
  </si>
  <si>
    <t>['suspended-sediment concentration', 'turbidity']</t>
  </si>
  <si>
    <t>LB_277</t>
  </si>
  <si>
    <t>Alameda County Water District</t>
  </si>
  <si>
    <t>Not Water Related</t>
  </si>
  <si>
    <t>['Water District']</t>
  </si>
  <si>
    <t>LB_40</t>
  </si>
  <si>
    <t>Kings River Water Association</t>
  </si>
  <si>
    <t>['Water Association']</t>
  </si>
  <si>
    <t>LB_41</t>
  </si>
  <si>
    <t>Metropolitan Water District of Southern California</t>
  </si>
  <si>
    <t>LB_42</t>
  </si>
  <si>
    <t>Santa Cruz County Flood Control and Water Conservation District</t>
  </si>
  <si>
    <t>Santa Cruz County</t>
  </si>
  <si>
    <t>['Flood Control', 'Water Conservation District']</t>
  </si>
  <si>
    <t>LB_43</t>
  </si>
  <si>
    <t>Sierra Pacific Power Company</t>
  </si>
  <si>
    <t>['Power Company']</t>
  </si>
  <si>
    <t>LB_44</t>
  </si>
  <si>
    <t>Southern California Edison Company</t>
  </si>
  <si>
    <t>['Edison Company']</t>
  </si>
  <si>
    <t>LB_45</t>
  </si>
  <si>
    <t>Yuba County Water Agency</t>
  </si>
  <si>
    <t>Yuba County</t>
  </si>
  <si>
    <t>['Water Agency']</t>
  </si>
  <si>
    <t>LB_46</t>
  </si>
  <si>
    <t>Near Cottonwood, California</t>
  </si>
  <si>
    <t>['T.29 N. R.3 W., SWI2 sec. 1']</t>
  </si>
  <si>
    <t>Battle Creek Below Coleman Fish Hatchery</t>
  </si>
  <si>
    <t>10/01/1969-03/31/1970</t>
  </si>
  <si>
    <t>°C</t>
  </si>
  <si>
    <t>['temperature', 'water temperatures']</t>
  </si>
  <si>
    <t>LB_170</t>
  </si>
  <si>
    <t>Near Niles, California</t>
  </si>
  <si>
    <t>Alameda Creek</t>
  </si>
  <si>
    <t>Contra Costa County</t>
  </si>
  <si>
    <t>01/01/1901-12/31/1950</t>
  </si>
  <si>
    <t>{'Discharge': 'cubic feet per second', 'Runoff': 'acre-feet'}</t>
  </si>
  <si>
    <t>['discharge', 'runoff', 'acre-feet', 'cubic feet per second']</t>
  </si>
  <si>
    <t>LB_50</t>
  </si>
  <si>
    <t>Burns, Oregon</t>
  </si>
  <si>
    <t>Devine Canyon near Burns</t>
  </si>
  <si>
    <t>Harney County, Oregon</t>
  </si>
  <si>
    <t>1965-12/31/YYYY</t>
  </si>
  <si>
    <t>Annual peaks (water years) since 1965</t>
  </si>
  <si>
    <t>['Drainage area', 'Annual peaks']</t>
  </si>
  <si>
    <t>LB_5</t>
  </si>
  <si>
    <t>Poison Creek near Burns</t>
  </si>
  <si>
    <t>1921-12/31/1922</t>
  </si>
  <si>
    <t>Daily or monthly figures (calendar years) for 1921-22</t>
  </si>
  <si>
    <t>['Drainage area', 'Daily or monthly figures']</t>
  </si>
  <si>
    <t>LB_6</t>
  </si>
  <si>
    <t>Prater (Prather) Creek near Burns</t>
  </si>
  <si>
    <t>1921-12/31/1923</t>
  </si>
  <si>
    <t>Daily or monthly figures (calendar years) for 1921-23</t>
  </si>
  <si>
    <t>LB_7</t>
  </si>
  <si>
    <t>Lawen, Oregon</t>
  </si>
  <si>
    <t>East Fork Silvies River near Lawen, Oreg West Fork Silvies River</t>
  </si>
  <si>
    <t>1916-12/31/1916</t>
  </si>
  <si>
    <t>Daily or monthly figures for 1916</t>
  </si>
  <si>
    <t>LB_8</t>
  </si>
  <si>
    <t>Sage Hen Creek near Burns</t>
  </si>
  <si>
    <t>1968-12/31/YYYY</t>
  </si>
  <si>
    <t>Annual peaks (water years) since 1968</t>
  </si>
  <si>
    <t>LB_9</t>
  </si>
  <si>
    <t>West Fork Silvies River near Lawen, Oreg</t>
  </si>
  <si>
    <t>1916-12/31/1917; 1919; 1922</t>
  </si>
  <si>
    <t>Daily or monthly figures for 1916-17; 1919; 1922</t>
  </si>
  <si>
    <t>LB_10</t>
  </si>
  <si>
    <t>Near Diamond, Oregon</t>
  </si>
  <si>
    <t>Donner und Blitzen River (at P Ranch, near Diamond)</t>
  </si>
  <si>
    <t>1911-12/31/1921; 1929-30; 1937-12/31/YYYY</t>
  </si>
  <si>
    <t>Daily or monthly figures for 1911-21; 1929-30; 1937-</t>
  </si>
  <si>
    <t>LB_11</t>
  </si>
  <si>
    <t>Mud Creek near Diamond, Oreg</t>
  </si>
  <si>
    <t>1911-12/31/1916; 1930</t>
  </si>
  <si>
    <t>Daily or monthly figures for 1911-16; 1930</t>
  </si>
  <si>
    <t>LB_12</t>
  </si>
  <si>
    <t>Bridge Creek near Frenchglen (Diamond), Oreg</t>
  </si>
  <si>
    <t>1911-12/31/1916; 1930; 1937-12/31/1970</t>
  </si>
  <si>
    <t>Daily or monthly figures for 1911-16; 1930; 1937-70</t>
  </si>
  <si>
    <t>LB_13</t>
  </si>
  <si>
    <t>Krumbo Creek near Diamond, Oreg</t>
  </si>
  <si>
    <t>1911; 1930</t>
  </si>
  <si>
    <t>Daily or monthly figures for 1911; 1930</t>
  </si>
  <si>
    <t>LB_14</t>
  </si>
  <si>
    <t>Near Narrows, Oregon</t>
  </si>
  <si>
    <t>Buena Vista Canal near Narrows, Oreg</t>
  </si>
  <si>
    <t>1915-12/31/1920</t>
  </si>
  <si>
    <t>Daily or monthly figures for 1915-20</t>
  </si>
  <si>
    <t>LB_15</t>
  </si>
  <si>
    <t>Donner und Blitzen River near Narrows, Oreg</t>
  </si>
  <si>
    <t>LB_16</t>
  </si>
  <si>
    <t>Kiger (Keiger) Creek near Diamond, Oreg</t>
  </si>
  <si>
    <t>1911-12/31/1913; 1916-12/31/1921; 1930; 1941</t>
  </si>
  <si>
    <t>Daily or monthly figures for 1911-13; 1916-21; 1930; 1941</t>
  </si>
  <si>
    <t>LB_17</t>
  </si>
  <si>
    <t>Cucamonga (Cocomonga) Creek near Diamond, Oreg McCoy Creek near Diamond, Oreg</t>
  </si>
  <si>
    <t>{'Cucamonga': '1916; 1930', 'McCoy': '1910; 1911; 1914; 1916-12/31/1921; 1930; 1941'}</t>
  </si>
  <si>
    <t>Cucamonga: 1916; 1930. McCoy: 1910; 1911; 1914; 1916-21; 1930; 1941.</t>
  </si>
  <si>
    <t>LB_18</t>
  </si>
  <si>
    <t>Near Smith, Oregon</t>
  </si>
  <si>
    <t>Riddle Creek near Smith, Oreg</t>
  </si>
  <si>
    <t>Malheur County, Oregon</t>
  </si>
  <si>
    <t>Daily or monthly figures for 1911</t>
  </si>
  <si>
    <t>LB_19</t>
  </si>
  <si>
    <t>Riddle Creek near Diamond, Oreg</t>
  </si>
  <si>
    <t>1917-12/31/1921</t>
  </si>
  <si>
    <t>Daily or monthly figures for 1917-21</t>
  </si>
  <si>
    <t>LB_20</t>
  </si>
  <si>
    <t>Near Voltage, Oregon</t>
  </si>
  <si>
    <t>Donner und Blitzen River near Voltage, Oreg</t>
  </si>
  <si>
    <t>1938-12/31/1946</t>
  </si>
  <si>
    <t>Daily or monthly figures for 1938-46</t>
  </si>
  <si>
    <t>LB_21</t>
  </si>
  <si>
    <t>At Narrows, Oregon</t>
  </si>
  <si>
    <t>Malheur Lake Outlet (Malheur Lake) at Narrows, Oreg</t>
  </si>
  <si>
    <t>1903-12/31/1916</t>
  </si>
  <si>
    <t>Gage heights or gage heights and discharge measurements only for 1903-6; 1909; 1911-14*; 1916.</t>
  </si>
  <si>
    <t>['Gage heights', 'Drainage area']</t>
  </si>
  <si>
    <t>LB_22</t>
  </si>
  <si>
    <t>Mud Lake Outlet near Narrows, Oreg Harney Lake</t>
  </si>
  <si>
    <t>1916-12/31/1922</t>
  </si>
  <si>
    <t>Daily or monthly figures for 1916-18; 1921-22.</t>
  </si>
  <si>
    <t>LB_23</t>
  </si>
  <si>
    <t>Near Riley, Oregon</t>
  </si>
  <si>
    <t>Silver Creek near Riley, Oreg</t>
  </si>
  <si>
    <t>1951-12/31/YYYY</t>
  </si>
  <si>
    <t>Daily or monthly figures since 1951</t>
  </si>
  <si>
    <t>LB_24</t>
  </si>
  <si>
    <t>Above Suntex, near Riley, Oregon</t>
  </si>
  <si>
    <t>Silver Creek above Suntex (Riley), Oreg</t>
  </si>
  <si>
    <t>1909-12/31/1926</t>
  </si>
  <si>
    <t>Daily or monthly figures for 1909-6; 1909-12; 1914-23; 1925-26.</t>
  </si>
  <si>
    <t>LB_25</t>
  </si>
  <si>
    <t>Near Suntex, near Riley, Oregon</t>
  </si>
  <si>
    <t>Chickahominy Creek near Suntex (Riley), Oreg</t>
  </si>
  <si>
    <t>1917; 1921-23</t>
  </si>
  <si>
    <t>Daily or monthly figures for 1917; 1921u; 1922-23.</t>
  </si>
  <si>
    <t>LB_26</t>
  </si>
  <si>
    <t>Near Suntex, Oregon</t>
  </si>
  <si>
    <t>Rock Quarry Creek near Suntex, Oreg</t>
  </si>
  <si>
    <t>1921-23</t>
  </si>
  <si>
    <t>Daily or monthly figures for 1921u; 1922.</t>
  </si>
  <si>
    <t>LB_27</t>
  </si>
  <si>
    <t>Below Suntex, near Riley, Oregon</t>
  </si>
  <si>
    <t>Silver Creek below Suntex (below Riley), Oreg</t>
  </si>
  <si>
    <t>1912-12/31/1923</t>
  </si>
  <si>
    <t>Daily or monthly figures for 1912-13; 1921-23.</t>
  </si>
  <si>
    <t>LB_28</t>
  </si>
  <si>
    <t>Dunn Field ditch near Narrows, Oreg</t>
  </si>
  <si>
    <t>Daily or monthly figures for 1917.</t>
  </si>
  <si>
    <t>LB_29</t>
  </si>
  <si>
    <t>Silver Creek near Narrows, Oreg CATLOW VALLEY</t>
  </si>
  <si>
    <t>1917; 1919-12/31/1923</t>
  </si>
  <si>
    <t>Daily or monthly figures for 1917; 1919-23.</t>
  </si>
  <si>
    <t>LB_30</t>
  </si>
  <si>
    <t>Home Creek near Beckley (Narrows), Oreg ALVORD LAKE BASIN</t>
  </si>
  <si>
    <t>1911-12/31/1930</t>
  </si>
  <si>
    <t>Daily or monthly figures for 1911-12; 1915-17; 1930.</t>
  </si>
  <si>
    <t>LB_31</t>
  </si>
  <si>
    <t>Near Denio, Nevada (Oregon)</t>
  </si>
  <si>
    <t>Trout Creek near Denio, Nev. (Oreg. )</t>
  </si>
  <si>
    <t>1922-23; 1925-12/31/YYYY</t>
  </si>
  <si>
    <t>-12; 1922-23; 1925-</t>
  </si>
  <si>
    <t>LB_32</t>
  </si>
  <si>
    <t>Near Denio, Oregon</t>
  </si>
  <si>
    <t>Little Cottonwood Creek near Denio, Oreg TUMTUM LAKE BASIN</t>
  </si>
  <si>
    <t>Daily or monthly figures for 1911-12.</t>
  </si>
  <si>
    <t>LB_33</t>
  </si>
  <si>
    <t>Big Spring Reservoir tributary near Denion, Nev Pueblo Slough</t>
  </si>
  <si>
    <t>1963-12/31/YYYY</t>
  </si>
  <si>
    <t>Annual peaks since 1963</t>
  </si>
  <si>
    <t>LB_34</t>
  </si>
  <si>
    <t>Van Horn Creek near Denio, Oreg</t>
  </si>
  <si>
    <t>Daily or monthly figures for 1911.</t>
  </si>
  <si>
    <t>LB_35</t>
  </si>
  <si>
    <t>Dos Rios, Calif</t>
  </si>
  <si>
    <t>Eel River</t>
  </si>
  <si>
    <t>Humboldt County, California</t>
  </si>
  <si>
    <t>06/17/1917-08/18/1917</t>
  </si>
  <si>
    <t>1-2 months</t>
  </si>
  <si>
    <t>{'Gage_Height': 'Feet', 'Discharge': 'Sec.-ft.'}</t>
  </si>
  <si>
    <t>['Discharge', 'Pacific Ocean']</t>
  </si>
  <si>
    <t>LB_173</t>
  </si>
  <si>
    <t>Mouth, Calif</t>
  </si>
  <si>
    <t>South Eel River</t>
  </si>
  <si>
    <t>06/14/1917-08/18/1917</t>
  </si>
  <si>
    <t>2 months</t>
  </si>
  <si>
    <t>['Discharge', 'Eel River']</t>
  </si>
  <si>
    <t>LB_174</t>
  </si>
  <si>
    <t>Gaging station near Korbel, Calif.</t>
  </si>
  <si>
    <t>Redwood Creek</t>
  </si>
  <si>
    <t>06/28/1917-10/13/1917</t>
  </si>
  <si>
    <t>3 months</t>
  </si>
  <si>
    <t>LB_175</t>
  </si>
  <si>
    <t>Below tributary on Lenz ranch, in sec. 22, T. 30 S., R. 8 E., Oreg.</t>
  </si>
  <si>
    <t>['sec. 22', 'T. 30 S.', 'R. 8 E.']</t>
  </si>
  <si>
    <t>Big Spring Creek</t>
  </si>
  <si>
    <t>Klamath County, Oregon</t>
  </si>
  <si>
    <t>06/15/1917-10/13/1917</t>
  </si>
  <si>
    <t>4 months</t>
  </si>
  <si>
    <t>['Discharge', 'Klamath Marsh']</t>
  </si>
  <si>
    <t>LB_176</t>
  </si>
  <si>
    <t>Crescent Road crossing, Oreg</t>
  </si>
  <si>
    <t>Sand Creek</t>
  </si>
  <si>
    <t>LB_177</t>
  </si>
  <si>
    <t>Above rapids, near mouth; Oreg.</t>
  </si>
  <si>
    <t>Spring Creek</t>
  </si>
  <si>
    <t>Jackson County, Oregon</t>
  </si>
  <si>
    <t>09/26/1917-Sept 13</t>
  </si>
  <si>
    <t>['Discharge', 'Williamson River']</t>
  </si>
  <si>
    <t>LB_178</t>
  </si>
  <si>
    <t>Ford above Sycan River, near Oreg.</t>
  </si>
  <si>
    <t>Sprague River</t>
  </si>
  <si>
    <t>Apr. 17/1917-Sep 13</t>
  </si>
  <si>
    <t>LB_179</t>
  </si>
  <si>
    <t>Beatty, Oreg. 1 mile above mouth, in sec. 2. T. 36 S., R. 13 E., near Bly, Oreg.</t>
  </si>
  <si>
    <t>['sec. 2', 'T. 36 S.', 'R. 13 E.']</t>
  </si>
  <si>
    <t>Five Mile Creek</t>
  </si>
  <si>
    <t>Baker County, Oregon</t>
  </si>
  <si>
    <t>Apr. 17/1917-Oct. 13</t>
  </si>
  <si>
    <t>5 months</t>
  </si>
  <si>
    <t>['Discharge', 'Sprague River']</t>
  </si>
  <si>
    <t>LB_180</t>
  </si>
  <si>
    <t>Near Fort Klamath, Oreg., in sec. 26, T. 33 S., R. 71/2 E.</t>
  </si>
  <si>
    <t>['sec. 26', 'T. 33 S.', 'R. 7 1/2 E.']</t>
  </si>
  <si>
    <t>Fort Creek</t>
  </si>
  <si>
    <t>Apr. 30/1917-Oct 10</t>
  </si>
  <si>
    <t>['Discharge', 'Wood River']</t>
  </si>
  <si>
    <t>LB_181</t>
  </si>
  <si>
    <t>Klamath Agency, Oreg., in sec. 13, T. 34 S., R. 71 E.</t>
  </si>
  <si>
    <t>['sec. 13', 'T. 34 S.', 'R. 7 1/2 E.']</t>
  </si>
  <si>
    <t>Crooked Creek</t>
  </si>
  <si>
    <t>LB_182</t>
  </si>
  <si>
    <t>1 mile below Buck Lake, Oreg.</t>
  </si>
  <si>
    <t>Spencer Creek</t>
  </si>
  <si>
    <t>June 30/1917-Oct 7</t>
  </si>
  <si>
    <t>['Discharge', 'Klamath River']</t>
  </si>
  <si>
    <t>LB_183</t>
  </si>
  <si>
    <t>Above Lucerne Water Co. intake in sec. 6, T. 43 N., R. 5 W., Calif.</t>
  </si>
  <si>
    <t>['sec. 6', 'T. 43 N.', 'R. 5 W.']</t>
  </si>
  <si>
    <t>Shasta River</t>
  </si>
  <si>
    <t>Siskiyou County, California</t>
  </si>
  <si>
    <t>July 30/1917-31</t>
  </si>
  <si>
    <t>LB_184</t>
  </si>
  <si>
    <t>Callahan, Calif</t>
  </si>
  <si>
    <t>Scott River</t>
  </si>
  <si>
    <t>July 23/1917-Oct 27</t>
  </si>
  <si>
    <t>LB_185</t>
  </si>
  <si>
    <t>Sugar Creek</t>
  </si>
  <si>
    <t>['Discharge', 'Scott River']</t>
  </si>
  <si>
    <t>LB_186</t>
  </si>
  <si>
    <t>French Creek</t>
  </si>
  <si>
    <t>LB_187</t>
  </si>
  <si>
    <t>Hoopa, Calif</t>
  </si>
  <si>
    <t>Supply Creek</t>
  </si>
  <si>
    <t>June 16/1917-Aug 22</t>
  </si>
  <si>
    <t>['Discharge', 'Trinity River']</t>
  </si>
  <si>
    <t>LB_188</t>
  </si>
  <si>
    <t>Lanfair, Calif</t>
  </si>
  <si>
    <t>Lanfair</t>
  </si>
  <si>
    <t>03/01/1912-03/31/1915</t>
  </si>
  <si>
    <t>inches</t>
  </si>
  <si>
    <t>Precipitation</t>
  </si>
  <si>
    <t>['precipitation', 'rainfall', 'annual precipitation']</t>
  </si>
  <si>
    <t>LB_99</t>
  </si>
  <si>
    <t>San Francisco Bay</t>
  </si>
  <si>
    <t>Not Available</t>
  </si>
  <si>
    <t>Marin, San Mateo, Alameda, Contra Costa, Solano</t>
  </si>
  <si>
    <t>07/09/1976-07/09/1976</t>
  </si>
  <si>
    <t>15 minutes</t>
  </si>
  <si>
    <t>{'Fluorescence Chlorophyll': 'mg/m3', 'Discrete (likely Fluorescence Chlorophyll)': 'mg/m3', 'Turbidity': 'NTU (Nephelometric Turbidity Units)', 'pH': '', 'PC02': 'mmol/kg', 'Alkalinity': 'meq/L', 'POC': 'Not Available', 'Suspended Sediment': 'mg/L'}</t>
  </si>
  <si>
    <t>['Fluorescence Chlorophyll', 'Turbidity', 'pH', 'PC02', 'Alkalinity', 'Suspended Sediment']</t>
  </si>
  <si>
    <t>LB_284</t>
  </si>
  <si>
    <t>Near Naples, Dos Pueblos Canyon Creek</t>
  </si>
  <si>
    <t>['[Data not provided]']</t>
  </si>
  <si>
    <t>Upper Horizontal Well on the Dos Pueblos Ranch</t>
  </si>
  <si>
    <t>12/15/1949-17/06/1959</t>
  </si>
  <si>
    <t>Variable intervals (e.g., daily, monthly)</t>
  </si>
  <si>
    <t>{'Discharge': 'gallons per minute (gpm)', 'Temperature': 'Fahrenheit (°F)'}</t>
  </si>
  <si>
    <t>['Well', 'Discharge', 'Temperature']</t>
  </si>
  <si>
    <t>LB_160</t>
  </si>
  <si>
    <t>Topock, Arizona (at the border with California)</t>
  </si>
  <si>
    <t>Colorado River at Topock, Ariz.</t>
  </si>
  <si>
    <t>Mohave County</t>
  </si>
  <si>
    <t>Oct. 1, 1926 - Apr. 10, 1927</t>
  </si>
  <si>
    <t>10-day intervals</t>
  </si>
  <si>
    <t>{'Discharge': 'cubic feet per second', 'Conductivity': 'microsiemens/cm at 25°C', 'Temperature': 'degrees Celsius', 'Dissolved Solids': 'mg/L', 'pH': None, 'Sodium': 'mg/L', 'Calcium': 'mg/L', 'Magnesium': 'mg/L', 'Potassium': 'mg/L'}</t>
  </si>
  <si>
    <t>['Discharge', 'Conductivity', 'Temperature', 'Dissolved Solids', 'Sodium', 'Calcium', 'Magnesium', 'Potassium']</t>
  </si>
  <si>
    <t>LB_275</t>
  </si>
  <si>
    <t>1971-04/1976-04</t>
  </si>
  <si>
    <t>1971-75</t>
  </si>
  <si>
    <t>['micromhos', 'concentration']</t>
  </si>
  <si>
    <t>['water quality', 'baseline studies', 'statistics', 'nutrients', 'pesticide residues', 'trace elements', 'specific conductance']</t>
  </si>
  <si>
    <t>LB_129</t>
  </si>
  <si>
    <t>Palo Verde Valley, East Side Subarea 17</t>
  </si>
  <si>
    <t>East Side subarea 17</t>
  </si>
  <si>
    <t>Not specified in document</t>
  </si>
  <si>
    <t>Metric units not explicitly given, likely use inch-pound as per context</t>
  </si>
  <si>
    <t>['drains', 'canals']</t>
  </si>
  <si>
    <t>LB_163</t>
  </si>
  <si>
    <t>Palo Verde Valley, West Side and Central Subareas 18</t>
  </si>
  <si>
    <t>West Side and Central subareas 18</t>
  </si>
  <si>
    <t>LB_164</t>
  </si>
  <si>
    <t>Palo Verde Valley, Rannells Subarea 19</t>
  </si>
  <si>
    <t>Rannells subarea 19</t>
  </si>
  <si>
    <t>LB_165</t>
  </si>
  <si>
    <t>Palo Verde Valley, Lower Borrow Pit and South End Subareas 20</t>
  </si>
  <si>
    <t>Lower Borrow Pit and South End subareas 20</t>
  </si>
  <si>
    <t>LB_166</t>
  </si>
  <si>
    <t>Palo Verde Valley, Palo Verde Subarea 21</t>
  </si>
  <si>
    <t>Palo Verde subarea 21</t>
  </si>
  <si>
    <t>LB_167</t>
  </si>
  <si>
    <t>Near Hornbrook</t>
  </si>
  <si>
    <t>Cottonwood Creek near Hornbrook</t>
  </si>
  <si>
    <t>01/01/1965-12/31/1969, 01/01/1971-12/31/1971</t>
  </si>
  <si>
    <t>['Thermograph', 'Stream']</t>
  </si>
  <si>
    <t>LB_253</t>
  </si>
  <si>
    <t>Near Yreka</t>
  </si>
  <si>
    <t>Shasta River near Yreka</t>
  </si>
  <si>
    <t>01/01/1967-12/31/1969, 01/01/1970-12/31/1973</t>
  </si>
  <si>
    <t>['Thermograph', 'River']</t>
  </si>
  <si>
    <t>LB_254</t>
  </si>
  <si>
    <t>Near Seiad Valley</t>
  </si>
  <si>
    <t>Klamath River near Seiad Valley</t>
  </si>
  <si>
    <t>01/01/1964-12/31/1966, 01/01/1967-12/31/1973</t>
  </si>
  <si>
    <t>LB_255</t>
  </si>
  <si>
    <t>At Somesbar</t>
  </si>
  <si>
    <t>Salmon River at Somesbar</t>
  </si>
  <si>
    <t>01/01/1966-12/31/1969, 01/01/1970-12/31/1973</t>
  </si>
  <si>
    <t>LB_256</t>
  </si>
  <si>
    <t>At Orleans</t>
  </si>
  <si>
    <t>Klamath River at Orleans</t>
  </si>
  <si>
    <t>01/01/1966-12/31/1973</t>
  </si>
  <si>
    <t>LB_257</t>
  </si>
  <si>
    <t>At Lewiston</t>
  </si>
  <si>
    <t>Trinity River at Lewiston</t>
  </si>
  <si>
    <t>Del Norte County</t>
  </si>
  <si>
    <t>01/01/1960-12/31/1973</t>
  </si>
  <si>
    <t>LB_258</t>
  </si>
  <si>
    <t>Near Burnt Ranch</t>
  </si>
  <si>
    <t>Trinity River near Burnt Ranch</t>
  </si>
  <si>
    <t>01/01/1963-12/31/1964, 01/01/1967-12/31/1969, 01/01/1971-12/31/1971, 01/01/1973-12/31/1973</t>
  </si>
  <si>
    <t>LB_259</t>
  </si>
  <si>
    <t>Near Klamath</t>
  </si>
  <si>
    <t>Blue Creek near Klamath</t>
  </si>
  <si>
    <t>01/01/1967-12/31/1973</t>
  </si>
  <si>
    <t>['Thermograph', 'Creek']</t>
  </si>
  <si>
    <t>LB_260</t>
  </si>
  <si>
    <t>Near Crescent City</t>
  </si>
  <si>
    <t>Smith River near Crescent City</t>
  </si>
  <si>
    <t>01/01/1967-12/31/1970, 01/01/1973-12/31/1973</t>
  </si>
  <si>
    <t>LB_261</t>
  </si>
  <si>
    <t>Not specified in data</t>
  </si>
  <si>
    <t>['feet', 'percentage', 'mm', 'g per cc', 'lb per cu ft']</t>
  </si>
  <si>
    <t>['Core holes', 'particle analysis', 'Sediment class']</t>
  </si>
  <si>
    <t>LB_288</t>
  </si>
  <si>
    <t>End of roadway up Gato Canyon, about 2.8 miles north of Highway 101.</t>
  </si>
  <si>
    <t>GATO CANYON CREEK ABOVE DIVERSIONS</t>
  </si>
  <si>
    <t>TBD (Inferred from location)</t>
  </si>
  <si>
    <t>Santa Barbara County, California</t>
  </si>
  <si>
    <t>07/08/1954-12/09/1956</t>
  </si>
  <si>
    <t>Varies between measurements</t>
  </si>
  <si>
    <t>{'Discharge': ['Cubic feet per second', 'Gallons per minute'], 'Temperature': '°F'}</t>
  </si>
  <si>
    <t>['discharge', 'cubic feet per second', 'gallons per minute', 'stream channel']</t>
  </si>
  <si>
    <t>LB_37</t>
  </si>
  <si>
    <t>G. Walska Fish Pond, about 0.8 mile northeast of El Capitan Lodge</t>
  </si>
  <si>
    <t>Won's Creek at G. Walska Fish Pond</t>
  </si>
  <si>
    <t>Inferred from location (likely San Luis Obispo County)</t>
  </si>
  <si>
    <t>San Luis Obispo</t>
  </si>
  <si>
    <t>07/07/1954-06/11/1956</t>
  </si>
  <si>
    <t>Varies (measurements not taken at consistent intervals)</t>
  </si>
  <si>
    <t>{'Discharge': ['cubic feet per second', 'gallons per minute'], 'Temperature': 'Fahrenheit'}</t>
  </si>
  <si>
    <t>['Discharge', 'Gallons per minute', 'Cubic feet per second']</t>
  </si>
  <si>
    <t>LB_265</t>
  </si>
  <si>
    <t>sec.5, T.2 S R.11 W. Los Angeles County, 200 ft (60 m) from end of San Gabriel Boulevard (Siphon Road), upstream from Whittier Narrows Dam, and 2.5 mi (4.0 km) northeast of Montebello.</t>
  </si>
  <si>
    <t>['T.2 S R.11 W sec.5']</t>
  </si>
  <si>
    <t>SAN GABRIEL RIVER AT WHITTIER NARROWS, CALIF.</t>
  </si>
  <si>
    <t>10/23/1974-09/25/1975</t>
  </si>
  <si>
    <t>{'Discharge': 'CFS', 'Dissolved_Sulfate': 'MG/L', 'Dissolved_Chloride': 'MG/L', 'Dissolved_Solids': 'MG/L', 'Hardness_Ca_Mg': 'MG/L', 'Specific_Conductance': 'MICRO-MHOS', 'PH': 'UNITS', 'Temperature': 'DEG C', 'Turbidity': 'JTU', 'Dissolved_Oxygen': 'MG/L'}</t>
  </si>
  <si>
    <t>['Discharge', 'Dissolved Solids', 'Specific Conductance']</t>
  </si>
  <si>
    <t>LB_172</t>
  </si>
  <si>
    <t>Near Geyserville, California</t>
  </si>
  <si>
    <t>Dry Creek</t>
  </si>
  <si>
    <t>10/01/1974-09/30/1975</t>
  </si>
  <si>
    <t>Daily for temperature; specific times for chemical analysis (e.g., 1045, 1200, etc.)</t>
  </si>
  <si>
    <t>{'Temperature': 'Degrees Celsius', 'Chemical Concentrations': 'Micrograms per Liter (µg/L) and Micrograms per Gram (µg/G)'}</t>
  </si>
  <si>
    <t>['Chemical Analyses', 'Total Arsenic', 'Boron', 'Cadmium', 'Chromium', 'Copper', 'Lead', 'Mercury', 'Zinc']</t>
  </si>
  <si>
    <t>LB_102</t>
  </si>
  <si>
    <t>near White Hall</t>
  </si>
  <si>
    <t>Alder Creek</t>
  </si>
  <si>
    <t>unknown</t>
  </si>
  <si>
    <t>['Alder Creek', 'near White Hall']</t>
  </si>
  <si>
    <t>LB_189</t>
  </si>
  <si>
    <t>near Riverton</t>
  </si>
  <si>
    <t>Union Valley Reservoir</t>
  </si>
  <si>
    <t>['Union Valley Reservoir', 'near Riverton']</t>
  </si>
  <si>
    <t>LB_190</t>
  </si>
  <si>
    <t>near Kyburz</t>
  </si>
  <si>
    <t>Ice House Reservoir</t>
  </si>
  <si>
    <t>['Ice House Reservoir', 'near Kyburz']</t>
  </si>
  <si>
    <t>LB_191</t>
  </si>
  <si>
    <t>near Ice House</t>
  </si>
  <si>
    <t>South Fork Silver Creek</t>
  </si>
  <si>
    <t>['South Fork Silver Creek', 'near Ice House']</t>
  </si>
  <si>
    <t>LB_192</t>
  </si>
  <si>
    <t>below Camino diversion dam</t>
  </si>
  <si>
    <t>Silver Creek</t>
  </si>
  <si>
    <t>['Silver Creek', 'below Camino diversion dam']</t>
  </si>
  <si>
    <t>LB_193</t>
  </si>
  <si>
    <t>below Silver Creek, near Pollock Pines</t>
  </si>
  <si>
    <t>South Fork American River</t>
  </si>
  <si>
    <t>['South Fork American River', 'below Silver Creek, near Pollock Pines']</t>
  </si>
  <si>
    <t>LB_194</t>
  </si>
  <si>
    <t>near Camino</t>
  </si>
  <si>
    <t>['South Fork American River', 'near Camino']</t>
  </si>
  <si>
    <t>LB_195</t>
  </si>
  <si>
    <t>near Placerville</t>
  </si>
  <si>
    <t>['South Fork American River', 'near Placerville']</t>
  </si>
  <si>
    <t>LB_196</t>
  </si>
  <si>
    <t>near Lotus</t>
  </si>
  <si>
    <t>['South Fork American River', 'near Lotus']</t>
  </si>
  <si>
    <t>LB_197</t>
  </si>
  <si>
    <t>near Folsom</t>
  </si>
  <si>
    <t>Folsom Lake</t>
  </si>
  <si>
    <t>['Folsom Lake', 'near Folsom']</t>
  </si>
  <si>
    <t>LB_198</t>
  </si>
  <si>
    <t>at Fair Oaks</t>
  </si>
  <si>
    <t>American River</t>
  </si>
  <si>
    <t>['American River', 'at Fair Oaks']</t>
  </si>
  <si>
    <t>LB_199</t>
  </si>
  <si>
    <t>at Sacramento</t>
  </si>
  <si>
    <t>Strong Ranch Slough</t>
  </si>
  <si>
    <t>['Strong Ranch Slough', 'at Sacramento']</t>
  </si>
  <si>
    <t>LB_200</t>
  </si>
  <si>
    <t>near Del Paso Heights</t>
  </si>
  <si>
    <t>Arcade Creek</t>
  </si>
  <si>
    <t>['Arcade Creek', 'near Del Paso Heights']</t>
  </si>
  <si>
    <t>LB_201</t>
  </si>
  <si>
    <t>Sacramento River</t>
  </si>
  <si>
    <t>['Sacramento River', 'at Sacramento']</t>
  </si>
  <si>
    <t>LB_202</t>
  </si>
  <si>
    <t>at Freeport</t>
  </si>
  <si>
    <t>Solano County</t>
  </si>
  <si>
    <t>['Sacramento River', 'at Freeport']</t>
  </si>
  <si>
    <t>LB_203</t>
  </si>
  <si>
    <t>at Green's Landing, near Courtland</t>
  </si>
  <si>
    <t>Yolo County</t>
  </si>
  <si>
    <t>['Sacramento River', "at Green's Landing, near Courtland"]</t>
  </si>
  <si>
    <t>LB_204</t>
  </si>
  <si>
    <t>near Kelseyville</t>
  </si>
  <si>
    <t>Adobe Creek</t>
  </si>
  <si>
    <t>['Adobe Creek', 'near Kelseyville']</t>
  </si>
  <si>
    <t>LB_205</t>
  </si>
  <si>
    <t>above Highland Creek Dam</t>
  </si>
  <si>
    <t>Highland Creek</t>
  </si>
  <si>
    <t>['Highland Creek', 'above Highland Creek Dam']</t>
  </si>
  <si>
    <t>LB_206</t>
  </si>
  <si>
    <t>below Highland Creek Dam, near Kelseyville</t>
  </si>
  <si>
    <t>['Highland Creek', 'below Highland Creek Dam, near Kelseyville']</t>
  </si>
  <si>
    <t>LB_207</t>
  </si>
  <si>
    <t>near Lakeport</t>
  </si>
  <si>
    <t>Scotts Creek</t>
  </si>
  <si>
    <t>['Scotts Creek', 'near Lakeport']</t>
  </si>
  <si>
    <t>LB_208</t>
  </si>
  <si>
    <t>Kelsey Creek</t>
  </si>
  <si>
    <t>['Kelsey Creek', 'near Kelseyville']</t>
  </si>
  <si>
    <t>LB_209</t>
  </si>
  <si>
    <t>at Lakeport</t>
  </si>
  <si>
    <t>Clear Lake</t>
  </si>
  <si>
    <t>['Clear Lake', 'at Lakeport']</t>
  </si>
  <si>
    <t>LB_210</t>
  </si>
  <si>
    <t>near Lower Lake</t>
  </si>
  <si>
    <t>['Cache Creek', 'near Lower Lake']</t>
  </si>
  <si>
    <t>LB_211</t>
  </si>
  <si>
    <t>at Hough Springs, near Clearlake Oaks</t>
  </si>
  <si>
    <t>North Fork Cache Creek</t>
  </si>
  <si>
    <t>['North Fork Cache Creek', 'at Hough Springs, near Clearlake Oaks']</t>
  </si>
  <si>
    <t>LB_212</t>
  </si>
  <si>
    <t>['North Fork Cache Creek', 'near Lower Lake']</t>
  </si>
  <si>
    <t>LB_213</t>
  </si>
  <si>
    <t>near Rumsey</t>
  </si>
  <si>
    <t>Bear Creek</t>
  </si>
  <si>
    <t>['Bear Creek', 'near Rumsey']</t>
  </si>
  <si>
    <t>LB_214</t>
  </si>
  <si>
    <t>near Capay</t>
  </si>
  <si>
    <t>['Cache Creek', 'near Capay']</t>
  </si>
  <si>
    <t>LB_215</t>
  </si>
  <si>
    <t>at Yolo</t>
  </si>
  <si>
    <t>['Cache Creek', 'at Yolo']</t>
  </si>
  <si>
    <t>LB_216</t>
  </si>
  <si>
    <t>near Woodland</t>
  </si>
  <si>
    <t>Yolo Bypass</t>
  </si>
  <si>
    <t>['Yolo Bypass', 'near Woodland']</t>
  </si>
  <si>
    <t>LB_217</t>
  </si>
  <si>
    <t>near Guenoc</t>
  </si>
  <si>
    <t>Putah Creek</t>
  </si>
  <si>
    <t>Napa County</t>
  </si>
  <si>
    <t>['Putah Creek', 'near Guenoc']</t>
  </si>
  <si>
    <t>LB_218</t>
  </si>
  <si>
    <t>near Knoxville</t>
  </si>
  <si>
    <t>Hunting Creek</t>
  </si>
  <si>
    <t>['Hunting Creek', 'near Knoxville']</t>
  </si>
  <si>
    <t>LB_219</t>
  </si>
  <si>
    <t>Adams Creek</t>
  </si>
  <si>
    <t>['Adams Creek', 'near Knoxville']</t>
  </si>
  <si>
    <t>LB_220</t>
  </si>
  <si>
    <t>Nevada Creek</t>
  </si>
  <si>
    <t>['Nevada Creek', 'near Knoxville']</t>
  </si>
  <si>
    <t>LB_221</t>
  </si>
  <si>
    <t>near Pope Valley</t>
  </si>
  <si>
    <t>Pope Creek</t>
  </si>
  <si>
    <t>['Pope Creek', 'near Pope Valley']</t>
  </si>
  <si>
    <t>LB_222</t>
  </si>
  <si>
    <t>near Winters</t>
  </si>
  <si>
    <t>Lake Berryessa</t>
  </si>
  <si>
    <t>['Lake Berryessa', 'near Winters']</t>
  </si>
  <si>
    <t>LB_223</t>
  </si>
  <si>
    <t>['Putah Creek', 'near Winters']</t>
  </si>
  <si>
    <t>LB_224</t>
  </si>
  <si>
    <t>Lat 36°24'53", long 119°00'07" in SE4SW4 sec.25, T.17 S., R.27 E., Tulare County, in control tower near left abutment of Terminus Dam on Kaweah River, 2.1 mi (3.4 km) northeast of Lemoncove</t>
  </si>
  <si>
    <t>['T.17 S., R.27 E., sec.25']</t>
  </si>
  <si>
    <t>LAKE KAWEAH</t>
  </si>
  <si>
    <t>{'Start_Date': '10/01/1961', 'End_Date': '09/30/1976'}</t>
  </si>
  <si>
    <t>{'Area': 'mi² (km²)', 'Volume': 'acre-ft (m³, hm³)'}</t>
  </si>
  <si>
    <t>['Terminus Dam', 'Kaweah River', 'spillway', 'storage capacity']</t>
  </si>
  <si>
    <t>LB_0</t>
  </si>
  <si>
    <t>Below Parker Dam on the Colorado River in California</t>
  </si>
  <si>
    <t>COLORADO RIVER BELOW PARKER DAM, ARTZ.-CALIF.</t>
  </si>
  <si>
    <t>Maricopa County</t>
  </si>
  <si>
    <t>01/15/1976-09/16/1976</t>
  </si>
  <si>
    <t>{'Copper (Total)': 'ug/L', 'Iron (Total)': 'ug/L', 'Lead (Total)': 'ug/L', 'Manganese (Total)': 'ug/L', 'Mercury (Total)': 'ug/L', 'Selenium (Total)': 'ug/L', 'Silver (Total)': 'ug/L', 'Zinc (Total)': 'ug/L', 'Organic Carbon': 'mg/L', 'Cyanide': 'mg/L', 'Phenols': 'ug/L'}</t>
  </si>
  <si>
    <t>['Chemical Analyses', 'Colorado River', 'Parker Dam']</t>
  </si>
  <si>
    <t>LB_273</t>
  </si>
  <si>
    <t>Santa Ana River Basin, California</t>
  </si>
  <si>
    <t>SANTA ANA RIVER BELOW PRADO DAM</t>
  </si>
  <si>
    <t>03/30/1976-04/30/1976</t>
  </si>
  <si>
    <t>{'Count': 'cells/ml', 'Percentage': '%'}</t>
  </si>
  <si>
    <t>['PHOTOPLANKTON', 'DIATOMS', 'PHYTOPLANKTON']</t>
  </si>
  <si>
    <t>LB_92</t>
  </si>
  <si>
    <t>on right bank 0.5 mile upstream from Potem Creek, 1.9 miles downstream from Pit No. 7 dam and powerhouse, and 5.0 miles west of town of Montgomery Creek</t>
  </si>
  <si>
    <t>['SE1 sec. 31, T.35 N., R.1 W.']</t>
  </si>
  <si>
    <t>Pit River Near Montgomery Creek</t>
  </si>
  <si>
    <t>10/01/1971-09/30/1972</t>
  </si>
  <si>
    <t>daily (from October 1971 to September 1972)</t>
  </si>
  <si>
    <t>{'Discharge': 'cubic feet per second (cfs)', 'Accumulated_Flow': 'acre-feet (ac-ft)'}</t>
  </si>
  <si>
    <t>['stream discharge', 'monthly discharge', 'cubic feet per second']</t>
  </si>
  <si>
    <t>LB_116</t>
  </si>
  <si>
    <t>near Emigrant Gap, California</t>
  </si>
  <si>
    <t>['SW1/4 sec.16, T.17 N., R,12 E.']</t>
  </si>
  <si>
    <t>BOWMAN-SPAULDING CANAL AT JORDAN CREEK SIPHON VENTURI</t>
  </si>
  <si>
    <t>Nevada County</t>
  </si>
  <si>
    <t>10/01/1964-09/30/1972</t>
  </si>
  <si>
    <t>['siphon venturi', 'discharge', 'gauge', 'water-stage recorder']</t>
  </si>
  <si>
    <t>LB_268</t>
  </si>
  <si>
    <t>Near Sacramento, California</t>
  </si>
  <si>
    <t>SACRAMENTO RIVER AT SACRAMENTO, CALIF.</t>
  </si>
  <si>
    <t>Sacramento</t>
  </si>
  <si>
    <t>07/05/1972-09/30/1972</t>
  </si>
  <si>
    <t>{'Temperature': 'DEG C', 'Suspended_Sediment': 'MG/L', 'Turbidity': 'JTU', 'Weight_Percent_Organic_Matter': ''}</t>
  </si>
  <si>
    <t>['Suspended-Sediment', 'Turbidity']</t>
  </si>
  <si>
    <t>LB_96</t>
  </si>
  <si>
    <t>12/20/1972-03/23/1973</t>
  </si>
  <si>
    <t>Various dates</t>
  </si>
  <si>
    <t>{'Weight_Percent_Organic_Matter': ''}</t>
  </si>
  <si>
    <t>Water Quality</t>
  </si>
  <si>
    <t>['Weight-Percent Organic Matter']</t>
  </si>
  <si>
    <t>LB_97</t>
  </si>
  <si>
    <t>right bank 3.0 mi (4.8 km) upstream from mouth, and 1.2 mi (1.9 km) east of Sacramento city limits</t>
  </si>
  <si>
    <t>['T.9 N., R.5 E., sec.29']</t>
  </si>
  <si>
    <t>10/01/1972-04/30/1974</t>
  </si>
  <si>
    <t>cubic feet per second, feet for gage height</t>
  </si>
  <si>
    <t>['discharge', 'gage height']</t>
  </si>
  <si>
    <t>LB_138</t>
  </si>
  <si>
    <t>MT. EDEN ROAD, NEAR SARATOGA, CALIFORNIA</t>
  </si>
  <si>
    <t>CALABAZAS CREEK TRIBUTARY</t>
  </si>
  <si>
    <t>10/01/1973-09/30/1974</t>
  </si>
  <si>
    <t>Once-Daily</t>
  </si>
  <si>
    <t>['ug/L', 'deg. C']</t>
  </si>
  <si>
    <t>['Pesticide Analyses', 'Temperature']</t>
  </si>
  <si>
    <t>LB_283</t>
  </si>
  <si>
    <t>Scotia, California</t>
  </si>
  <si>
    <t>EEL RIVER AT SCOTIA</t>
  </si>
  <si>
    <t>Variable (Weekly to Monthly)</t>
  </si>
  <si>
    <t>UG/L for chemical concentrations, degrees Celsius for temperature</t>
  </si>
  <si>
    <t>['Arsenic', 'Cadmium', 'Chromium', 'Cobalt', 'Copper', 'Lead', 'Mercury', 'Zinc']</t>
  </si>
  <si>
    <t>LB_90</t>
  </si>
  <si>
    <t>Near Pilot Knob, CA, in NW1SW1 sec.25, T.16 S., R.21 E.</t>
  </si>
  <si>
    <t>['T.16 S., R.21 E., SW1/4NW1/4']</t>
  </si>
  <si>
    <t>Pilot Knob Powerplant and Wasteway</t>
  </si>
  <si>
    <t>02/01/1939-09/30/1971</t>
  </si>
  <si>
    <t>Cubic feet per second (cfs) and acre-feet</t>
  </si>
  <si>
    <t>['Discharge', 'Flowmeter', 'Wasteway', 'Powerplant']</t>
  </si>
  <si>
    <t>LB_169</t>
  </si>
  <si>
    <t>Soquel, CA</t>
  </si>
  <si>
    <t>SOQUEL CREEK AT SOQUEL</t>
  </si>
  <si>
    <t>10/01/1976-09/30/1977</t>
  </si>
  <si>
    <t>{'Discharge': 'CFS', 'Specific_Conductance': 'microhm', 'PH': 'units', 'Temperature': '°C', 'Dissolved_Oxygen': 'mg/L', 'Hardness_CA_MG': 'mg/L', 'Non_Carbonate_Hardness': 'mg/L', 'Dissolved_Calcium_CA': 'mg/L', 'Dissolved_Sulfate_SO4': 'mg/L', 'Dissolved_Silica_SiO2': 'mg/L', 'Total_Dissolved_Solids_TDS': 'tons per ac-ft', 'Total_Daily_Load': 'tons per day', 'Dissolved_Ions_Mg_L': 'mg/L'}</t>
  </si>
  <si>
    <t>['chemical analyses', 'water temperatures', 'sediment records']</t>
  </si>
  <si>
    <t>LB_157</t>
  </si>
  <si>
    <t>Near Cloverdale, CA</t>
  </si>
  <si>
    <t>BIG SULPHUR CREEK AT MOUTH</t>
  </si>
  <si>
    <t>05/04/1977-09/27/1977</t>
  </si>
  <si>
    <t>Daily (based on available dates)</t>
  </si>
  <si>
    <t>{'Sodium Adsorption Ratio': None, 'Dissolved Potassium (K)': '(MG/L)', 'Bicarbonate (HC03)': '(MG/L)', 'Carbonate (C03)': '(MG/L)', 'Alkalinity as CaCO3': '(MG/L)', 'Dissolved Sulfate (S04)': '(MG/L)', 'Dissolved Chloride (CL)': '(MG/L)', 'Dissolved Fluoride (F)': '(MG/L)', 'Dissolved Silica (Si02)': '(MG/L)', 'Dissolved Solids (SUM OF CONSTITUENTS)': '(MG/L)'}</t>
  </si>
  <si>
    <t>['Dissolved Solids', 'Sodium Adsorption Ratio', 'Bicarbonate', 'Carbonate', 'Alkalinity']</t>
  </si>
  <si>
    <t>LB_276</t>
  </si>
  <si>
    <t>Near Big Sur, CA</t>
  </si>
  <si>
    <t>BIG SUR RIVER</t>
  </si>
  <si>
    <t>Monterey County</t>
  </si>
  <si>
    <t>10/01/1977-09/30/1978</t>
  </si>
  <si>
    <t>Degrees Celsius</t>
  </si>
  <si>
    <t>['TEMPERATURE', 'WATER YEAR']</t>
  </si>
  <si>
    <t>LB_89</t>
  </si>
  <si>
    <t>Chittenden, CA</t>
  </si>
  <si>
    <t>PAJARO RIVER</t>
  </si>
  <si>
    <t>01/25/1977-07/25/1978</t>
  </si>
  <si>
    <t>ug/L</t>
  </si>
  <si>
    <t>['Chromium', 'Cobalt', 'Copper', 'Iron', 'Lead', 'Manganese', 'Mercury', 'Selenium', 'Silver', 'Zinc']</t>
  </si>
  <si>
    <t>LB_267</t>
  </si>
  <si>
    <t>Near Crescent City, CA</t>
  </si>
  <si>
    <t>South Fork Smith River</t>
  </si>
  <si>
    <t>11/01/1977-09/30/1978</t>
  </si>
  <si>
    <t>{'Discharge': 'CFS (cubic feet per second)', 'Concentration': 'MG/L (milligrams per liter)', 'Sediment_Discharge': 'TONS/DAY'}</t>
  </si>
  <si>
    <t>['Suspended-Sediment Discharge', 'South Fork Smith River']</t>
  </si>
  <si>
    <t>LB_247</t>
  </si>
  <si>
    <t>Brawley, CA</t>
  </si>
  <si>
    <t>NEW RIVER AT DROP 4, AT BRAWLEY</t>
  </si>
  <si>
    <t>08/26/1974-09/18/1974</t>
  </si>
  <si>
    <t>1 day</t>
  </si>
  <si>
    <t>Micrograms per Liter (ug/L)</t>
  </si>
  <si>
    <t>['NEW RIVER', 'CHEMICAL ANALYSES', 'ALDRIN', 'CHLORDANE', 'DDD', 'DDE', 'DDT', 'DI- AZINON', 'DI- ELDRIN', 'ENDRIN', 'ETHION', 'HEPTA- CHLOR', 'HEPTA- CHLOR EPOXIDE', 'LINDANE', 'MALATHION', 'METHYL PARA-THION', 'METHYL TRI-THION', 'PARA- THION', 'PCB', 'TOX- APHENE', 'TRI- THION', '2,4-D', '2,4,5-T', 'SILVEX']</t>
  </si>
  <si>
    <t>LB_168</t>
  </si>
  <si>
    <t>Near East Highlands, CA</t>
  </si>
  <si>
    <t>Plunge Creek</t>
  </si>
  <si>
    <t>Cubic feet per second</t>
  </si>
  <si>
    <t>['Discharge', 'Cubic Feet per Second', 'Plunge Creek']</t>
  </si>
  <si>
    <t>LB_122</t>
  </si>
  <si>
    <t>On upstream face of Juncal Dam, near Montecito, CA</t>
  </si>
  <si>
    <t>['SW4NE&amp;NW sec.28, T.5 N., R.25 W.']</t>
  </si>
  <si>
    <t>SANTA YNEZ RIVER AT JAMESON LAKE</t>
  </si>
  <si>
    <t>{'Gage_Height': 'feet', 'Contents': 'acre-feet', 'Draft': 'acre-feet', 'Spill_and_Release': 'acre-feet', 'Evaporation': 'acre-feet', 'Total_Inflow': 'acre-feet', 'Rain_on_Reservoir': 'acre-feet', 'Net_Inflow': 'acre-feet'}</t>
  </si>
  <si>
    <t>['Jameson Lake', 'Juncal Dam', 'Montecito County Water District', 'total inflow', 'evaporation']</t>
  </si>
  <si>
    <t>LB_119</t>
  </si>
  <si>
    <t>NW1/2 sec. 32, T.22 N., R.16 W.</t>
  </si>
  <si>
    <t>['T.22 N., R.16 W., sec. 32']</t>
  </si>
  <si>
    <t>South Fork Eel River near Branscomb</t>
  </si>
  <si>
    <t>10/01/1946-09/30/1961</t>
  </si>
  <si>
    <t>{'Latitude_Longitude': 'Degrees', 'Gage_Height': 'Feet', 'Discharge': 'Cubic feet per second (cfs)', 'Area': 'Square miles (sq mi) and Acre-feet (acre-ft)'}</t>
  </si>
  <si>
    <t>['South Fork Eel River', 'stream discharge', 'gage height', 'cfs']</t>
  </si>
  <si>
    <t>LB_287</t>
  </si>
  <si>
    <t>near Big Pine, Calif.</t>
  </si>
  <si>
    <t>['T.11 S., 34 E., SE sec. 2']</t>
  </si>
  <si>
    <t>Owens River</t>
  </si>
  <si>
    <t>Inyo County</t>
  </si>
  <si>
    <t>{'Discharge': 'cubic feet per second (cfs)', 'Area': 'square miles', 'Volume': 'acre-feet'}</t>
  </si>
  <si>
    <t>['Owens River', 'discharge', 'stream flow', 'water-stage recorder']</t>
  </si>
  <si>
    <t>LB_101</t>
  </si>
  <si>
    <t>SE% sec. 5, T.31 N., R.8 E., 1 mile southeast of Bogard Guard Station and 19 miles north of Westwood.</t>
  </si>
  <si>
    <t>['[31N, 8E, SE% Sec. 5]']</t>
  </si>
  <si>
    <t>Pine Creek near Westwood</t>
  </si>
  <si>
    <t>05/01/1950-12/31/1961</t>
  </si>
  <si>
    <t>Annual</t>
  </si>
  <si>
    <t>{'Gage_height': 'feet', 'Discharge': 'cfs'}</t>
  </si>
  <si>
    <t>['crest-stage', 'maximum discharge']</t>
  </si>
  <si>
    <t>LB_139</t>
  </si>
  <si>
    <t>W1/2 sec.11, T.11 N., R.24 W., 1.0 mile southwest of Maricopa.</t>
  </si>
  <si>
    <t>['[11N, 24W, W1/2 Sec. 11]']</t>
  </si>
  <si>
    <t>Bitterwater Creek near Maricopa</t>
  </si>
  <si>
    <t>01/01/1961-12/31/1966</t>
  </si>
  <si>
    <t>LB_140</t>
  </si>
  <si>
    <t>NW sec. 36, T.11 N., R.23 W., 8 miles southeast of Maricopa.</t>
  </si>
  <si>
    <t>['[11N, 23W, NW Sec. 36]']</t>
  </si>
  <si>
    <t>Santiago Creek near Maricopa</t>
  </si>
  <si>
    <t>LB_141</t>
  </si>
  <si>
    <t>NWSE% sec. 21, T.27 S., R.18 E., 0.2 mile downstream from Cedar Canyon, 21 miles west of Lost Hills.</t>
  </si>
  <si>
    <t>['[27S, 18E, NWSE% Sec. 21]']</t>
  </si>
  <si>
    <t>Bitterwater Creek near Lost Hills</t>
  </si>
  <si>
    <t>LB_142</t>
  </si>
  <si>
    <t>NW1/2 sec. 8, T.13 S., R.30 E., 0.3 mile below Grizzly Creek and 4.5 miles west of Cedar Grove.</t>
  </si>
  <si>
    <t>['[13S, 30E, NW1/2 Sec. 8]']</t>
  </si>
  <si>
    <t>South Fork Kings near Cedar Grove</t>
  </si>
  <si>
    <t>01/01/1950-12/31/1966</t>
  </si>
  <si>
    <t>LB_143</t>
  </si>
  <si>
    <t>At intersection of secs. 22, 23, 26, 27, T.20 S., R.16 E., at bridge on East Dorado Ave., 8 miles west of Coalinga.</t>
  </si>
  <si>
    <t>['[20S, 16E, Secs. 22, 23, 26, 27]']</t>
  </si>
  <si>
    <t>Los Gatos Creek below Jacalitos Creek near Coalinga</t>
  </si>
  <si>
    <t>01/01/1959-12/31/1966</t>
  </si>
  <si>
    <t>LB_144</t>
  </si>
  <si>
    <t>SE&amp;amp;SW3 sec. 27, T.21 S., R.16 E., 7 miles northwest of Avenal.</t>
  </si>
  <si>
    <t>['[21S, 16E, SE&amp;amp;SW3 Sec. 27]']</t>
  </si>
  <si>
    <t>Zapato Chino Creek near Avenal</t>
  </si>
  <si>
    <t>Kings County</t>
  </si>
  <si>
    <t>LB_145</t>
  </si>
  <si>
    <t>NW sec. 22, T.13 S., R.1 E., 100 ft below road ford and 14 miles northeast of Panoche.</t>
  </si>
  <si>
    <t>['[13S, 1E, NW Sec. 22]']</t>
  </si>
  <si>
    <t>Little Panoche Creek near Panoche</t>
  </si>
  <si>
    <t>LB_146</t>
  </si>
  <si>
    <t>SW% sec. 18, T.8 S., R.8 E., above diversion weir 7.7 miles west of Gustine.</t>
  </si>
  <si>
    <t>['[8S, 8E, SW% Sec. 18]']</t>
  </si>
  <si>
    <t>Garzas Creek near Gustine</t>
  </si>
  <si>
    <t>Merced County</t>
  </si>
  <si>
    <t>LB_147</t>
  </si>
  <si>
    <t>NE sec. 14, T.3 N., R.12 E., 600 ft downstream from bridge on State Highway 49.</t>
  </si>
  <si>
    <t>['[3N, 12E, NE Sec. 14]']</t>
  </si>
  <si>
    <t>San Domingo Creek near San Andreas</t>
  </si>
  <si>
    <t>LB_148</t>
  </si>
  <si>
    <t>NE sec. 10, T.3 N., R.12 E., 800 ft below highway bridge, 1.9 miles above mouth, and 5 miles southeast of San Andreas.</t>
  </si>
  <si>
    <t>['[3N, 12E, NE Sec. 10]']</t>
  </si>
  <si>
    <t>San Antonio Creek near San Andreas</t>
  </si>
  <si>
    <t>LB_149</t>
  </si>
  <si>
    <t>NW% sec. 6, T.5 N., R.13 E., 600 ft above mouth, 6 miles east of Mokelumne Hill.</t>
  </si>
  <si>
    <t>['[5N, 13E, NW% Sec. 6]']</t>
  </si>
  <si>
    <t>Esperanza Creek near Mokelumne Hill</t>
  </si>
  <si>
    <t>LB_150</t>
  </si>
  <si>
    <t>SE% sec. 16, T.5 N., R.12 E., 0.6 mile above mouth, 3.2 miles southeast of Mokelumne Hill.</t>
  </si>
  <si>
    <t>['[5N, 12E, SE% Sec. 16]']</t>
  </si>
  <si>
    <t>Jesus Maria Creek near Mokelumne Hill</t>
  </si>
  <si>
    <t>LB_151</t>
  </si>
  <si>
    <t>SW% sec.8, T.4 N., R.12 E., 600 ft above bridge on old State Highway 49, 1.5 miles above mouth, and 1.1 miles north of San Andreas.</t>
  </si>
  <si>
    <t>['[4N, 12E, SW% Sec. 8]']</t>
  </si>
  <si>
    <t>Murray Creek near San Andreas</t>
  </si>
  <si>
    <t>LB_152</t>
  </si>
  <si>
    <t>Lat 39°01'35", long 121°26'10" in Johnston Rancho land grant, 2,300 ft upstream from bridge on U.S. Highway 99E, 1.3 miles northwest of Wheatland, and 5 miles upstream from mouth.</t>
  </si>
  <si>
    <t>Dry Creek near Wheatland</t>
  </si>
  <si>
    <t>12/31/1946-07/01/1965</t>
  </si>
  <si>
    <t>LB_153</t>
  </si>
  <si>
    <t>1 mile upstream from mouth, and 5.4 miles southeast of Knights Landing</t>
  </si>
  <si>
    <t>SACRAMENTO SLOUGH NEAR KNIGHTS LANDING</t>
  </si>
  <si>
    <t>10/06/1965-09/14/1966</t>
  </si>
  <si>
    <t>Variable intervals between measurements (some months apart)</t>
  </si>
  <si>
    <t>{'Discharge': 'cfs', 'Silica': 'ppm', 'Iron': 'ppm', 'Calcium': 'ppm', 'Magnesium': 'ppm', 'Sodium': 'ppm', 'Potassium': 'ppm', 'Bicarbonate': 'ppm', 'Carbonate': 'ppm', 'Sulfate': 'ppm', 'Chloride': 'ppm', 'Fluoride': 'ppm', 'Nitrate': 'ppm', 'Boron': 'ppm', 'Dissolved Solids': {'Parts Per Million': '', 'Tons Per Acre-Foot': '', 'Tons Per Day': ''}, 'Hardness as CaCO3': {'Calcium, Magnesium': '', 'Noncarbonate': ''}, 'Specific Conductance': 'micro-mhos at 25°C', 'pH': ''}</t>
  </si>
  <si>
    <t>['chemical analyses', 'estimated discharge', 'Sutter Bypass area', 'Reclamation District 1,500']</t>
  </si>
  <si>
    <t>LB_264</t>
  </si>
  <si>
    <t>EEL RIVER BASIN, California</t>
  </si>
  <si>
    <t>Middle Fork Eel River at Dos Rios</t>
  </si>
  <si>
    <t>11/15/1965-05/10/1966</t>
  </si>
  <si>
    <t>Varies between 1 to several days</t>
  </si>
  <si>
    <t>{'Water Temperature': '°F', 'Discharge': 'cfs (cubic feet per second)', 'Sediment Concentration': 'ppm', 'Sediment Discharge': 'tons per day'}</t>
  </si>
  <si>
    <t>['Discharge', 'Sediment Concentration', 'Suspended sediment']</t>
  </si>
  <si>
    <t>LB_229</t>
  </si>
  <si>
    <t>Near Bridgeport, California</t>
  </si>
  <si>
    <t>['[T.4 N., R.25 E., sec. 29]']</t>
  </si>
  <si>
    <t>Green Creek Near Bridgeport</t>
  </si>
  <si>
    <t>['Digital water-stage recorder', 'graphic water-stage recorder', 'Discharge', 'Cubic Feet Per Second']</t>
  </si>
  <si>
    <t>LB_39</t>
  </si>
  <si>
    <t>on right bank 0.5 mile downstream from unnamed tributary, 4.5 miles upstream from Little Grass Valley Dam, and 5 miles north of LaPorte.</t>
  </si>
  <si>
    <t>['NW1SE1 sec 22']</t>
  </si>
  <si>
    <t>South Fork Feather River above Little Grass Valley Reservoir</t>
  </si>
  <si>
    <t>['discharge', 'stream flow', 'water-stage recorder']</t>
  </si>
  <si>
    <t>LB_83</t>
  </si>
  <si>
    <t>Paso Robles Formation, Pliocene and Pleistocene Age</t>
  </si>
  <si>
    <t>['10N/34W-34G2 S.']</t>
  </si>
  <si>
    <t>Waller County Park Public Supply and Irrigation Well</t>
  </si>
  <si>
    <t>03/21/1967-10/08/1968</t>
  </si>
  <si>
    <t>varies</t>
  </si>
  <si>
    <t>['ARTESIAN WELL', 'PASO ROBLES FORMATION', 'PLIOCENE AND PLEISTOCENE AGE']</t>
  </si>
  <si>
    <t>LB_132</t>
  </si>
  <si>
    <t>Dune Sand</t>
  </si>
  <si>
    <t>['10N/35W-6A1 S.']</t>
  </si>
  <si>
    <t>Union Oil Co. Observation Water-Table Well 1</t>
  </si>
  <si>
    <t>02/25/1966-10/10/1968</t>
  </si>
  <si>
    <t>['OBSERVATION WELL', 'DUNE SAND']</t>
  </si>
  <si>
    <t>LB_133</t>
  </si>
  <si>
    <t>['10N/35W-6A2 S.']</t>
  </si>
  <si>
    <t>Union Oil Co. Observation Water-Table Well 2</t>
  </si>
  <si>
    <t>LB_134</t>
  </si>
  <si>
    <t>['10N/35W-6A3 S.']</t>
  </si>
  <si>
    <t>Union Oil Co. Observation Water-Table Well 3</t>
  </si>
  <si>
    <t>LB_135</t>
  </si>
  <si>
    <t>Alluvium and Paso Robles Formation, Pliocene and Pleistocene (?) Age</t>
  </si>
  <si>
    <t>['10N/35W-7F1 S.']</t>
  </si>
  <si>
    <t>M. J. Ellis Domestic and Irrigation Artesian Well</t>
  </si>
  <si>
    <t>01/01/1966-07/01/1966</t>
  </si>
  <si>
    <t>['ARTESIAN WELL', 'ALLUVIUM', 'PASO ROBLES FORMATION']</t>
  </si>
  <si>
    <t>LB_136</t>
  </si>
  <si>
    <t>Alluvium and Paso Robles Formation</t>
  </si>
  <si>
    <t>['10N/35W-7G3 S.']</t>
  </si>
  <si>
    <t>John Jenkins Unused Artesian Well</t>
  </si>
  <si>
    <t>02/25/1966-10/19/1966</t>
  </si>
  <si>
    <t>LB_137</t>
  </si>
  <si>
    <t>Sierra Madre, California</t>
  </si>
  <si>
    <t>['S1 N, R11 W, Sec10']</t>
  </si>
  <si>
    <t>Santa Anita Creek</t>
  </si>
  <si>
    <t>{'Start_Date': '07/01/1916', 'End_Date': '09/30/1969'}</t>
  </si>
  <si>
    <t>{'Discharge': 'cubic feet per second (cfs)', 'Acre_Foot_per_Year': 'acre-ft/year'}</t>
  </si>
  <si>
    <t>['discharge', 'gage-height', 'slope-area measurement', 'maximum flow', 'rating curve', 'floodmark', 'water-stage recorder']</t>
  </si>
  <si>
    <t>LB_274</t>
  </si>
  <si>
    <t>Yosemite National Park, on left bank 1 mile downstream from O'Shaughnessy Dam at Hetch Hetchy, and 2.5 miles downstream from Falls Creek.</t>
  </si>
  <si>
    <t>['T.1 N., R.20 E., SW1SE1 sec. 17']</t>
  </si>
  <si>
    <t>Tuolumne River Near Hetch Hetchy</t>
  </si>
  <si>
    <t>10/01/1968-09/30/1969</t>
  </si>
  <si>
    <t>{'Discharge': 'cubic feet per second (cfs)', 'Water Volume': 'acre-feet'}</t>
  </si>
  <si>
    <t>['Monthly discharge', 'flow regulated', 'water-stage recorder']</t>
  </si>
  <si>
    <t>LB_100</t>
  </si>
  <si>
    <t>Lat 34°27'33", long 119°48'29", in La Goleta Grant, on left pier of Patterson Avenue Bridge, 1.1 miles downstream from unnamed tributary, and 1.7 miles northeast of Goleta</t>
  </si>
  <si>
    <t>San Jose Creek near Goleta</t>
  </si>
  <si>
    <t>01/01/1941-09/30/1962</t>
  </si>
  <si>
    <t>{'Gage_Height': 'feet', 'Discharge': 'cubic feet per second (cfs)', 'Cumulative_Acre_Foot': 'acre-ft'}</t>
  </si>
  <si>
    <t>['stream discharge', 'gage height', 'cubic feet per second', 'peak discharge']</t>
  </si>
  <si>
    <t>LB_272</t>
  </si>
  <si>
    <t>near Keno, Oregon</t>
  </si>
  <si>
    <t>['SEASE sec 14, T.40 S., R.6 E.']</t>
  </si>
  <si>
    <t>Klamath River below John C. Boyle powerplant</t>
  </si>
  <si>
    <t>01/01/1959-09/30/1962</t>
  </si>
  <si>
    <t>['Klamath River', 'John C. Boyle powerplant', 'discharge', 'gage-height recorder', 'Upper Klamath Lake']</t>
  </si>
  <si>
    <t>LB_121</t>
  </si>
  <si>
    <t>Rodriguez Dam on Rio de las Palmas, a quarter of a mile upstream from Arroyo Matanuco and 10 miles southeast of Tijuana, Baja California, Mexico.</t>
  </si>
  <si>
    <t>RODRIGUEZ RESERVOIR</t>
  </si>
  <si>
    <t>Tijuana Municipality</t>
  </si>
  <si>
    <t>04/1937-09/1968</t>
  </si>
  <si>
    <t>['reservoir', 'storage', 'irrigation', 'municipal supply']</t>
  </si>
  <si>
    <t>LB_557</t>
  </si>
  <si>
    <t>Left bank 400 ft upstream from county road bridge, 0.4 mile southwest of Gilroy, Santa Clara County, and 3.9 miles downstream from Bodfish Creek.</t>
  </si>
  <si>
    <t>Uvas Creek</t>
  </si>
  <si>
    <t>Cubic Feet Per Second (cfs)</t>
  </si>
  <si>
    <t>['UVAS CREEK', 'STREAM DISCHARGE', 'CUBIC FEET PER SECOND']</t>
  </si>
  <si>
    <t>LB_228</t>
  </si>
  <si>
    <t>NW1NW1 sec 8, T.30 S., R.14 E.</t>
  </si>
  <si>
    <t>['T.30 S., R.14 E., NW1NW1 sec 8']</t>
  </si>
  <si>
    <t>Santa Margarita Lake</t>
  </si>
  <si>
    <t>12/1941-09/1970</t>
  </si>
  <si>
    <t>Acre-feet</t>
  </si>
  <si>
    <t>['Santa Margarita Lake', 'dam', 'Salinas River', 'reservoir', 'usable capacity']</t>
  </si>
  <si>
    <t>LB_126</t>
  </si>
  <si>
    <t>San Pablo Grant, on the left bank 200 ft downstream from Southern Pacific Railway bridge at east city limits of Richmond and 2 miles upstream from mouth.</t>
  </si>
  <si>
    <t>Wildcat Creek at Richmond, California</t>
  </si>
  <si>
    <t>10/01/1969-09/30/1970</t>
  </si>
  <si>
    <t>{'Discharge': 'cubic feet per second (cfs)', 'Gage Height': 'feet', 'Water Year Total and Mean Discharge': 'acre-feet'}</t>
  </si>
  <si>
    <t>['stream discharge', 'water-stage recorder', 'gage height']</t>
  </si>
  <si>
    <t>LB_158</t>
  </si>
  <si>
    <t>Near Trimmer, CA</t>
  </si>
  <si>
    <t>['NE1 sec 4, T.12 S., R.25 E.']</t>
  </si>
  <si>
    <t>Big Creek Above Pine Flat Reservoir</t>
  </si>
  <si>
    <t>{'Latitude_Longitude': 'Degrees Minutes Seconds', 'Discharge': 'cubic feet per second (cfs)', 'Area': 'square miles (sq mi)', 'Acre-Feet_Per_Year': 'acre-feet/year'}</t>
  </si>
  <si>
    <t>['Big Creek', 'Pine Flat Reservoir', 'Discharge', 'Gage Height']</t>
  </si>
  <si>
    <t>LB_88</t>
  </si>
  <si>
    <t>Near Terminus Dam, CA</t>
  </si>
  <si>
    <t>KAWEAH RIVER BELOW TERMINUS DAM</t>
  </si>
  <si>
    <t>{'Start_Date': '06/NOV/1969', 'End_Date': '03/AUG/1970'}</t>
  </si>
  <si>
    <t>Various dates in Nov 1969 - Aug 1970</t>
  </si>
  <si>
    <t>{'Nitrate (N)': 'mg/L', 'Dissolved Boron (B)': 'ug/L', 'Dissolved Solids': 'mg/L', 'Hardness (Ca,Mg)': 'mg/L', 'Specific Conductance': 'microhms'}</t>
  </si>
  <si>
    <t>['Nitrate', 'Dissolved Boron', 'Dissolved Solids', 'Hardness', 'Specific Conductance', 'pH']</t>
  </si>
  <si>
    <t>LB_74</t>
  </si>
  <si>
    <t>Near Kingsburg, CA</t>
  </si>
  <si>
    <t>KINGS RIVER AT PEOPLES WEIR</t>
  </si>
  <si>
    <t>{'Start_Date': '08/APR/1970', 'End_Date': '03/AUG/1970'}</t>
  </si>
  <si>
    <t>Various dates in Apr 1970 - Aug 1970</t>
  </si>
  <si>
    <t>LB_75</t>
  </si>
  <si>
    <t>Near Mendota, CA</t>
  </si>
  <si>
    <t>DELTA-MENDOTA CANAL NEAR MENDOTA</t>
  </si>
  <si>
    <t>{'Start_Date': '08/APR/1970', 'End_Date': '10/SEP/1970'}</t>
  </si>
  <si>
    <t>Various dates in Apr 1970 - Sep 1970</t>
  </si>
  <si>
    <t>Canal Discharge</t>
  </si>
  <si>
    <t>LB_76</t>
  </si>
  <si>
    <t>Near Willow Ranch, CA</t>
  </si>
  <si>
    <t>GOOSE LAKE AT WILLOW RANCH</t>
  </si>
  <si>
    <t>{'Start_Date': '17/OCT/1969', 'End_Date': '12/MAY/1970'}</t>
  </si>
  <si>
    <t>Various dates in Oct 1969 - May 1970</t>
  </si>
  <si>
    <t>{'Fluoride (F)': 'mg/L', 'Nitrate (NO3)': 'mg/L', 'Dissolved Solids': 'mg/L'}</t>
  </si>
  <si>
    <t>Reservoir/Lake Water Quality</t>
  </si>
  <si>
    <t>['Fluoride', 'Nitrate', 'Dissolved Solids', 'pH']</t>
  </si>
  <si>
    <t>LB_77</t>
  </si>
  <si>
    <t>Near Everly Ranch, CA</t>
  </si>
  <si>
    <t>GOOSE LAKE NEAR EVERLY RANCH</t>
  </si>
  <si>
    <t>{'Start_Date': '17/OCT/1969', 'End_Date': '13/MAY/1970'}</t>
  </si>
  <si>
    <t>LB_78</t>
  </si>
  <si>
    <t>GOOSE LAKE AT WEST SHORE LOG LANDING</t>
  </si>
  <si>
    <t>{'Start_Date': '16/OCT/1969', 'End_Date': '13/MAY/1970'}</t>
  </si>
  <si>
    <t>LB_79</t>
  </si>
  <si>
    <t>Near Likely, CA</t>
  </si>
  <si>
    <t>SOUTH FORK PIT RIVER NEAR LIKELY</t>
  </si>
  <si>
    <t>{'Start_Date': '13/JAN/1970', 'End_Date': '13/MAY/1970'}</t>
  </si>
  <si>
    <t>Various dates in Jan 1970 - May 1970</t>
  </si>
  <si>
    <t>{'Nitrate (N)': 'mg/L', 'Dissolved Solids': 'mg/L'}</t>
  </si>
  <si>
    <t>['Nitrate', 'Dissolved Solids', 'pH']</t>
  </si>
  <si>
    <t>LB_80</t>
  </si>
  <si>
    <t>Near Montgomery Creek, CA</t>
  </si>
  <si>
    <t>PIT RIVER NEAR MONTGOMERY CREEK</t>
  </si>
  <si>
    <t>{'Start_Date': '18/NOV/1969', 'End_Date': '14/JUL/1970'}</t>
  </si>
  <si>
    <t>Various dates in Nov 1969 - Jul 1970</t>
  </si>
  <si>
    <t>LB_81</t>
  </si>
  <si>
    <t>NW1/4 NE1/4 sec.16, T.31 N., R.2 W.</t>
  </si>
  <si>
    <t>['T.31 N., R.2 W., sec. 16']</t>
  </si>
  <si>
    <t>South Cow Creek</t>
  </si>
  <si>
    <t>10/01/1970-09/30/1971</t>
  </si>
  <si>
    <t>Celsius</t>
  </si>
  <si>
    <t>['temperature', 'stream discharge']</t>
  </si>
  <si>
    <t>LB_252</t>
  </si>
  <si>
    <t>Above Dos Rios, California</t>
  </si>
  <si>
    <t>EEL RIVER ABOVE DOS RIOS</t>
  </si>
  <si>
    <t>10/01/1962-03/31/1963</t>
  </si>
  <si>
    <t>{'Discharge': 'cfs (cubic feet per second)', 'Suspended Sediment Concentration': 'ppm (parts per million)', 'Suspended Sediment Load': 'tons per day'}</t>
  </si>
  <si>
    <t>['Suspended sediment', 'Mean discharge', 'Suspended sediment concentration', 'Tons per day']</t>
  </si>
  <si>
    <t>LB_118</t>
  </si>
  <si>
    <t>Category Grade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</si>
</sst>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mmm. d, yyyy"/>
    <numFmt numFmtId="166" formatCode="yyyy-m"/>
    <numFmt numFmtId="167" formatCode="mmmm 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0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Alignment="1" applyBorder="1" applyFont="1">
      <alignment readingOrder="0"/>
    </xf>
    <xf borderId="6" fillId="0" fontId="1" numFmtId="0" xfId="0" applyBorder="1" applyFont="1"/>
    <xf borderId="1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horizontal="right" readingOrder="0" vertical="bottom"/>
    </xf>
    <xf borderId="3" fillId="0" fontId="2" numFmtId="0" xfId="0" applyAlignment="1" applyBorder="1" applyFont="1">
      <alignment vertical="bottom"/>
    </xf>
    <xf borderId="4" fillId="0" fontId="2" numFmtId="164" xfId="0" applyAlignment="1" applyBorder="1" applyFont="1" applyNumberFormat="1">
      <alignment horizontal="right" vertical="bottom"/>
    </xf>
    <xf borderId="5" fillId="0" fontId="2" numFmtId="0" xfId="0" applyAlignment="1" applyBorder="1" applyFont="1">
      <alignment vertical="bottom"/>
    </xf>
    <xf borderId="6" fillId="0" fontId="2" numFmtId="164" xfId="0" applyAlignment="1" applyBorder="1" applyFont="1" applyNumberFormat="1">
      <alignment horizontal="right" vertical="bottom"/>
    </xf>
    <xf borderId="0" fillId="0" fontId="1" numFmtId="165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2" numFmtId="0" xfId="0" applyAlignment="1" applyFont="1">
      <alignment vertical="bottom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2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7" fillId="2" fontId="1" numFmtId="0" xfId="0" applyAlignment="1" applyBorder="1" applyFont="1">
      <alignment readingOrder="0"/>
    </xf>
    <xf borderId="8" fillId="2" fontId="1" numFmtId="0" xfId="0" applyBorder="1" applyFont="1"/>
    <xf borderId="8" fillId="0" fontId="1" numFmtId="0" xfId="0" applyBorder="1" applyFont="1"/>
    <xf borderId="9" fillId="2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uma Lazarini" id="{ba687aa9-af7b-4bd7-8081-e75caa4c61d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495" dT="2025-08-05T18:41:08.00" personId="{ba687aa9-af7b-4bd7-8081-e75caa4c61d1}" id="{a8e88478-72d7-4024-97ca-817259be80ac}" done="0">
    <x18tc:text xml:space="preserve">No page available in PDF folder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2" t="s">
        <v>15</v>
      </c>
      <c r="V1" s="3" t="s">
        <v>16</v>
      </c>
    </row>
    <row r="2">
      <c r="A2" s="2">
        <v>161.0</v>
      </c>
      <c r="B2" s="2">
        <v>194.0</v>
      </c>
      <c r="C2" s="2">
        <v>441.0</v>
      </c>
      <c r="D2" s="2">
        <v>40.1661</v>
      </c>
      <c r="E2" s="2">
        <v>-122.2083</v>
      </c>
      <c r="H2" s="3" t="s">
        <v>17</v>
      </c>
      <c r="I2" s="3" t="s">
        <v>18</v>
      </c>
      <c r="J2" s="3" t="s">
        <v>19</v>
      </c>
      <c r="K2" s="3" t="s">
        <v>20</v>
      </c>
      <c r="L2" s="1"/>
      <c r="M2" s="3" t="s">
        <v>21</v>
      </c>
      <c r="N2" s="3" t="s">
        <v>22</v>
      </c>
      <c r="O2" s="3" t="s">
        <v>23</v>
      </c>
      <c r="P2" s="3" t="s">
        <v>24</v>
      </c>
      <c r="Q2" s="2" t="s">
        <v>25</v>
      </c>
    </row>
    <row r="3">
      <c r="A3" s="4" t="s">
        <v>26</v>
      </c>
      <c r="B3" s="2"/>
      <c r="C3" s="2"/>
      <c r="D3" s="2"/>
      <c r="E3" s="2"/>
      <c r="F3" s="3">
        <v>1.0</v>
      </c>
      <c r="G3" s="3">
        <v>1.0</v>
      </c>
      <c r="H3" s="3">
        <v>1.0</v>
      </c>
      <c r="I3" s="3">
        <v>1.0</v>
      </c>
      <c r="J3" s="3">
        <v>1.0</v>
      </c>
      <c r="K3" s="3">
        <v>1.0</v>
      </c>
      <c r="L3" s="1"/>
      <c r="M3" s="3">
        <v>1.0</v>
      </c>
      <c r="N3" s="3">
        <v>1.0</v>
      </c>
      <c r="O3" s="3">
        <v>1.0</v>
      </c>
      <c r="P3" s="3">
        <v>1.0</v>
      </c>
      <c r="Q3" s="2"/>
      <c r="V3" s="5">
        <f>SUM(B3:P3)/10</f>
        <v>1</v>
      </c>
    </row>
    <row r="4">
      <c r="A4" s="2">
        <v>280.0</v>
      </c>
      <c r="B4" s="2">
        <v>251.0</v>
      </c>
      <c r="C4" s="2">
        <v>413.0</v>
      </c>
      <c r="D4" s="1"/>
      <c r="E4" s="1"/>
      <c r="F4" s="3">
        <v>33.55</v>
      </c>
      <c r="G4" s="3">
        <v>-111.65</v>
      </c>
      <c r="H4" s="3" t="s">
        <v>27</v>
      </c>
      <c r="I4" s="3" t="s">
        <v>28</v>
      </c>
      <c r="J4" s="3" t="s">
        <v>29</v>
      </c>
      <c r="L4" s="2" t="s">
        <v>30</v>
      </c>
      <c r="M4" s="3" t="s">
        <v>31</v>
      </c>
      <c r="N4" s="3" t="s">
        <v>22</v>
      </c>
      <c r="O4" s="3" t="s">
        <v>32</v>
      </c>
      <c r="P4" s="3" t="s">
        <v>24</v>
      </c>
      <c r="Q4" s="2" t="s">
        <v>33</v>
      </c>
    </row>
    <row r="5">
      <c r="A5" s="4" t="s">
        <v>34</v>
      </c>
      <c r="B5" s="2"/>
      <c r="C5" s="2"/>
      <c r="D5" s="1"/>
      <c r="E5" s="1"/>
      <c r="F5" s="3">
        <v>1.0</v>
      </c>
      <c r="G5" s="3">
        <v>1.0</v>
      </c>
      <c r="H5" s="3">
        <v>0.0</v>
      </c>
      <c r="I5" s="3">
        <v>0.5</v>
      </c>
      <c r="J5" s="3">
        <v>1.0</v>
      </c>
      <c r="K5" s="3">
        <v>1.0</v>
      </c>
      <c r="L5" s="2"/>
      <c r="M5" s="3">
        <v>1.0</v>
      </c>
      <c r="N5" s="3">
        <v>1.0</v>
      </c>
      <c r="O5" s="3">
        <v>1.0</v>
      </c>
      <c r="P5" s="3">
        <v>1.0</v>
      </c>
      <c r="Q5" s="2"/>
      <c r="V5" s="5">
        <f>SUM(B5:P5)/10</f>
        <v>0.85</v>
      </c>
    </row>
    <row r="6">
      <c r="A6" s="2">
        <v>248.0</v>
      </c>
      <c r="B6" s="2">
        <v>366.0</v>
      </c>
      <c r="C6" s="2">
        <v>211.0</v>
      </c>
      <c r="D6" s="2">
        <v>38.099</v>
      </c>
      <c r="E6" s="2">
        <v>-120.669</v>
      </c>
      <c r="H6" s="3" t="s">
        <v>35</v>
      </c>
      <c r="I6" s="3" t="s">
        <v>18</v>
      </c>
      <c r="J6" s="3" t="s">
        <v>36</v>
      </c>
      <c r="L6" s="2" t="s">
        <v>37</v>
      </c>
      <c r="M6" s="3" t="s">
        <v>38</v>
      </c>
      <c r="N6" s="3" t="s">
        <v>22</v>
      </c>
      <c r="O6" s="3" t="s">
        <v>39</v>
      </c>
      <c r="P6" s="3" t="s">
        <v>24</v>
      </c>
      <c r="Q6" s="2" t="s">
        <v>40</v>
      </c>
    </row>
    <row r="7">
      <c r="A7" s="4" t="s">
        <v>41</v>
      </c>
      <c r="B7" s="2"/>
      <c r="C7" s="2"/>
      <c r="D7" s="2"/>
      <c r="E7" s="2"/>
      <c r="F7" s="3">
        <v>1.0</v>
      </c>
      <c r="G7" s="3">
        <v>1.0</v>
      </c>
      <c r="H7" s="3">
        <v>1.0</v>
      </c>
      <c r="I7" s="3">
        <v>1.0</v>
      </c>
      <c r="J7" s="3">
        <v>1.0</v>
      </c>
      <c r="K7" s="3">
        <v>1.0</v>
      </c>
      <c r="L7" s="2"/>
      <c r="M7" s="3">
        <v>0.0</v>
      </c>
      <c r="N7" s="3">
        <v>1.0</v>
      </c>
      <c r="O7" s="3">
        <v>1.0</v>
      </c>
      <c r="P7" s="3">
        <v>1.0</v>
      </c>
      <c r="Q7" s="2"/>
      <c r="V7" s="5">
        <f>SUM(B7:P7)/10</f>
        <v>0.9</v>
      </c>
    </row>
    <row r="8">
      <c r="A8" s="2">
        <v>249.0</v>
      </c>
      <c r="B8" s="2">
        <v>366.0</v>
      </c>
      <c r="C8" s="2">
        <v>211.0</v>
      </c>
      <c r="D8" s="2">
        <v>38.089</v>
      </c>
      <c r="E8" s="2">
        <v>-120.658</v>
      </c>
      <c r="H8" s="3" t="s">
        <v>42</v>
      </c>
      <c r="I8" s="3" t="s">
        <v>43</v>
      </c>
      <c r="J8" s="3" t="s">
        <v>44</v>
      </c>
      <c r="K8" s="3" t="s">
        <v>37</v>
      </c>
      <c r="L8" s="1"/>
      <c r="M8" s="3" t="s">
        <v>45</v>
      </c>
      <c r="N8" s="3" t="s">
        <v>46</v>
      </c>
      <c r="O8" s="3" t="s">
        <v>47</v>
      </c>
      <c r="P8" s="3" t="s">
        <v>24</v>
      </c>
      <c r="Q8" s="2" t="s">
        <v>48</v>
      </c>
      <c r="X8" s="6" t="s">
        <v>49</v>
      </c>
      <c r="Y8" s="7">
        <f>COUNT(V2:V1292)</f>
        <v>291</v>
      </c>
    </row>
    <row r="9">
      <c r="A9" s="2" t="s">
        <v>50</v>
      </c>
      <c r="B9" s="2"/>
      <c r="C9" s="2"/>
      <c r="D9" s="2"/>
      <c r="E9" s="2"/>
      <c r="F9" s="3">
        <v>1.0</v>
      </c>
      <c r="G9" s="3">
        <v>1.0</v>
      </c>
      <c r="H9" s="3">
        <v>1.0</v>
      </c>
      <c r="I9" s="3">
        <v>1.0</v>
      </c>
      <c r="J9" s="3">
        <v>1.0</v>
      </c>
      <c r="K9" s="3">
        <v>1.0</v>
      </c>
      <c r="L9" s="1"/>
      <c r="M9" s="3">
        <v>1.0</v>
      </c>
      <c r="N9" s="3">
        <v>1.0</v>
      </c>
      <c r="O9" s="3">
        <v>1.0</v>
      </c>
      <c r="P9" s="3">
        <v>1.0</v>
      </c>
      <c r="Q9" s="2"/>
      <c r="V9" s="5">
        <f>SUM(B9:P9)/10</f>
        <v>1</v>
      </c>
      <c r="X9" s="8"/>
      <c r="Y9" s="9"/>
    </row>
    <row r="10">
      <c r="A10" s="2">
        <v>36.0</v>
      </c>
      <c r="B10" s="2">
        <v>431.0</v>
      </c>
      <c r="C10" s="2">
        <v>229.0</v>
      </c>
      <c r="D10" s="2">
        <v>37.6539</v>
      </c>
      <c r="E10" s="2">
        <v>-121.0441</v>
      </c>
      <c r="H10" s="3" t="s">
        <v>51</v>
      </c>
      <c r="I10" s="3" t="s">
        <v>52</v>
      </c>
      <c r="J10" s="3" t="s">
        <v>53</v>
      </c>
      <c r="K10" s="3" t="s">
        <v>54</v>
      </c>
      <c r="L10" s="1"/>
      <c r="M10" s="3" t="s">
        <v>55</v>
      </c>
      <c r="N10" s="3" t="s">
        <v>56</v>
      </c>
      <c r="O10" s="3" t="s">
        <v>57</v>
      </c>
      <c r="P10" s="3" t="s">
        <v>24</v>
      </c>
      <c r="Q10" s="2" t="s">
        <v>58</v>
      </c>
      <c r="V10" s="3"/>
      <c r="X10" s="10" t="s">
        <v>59</v>
      </c>
      <c r="Y10" s="11">
        <f>SUM(V2:V1292)/Y8</f>
        <v>0.6855670103</v>
      </c>
    </row>
    <row r="11">
      <c r="A11" s="4" t="s">
        <v>60</v>
      </c>
      <c r="B11" s="2"/>
      <c r="C11" s="2"/>
      <c r="D11" s="2"/>
      <c r="E11" s="2"/>
      <c r="F11" s="3">
        <v>1.0</v>
      </c>
      <c r="G11" s="3">
        <v>1.0</v>
      </c>
      <c r="H11" s="3">
        <v>1.0</v>
      </c>
      <c r="I11" s="3">
        <v>0.5</v>
      </c>
      <c r="J11" s="3">
        <v>1.0</v>
      </c>
      <c r="K11" s="3">
        <v>1.0</v>
      </c>
      <c r="L11" s="1"/>
      <c r="M11" s="3">
        <v>0.0</v>
      </c>
      <c r="N11" s="3">
        <v>1.0</v>
      </c>
      <c r="O11" s="3">
        <v>1.0</v>
      </c>
      <c r="P11" s="3">
        <v>1.0</v>
      </c>
      <c r="Q11" s="2"/>
      <c r="V11" s="5">
        <f>SUM(B11:P11)/10</f>
        <v>0.85</v>
      </c>
      <c r="X11" s="3"/>
    </row>
    <row r="12">
      <c r="A12" s="2">
        <v>120.0</v>
      </c>
      <c r="B12" s="2">
        <v>431.0</v>
      </c>
      <c r="C12" s="2">
        <v>234.0</v>
      </c>
      <c r="D12" s="1"/>
      <c r="E12" s="1"/>
      <c r="F12" s="3">
        <v>37.855</v>
      </c>
      <c r="G12" s="3">
        <v>-120.616</v>
      </c>
      <c r="H12" s="3" t="s">
        <v>61</v>
      </c>
      <c r="I12" s="3" t="s">
        <v>18</v>
      </c>
      <c r="J12" s="3" t="s">
        <v>62</v>
      </c>
      <c r="K12" s="3" t="s">
        <v>63</v>
      </c>
      <c r="L12" s="1"/>
      <c r="M12" s="3" t="s">
        <v>64</v>
      </c>
      <c r="N12" s="3" t="s">
        <v>56</v>
      </c>
      <c r="O12" s="3" t="s">
        <v>65</v>
      </c>
      <c r="P12" s="3" t="s">
        <v>24</v>
      </c>
      <c r="Q12" s="2" t="s">
        <v>66</v>
      </c>
    </row>
    <row r="13">
      <c r="A13" s="2" t="s">
        <v>67</v>
      </c>
      <c r="B13" s="2"/>
      <c r="C13" s="2"/>
      <c r="D13" s="1"/>
      <c r="E13" s="1"/>
      <c r="F13" s="3">
        <v>0.0</v>
      </c>
      <c r="G13" s="3">
        <v>0.0</v>
      </c>
      <c r="H13" s="3">
        <v>1.0</v>
      </c>
      <c r="I13" s="3">
        <v>1.0</v>
      </c>
      <c r="J13" s="3">
        <v>1.0</v>
      </c>
      <c r="K13" s="3">
        <v>0.0</v>
      </c>
      <c r="L13" s="1"/>
      <c r="M13" s="3">
        <v>1.0</v>
      </c>
      <c r="N13" s="3">
        <v>1.0</v>
      </c>
      <c r="O13" s="3">
        <v>1.0</v>
      </c>
      <c r="P13" s="3">
        <v>1.0</v>
      </c>
      <c r="Q13" s="2"/>
      <c r="V13" s="5">
        <f>SUM(B13:P13)/10</f>
        <v>0.7</v>
      </c>
      <c r="X13" s="5" t="s">
        <v>68</v>
      </c>
      <c r="Y13" s="5"/>
    </row>
    <row r="14">
      <c r="A14" s="2">
        <v>262.0</v>
      </c>
      <c r="B14" s="2">
        <v>431.0</v>
      </c>
      <c r="C14" s="2">
        <v>295.0</v>
      </c>
      <c r="D14" s="2">
        <v>39.7047</v>
      </c>
      <c r="E14" s="2">
        <v>-121.6625</v>
      </c>
      <c r="H14" s="3" t="s">
        <v>69</v>
      </c>
      <c r="I14" s="3" t="s">
        <v>18</v>
      </c>
      <c r="J14" s="3" t="s">
        <v>70</v>
      </c>
      <c r="L14" s="2" t="s">
        <v>71</v>
      </c>
      <c r="M14" s="3" t="s">
        <v>72</v>
      </c>
      <c r="N14" s="3" t="s">
        <v>56</v>
      </c>
      <c r="O14" s="3" t="s">
        <v>73</v>
      </c>
      <c r="P14" s="3" t="s">
        <v>74</v>
      </c>
      <c r="Q14" s="2" t="s">
        <v>75</v>
      </c>
      <c r="X14" s="12" t="s">
        <v>76</v>
      </c>
      <c r="Y14" s="13">
        <f>F586</f>
        <v>0.8515283843</v>
      </c>
    </row>
    <row r="15">
      <c r="A15" s="2" t="s">
        <v>77</v>
      </c>
      <c r="B15" s="2"/>
      <c r="C15" s="2"/>
      <c r="D15" s="2"/>
      <c r="E15" s="2"/>
      <c r="F15" s="3">
        <v>1.0</v>
      </c>
      <c r="G15" s="3">
        <v>1.0</v>
      </c>
      <c r="H15" s="3">
        <v>0.5</v>
      </c>
      <c r="I15" s="3">
        <v>1.0</v>
      </c>
      <c r="J15" s="3">
        <v>0.5</v>
      </c>
      <c r="K15" s="3">
        <v>1.0</v>
      </c>
      <c r="L15" s="2"/>
      <c r="M15" s="3">
        <v>1.0</v>
      </c>
      <c r="N15" s="3">
        <v>1.0</v>
      </c>
      <c r="O15" s="3">
        <v>1.0</v>
      </c>
      <c r="P15" s="3">
        <v>0.5</v>
      </c>
      <c r="Q15" s="2"/>
      <c r="V15" s="5">
        <f>SUM(B15:P15)/10</f>
        <v>0.85</v>
      </c>
      <c r="X15" s="14" t="s">
        <v>78</v>
      </c>
      <c r="Y15" s="15">
        <f>G586</f>
        <v>0.8515283843</v>
      </c>
    </row>
    <row r="16">
      <c r="A16" s="2">
        <v>263.0</v>
      </c>
      <c r="B16" s="2">
        <v>431.0</v>
      </c>
      <c r="C16" s="2">
        <v>295.0</v>
      </c>
      <c r="D16" s="2">
        <v>39.6983</v>
      </c>
      <c r="E16" s="2">
        <v>-122.0167</v>
      </c>
      <c r="H16" s="3" t="s">
        <v>79</v>
      </c>
      <c r="I16" s="3" t="s">
        <v>18</v>
      </c>
      <c r="J16" s="3" t="s">
        <v>80</v>
      </c>
      <c r="L16" s="2" t="s">
        <v>81</v>
      </c>
      <c r="M16" s="3" t="s">
        <v>82</v>
      </c>
      <c r="N16" s="3" t="s">
        <v>83</v>
      </c>
      <c r="O16" s="3" t="s">
        <v>73</v>
      </c>
      <c r="P16" s="3" t="s">
        <v>24</v>
      </c>
      <c r="Q16" s="2" t="s">
        <v>84</v>
      </c>
      <c r="X16" s="14" t="s">
        <v>85</v>
      </c>
      <c r="Y16" s="15">
        <f>H586</f>
        <v>0.8793859649</v>
      </c>
    </row>
    <row r="17">
      <c r="A17" s="2" t="s">
        <v>86</v>
      </c>
      <c r="B17" s="2"/>
      <c r="C17" s="2"/>
      <c r="D17" s="2"/>
      <c r="E17" s="2"/>
      <c r="F17" s="3">
        <v>1.0</v>
      </c>
      <c r="G17" s="3">
        <v>1.0</v>
      </c>
      <c r="H17" s="3">
        <v>1.0</v>
      </c>
      <c r="I17" s="3">
        <v>1.0</v>
      </c>
      <c r="J17" s="3">
        <v>1.0</v>
      </c>
      <c r="K17" s="3">
        <v>1.0</v>
      </c>
      <c r="L17" s="2"/>
      <c r="M17" s="3">
        <v>0.5</v>
      </c>
      <c r="N17" s="3">
        <v>1.0</v>
      </c>
      <c r="O17" s="3">
        <v>1.0</v>
      </c>
      <c r="P17" s="3">
        <v>1.0</v>
      </c>
      <c r="Q17" s="2"/>
      <c r="V17" s="5">
        <f>SUM(B17:P17)/10</f>
        <v>0.95</v>
      </c>
      <c r="X17" s="14" t="s">
        <v>87</v>
      </c>
      <c r="Y17" s="15">
        <f>I586</f>
        <v>0.8100436681</v>
      </c>
    </row>
    <row r="18">
      <c r="A18" s="2">
        <v>91.0</v>
      </c>
      <c r="B18" s="2">
        <v>455.0</v>
      </c>
      <c r="C18" s="2">
        <v>38.0</v>
      </c>
      <c r="D18" s="2">
        <v>34.0454</v>
      </c>
      <c r="E18" s="2">
        <v>-117.1713</v>
      </c>
      <c r="H18" s="3" t="s">
        <v>88</v>
      </c>
      <c r="I18" s="3" t="s">
        <v>89</v>
      </c>
      <c r="J18" s="3" t="s">
        <v>90</v>
      </c>
      <c r="K18" s="3" t="s">
        <v>91</v>
      </c>
      <c r="L18" s="1"/>
      <c r="M18" s="3" t="s">
        <v>92</v>
      </c>
      <c r="N18" s="3" t="s">
        <v>56</v>
      </c>
      <c r="O18" s="3" t="s">
        <v>57</v>
      </c>
      <c r="P18" s="3" t="s">
        <v>24</v>
      </c>
      <c r="Q18" s="2" t="s">
        <v>93</v>
      </c>
      <c r="X18" s="14" t="s">
        <v>94</v>
      </c>
      <c r="Y18" s="15">
        <f>J586</f>
        <v>0.9934497817</v>
      </c>
    </row>
    <row r="19">
      <c r="A19" s="2" t="s">
        <v>95</v>
      </c>
      <c r="B19" s="2"/>
      <c r="C19" s="2"/>
      <c r="D19" s="2"/>
      <c r="E19" s="2"/>
      <c r="F19" s="3">
        <v>1.0</v>
      </c>
      <c r="G19" s="3">
        <v>1.0</v>
      </c>
      <c r="H19" s="3">
        <v>1.0</v>
      </c>
      <c r="I19" s="3">
        <v>1.0</v>
      </c>
      <c r="J19" s="3">
        <v>1.0</v>
      </c>
      <c r="K19" s="3">
        <v>0.0</v>
      </c>
      <c r="L19" s="1"/>
      <c r="M19" s="3">
        <v>1.0</v>
      </c>
      <c r="N19" s="3">
        <v>1.0</v>
      </c>
      <c r="O19" s="3">
        <v>1.0</v>
      </c>
      <c r="P19" s="3">
        <v>1.0</v>
      </c>
      <c r="Q19" s="2"/>
      <c r="V19" s="5">
        <f>SUM(B19:P19)/10</f>
        <v>0.9</v>
      </c>
      <c r="X19" s="14" t="s">
        <v>96</v>
      </c>
      <c r="Y19" s="15">
        <f>K586</f>
        <v>0.519650655</v>
      </c>
    </row>
    <row r="20">
      <c r="A20" s="2">
        <v>279.0</v>
      </c>
      <c r="B20" s="2">
        <v>573.0</v>
      </c>
      <c r="C20" s="2">
        <v>231.0</v>
      </c>
      <c r="D20" s="1"/>
      <c r="E20" s="1"/>
      <c r="F20" s="3">
        <v>37.7425</v>
      </c>
      <c r="G20" s="3">
        <v>-119.5569444</v>
      </c>
      <c r="H20" s="3" t="s">
        <v>97</v>
      </c>
      <c r="I20" s="3" t="s">
        <v>18</v>
      </c>
      <c r="J20" s="3" t="s">
        <v>98</v>
      </c>
      <c r="K20" s="3" t="s">
        <v>99</v>
      </c>
      <c r="L20" s="2" t="s">
        <v>99</v>
      </c>
      <c r="M20" s="3" t="s">
        <v>100</v>
      </c>
      <c r="N20" s="3" t="s">
        <v>56</v>
      </c>
      <c r="O20" s="3" t="s">
        <v>73</v>
      </c>
      <c r="P20" s="3" t="s">
        <v>24</v>
      </c>
      <c r="Q20" s="2" t="s">
        <v>101</v>
      </c>
      <c r="X20" s="14" t="s">
        <v>102</v>
      </c>
      <c r="Y20" s="15">
        <f>M586</f>
        <v>0.9213973799</v>
      </c>
    </row>
    <row r="21">
      <c r="A21" s="2" t="s">
        <v>103</v>
      </c>
      <c r="B21" s="2"/>
      <c r="C21" s="2"/>
      <c r="D21" s="1"/>
      <c r="E21" s="1"/>
      <c r="F21" s="3">
        <v>1.0</v>
      </c>
      <c r="G21" s="3">
        <v>1.0</v>
      </c>
      <c r="H21" s="3">
        <v>1.0</v>
      </c>
      <c r="I21" s="3">
        <v>1.0</v>
      </c>
      <c r="J21" s="3">
        <v>1.0</v>
      </c>
      <c r="K21" s="3">
        <v>1.0</v>
      </c>
      <c r="L21" s="2"/>
      <c r="M21" s="3">
        <v>1.0</v>
      </c>
      <c r="N21" s="3">
        <v>1.0</v>
      </c>
      <c r="O21" s="3">
        <v>1.0</v>
      </c>
      <c r="P21" s="3">
        <v>1.0</v>
      </c>
      <c r="Q21" s="2"/>
      <c r="V21" s="5">
        <f>SUM(B21:P21)/10</f>
        <v>1</v>
      </c>
      <c r="X21" s="14" t="s">
        <v>104</v>
      </c>
      <c r="Y21" s="15">
        <f>N586</f>
        <v>0.9213973799</v>
      </c>
    </row>
    <row r="22">
      <c r="A22" s="2">
        <v>155.0</v>
      </c>
      <c r="B22" s="2">
        <v>583.0</v>
      </c>
      <c r="C22" s="2">
        <v>254.0</v>
      </c>
      <c r="D22" s="2">
        <v>41.7264</v>
      </c>
      <c r="E22" s="2">
        <v>-122.7591</v>
      </c>
      <c r="F22" s="3">
        <v>41.7264</v>
      </c>
      <c r="G22" s="3">
        <v>-122.7591</v>
      </c>
      <c r="H22" s="3" t="s">
        <v>105</v>
      </c>
      <c r="J22" s="3" t="s">
        <v>106</v>
      </c>
      <c r="K22" s="3" t="s">
        <v>107</v>
      </c>
      <c r="L22" s="2" t="s">
        <v>107</v>
      </c>
      <c r="M22" s="3" t="s">
        <v>108</v>
      </c>
      <c r="N22" s="3" t="s">
        <v>56</v>
      </c>
      <c r="O22" s="3" t="s">
        <v>73</v>
      </c>
      <c r="P22" s="3" t="s">
        <v>24</v>
      </c>
      <c r="Q22" s="2" t="s">
        <v>109</v>
      </c>
      <c r="X22" s="14" t="s">
        <v>110</v>
      </c>
      <c r="Y22" s="15">
        <f>O586</f>
        <v>0.9912663755</v>
      </c>
    </row>
    <row r="23">
      <c r="A23" s="2" t="s">
        <v>111</v>
      </c>
      <c r="B23" s="2"/>
      <c r="C23" s="2"/>
      <c r="D23" s="2"/>
      <c r="E23" s="2"/>
      <c r="F23" s="3">
        <v>0.0</v>
      </c>
      <c r="G23" s="3">
        <v>0.0</v>
      </c>
      <c r="H23" s="3">
        <v>1.0</v>
      </c>
      <c r="I23" s="3">
        <v>1.0</v>
      </c>
      <c r="J23" s="3">
        <v>1.0</v>
      </c>
      <c r="K23" s="3">
        <v>0.0</v>
      </c>
      <c r="L23" s="2"/>
      <c r="M23" s="3">
        <v>1.0</v>
      </c>
      <c r="N23" s="3">
        <v>1.0</v>
      </c>
      <c r="O23" s="3">
        <v>1.0</v>
      </c>
      <c r="P23" s="3">
        <v>1.0</v>
      </c>
      <c r="Q23" s="2"/>
      <c r="V23" s="5">
        <f>SUM(B23:P23)/10</f>
        <v>0.7</v>
      </c>
      <c r="X23" s="16" t="s">
        <v>112</v>
      </c>
      <c r="Y23" s="17">
        <f>P586</f>
        <v>0.9802631579</v>
      </c>
    </row>
    <row r="24">
      <c r="A24" s="2">
        <v>130.0</v>
      </c>
      <c r="B24" s="2">
        <v>583.0</v>
      </c>
      <c r="C24" s="2">
        <v>425.0</v>
      </c>
      <c r="D24" s="1"/>
      <c r="E24" s="1"/>
      <c r="F24" s="3">
        <v>38.767</v>
      </c>
      <c r="G24" s="3">
        <v>-122.517</v>
      </c>
      <c r="H24" s="3" t="s">
        <v>113</v>
      </c>
      <c r="I24" s="3" t="s">
        <v>114</v>
      </c>
      <c r="J24" s="3" t="s">
        <v>115</v>
      </c>
      <c r="K24" s="3" t="s">
        <v>116</v>
      </c>
      <c r="L24" s="2" t="s">
        <v>116</v>
      </c>
      <c r="M24" s="3" t="s">
        <v>117</v>
      </c>
      <c r="N24" s="3" t="s">
        <v>56</v>
      </c>
      <c r="O24" s="3" t="s">
        <v>118</v>
      </c>
      <c r="P24" s="3" t="s">
        <v>24</v>
      </c>
      <c r="Q24" s="2" t="s">
        <v>119</v>
      </c>
    </row>
    <row r="25">
      <c r="A25" s="2" t="s">
        <v>120</v>
      </c>
      <c r="B25" s="2"/>
      <c r="C25" s="2"/>
      <c r="D25" s="1"/>
      <c r="E25" s="1"/>
      <c r="F25" s="3">
        <v>1.0</v>
      </c>
      <c r="G25" s="3">
        <v>1.0</v>
      </c>
      <c r="H25" s="3">
        <v>1.0</v>
      </c>
      <c r="I25" s="3">
        <v>1.0</v>
      </c>
      <c r="J25" s="3">
        <v>1.0</v>
      </c>
      <c r="K25" s="3">
        <v>0.0</v>
      </c>
      <c r="L25" s="2"/>
      <c r="M25" s="3">
        <v>1.0</v>
      </c>
      <c r="N25" s="3">
        <v>1.0</v>
      </c>
      <c r="O25" s="3">
        <v>1.0</v>
      </c>
      <c r="P25" s="3">
        <v>1.0</v>
      </c>
      <c r="Q25" s="2"/>
      <c r="V25" s="5">
        <f>SUM(B25:P25)/10</f>
        <v>0.9</v>
      </c>
    </row>
    <row r="26">
      <c r="A26" s="2">
        <v>269.0</v>
      </c>
      <c r="B26" s="2">
        <v>593.0</v>
      </c>
      <c r="C26" s="2">
        <v>37.0</v>
      </c>
      <c r="D26" s="1"/>
      <c r="E26" s="1"/>
      <c r="F26" s="3">
        <v>33.105556</v>
      </c>
      <c r="G26" s="3">
        <v>-116.858333</v>
      </c>
      <c r="H26" s="3" t="s">
        <v>121</v>
      </c>
      <c r="I26" s="3" t="s">
        <v>122</v>
      </c>
      <c r="J26" s="3" t="s">
        <v>123</v>
      </c>
      <c r="K26" s="3" t="s">
        <v>124</v>
      </c>
      <c r="L26" s="1"/>
      <c r="M26" s="3" t="s">
        <v>125</v>
      </c>
      <c r="N26" s="3" t="s">
        <v>56</v>
      </c>
      <c r="O26" s="3" t="s">
        <v>118</v>
      </c>
      <c r="P26" s="3" t="s">
        <v>24</v>
      </c>
      <c r="Q26" s="2" t="s">
        <v>126</v>
      </c>
    </row>
    <row r="27">
      <c r="A27" s="2" t="s">
        <v>127</v>
      </c>
      <c r="B27" s="2"/>
      <c r="C27" s="2"/>
      <c r="D27" s="1"/>
      <c r="E27" s="1"/>
      <c r="F27" s="3">
        <v>1.0</v>
      </c>
      <c r="G27" s="3">
        <v>1.0</v>
      </c>
      <c r="H27" s="3">
        <v>0.5</v>
      </c>
      <c r="I27" s="3">
        <v>0.5</v>
      </c>
      <c r="J27" s="3">
        <v>1.0</v>
      </c>
      <c r="K27" s="3">
        <v>1.0</v>
      </c>
      <c r="L27" s="1"/>
      <c r="M27" s="3">
        <v>1.0</v>
      </c>
      <c r="N27" s="3">
        <v>1.0</v>
      </c>
      <c r="O27" s="3">
        <v>1.0</v>
      </c>
      <c r="P27" s="3">
        <v>1.0</v>
      </c>
      <c r="Q27" s="2"/>
      <c r="V27" s="5">
        <f>SUM(B27:P27)/10</f>
        <v>0.9</v>
      </c>
    </row>
    <row r="28">
      <c r="A28" s="2">
        <v>226.0</v>
      </c>
      <c r="B28" s="2">
        <v>641.0</v>
      </c>
      <c r="C28" s="2">
        <v>131.0</v>
      </c>
      <c r="D28" s="1"/>
      <c r="E28" s="1"/>
      <c r="F28" s="3">
        <v>33.7902777778</v>
      </c>
      <c r="G28" s="3">
        <v>-118.205555556</v>
      </c>
      <c r="H28" s="3" t="s">
        <v>128</v>
      </c>
      <c r="I28" s="3" t="s">
        <v>18</v>
      </c>
      <c r="J28" s="3" t="s">
        <v>129</v>
      </c>
      <c r="K28" s="3" t="s">
        <v>130</v>
      </c>
      <c r="L28" s="1"/>
      <c r="M28" s="3" t="s">
        <v>131</v>
      </c>
      <c r="N28" s="3" t="s">
        <v>56</v>
      </c>
      <c r="O28" s="3" t="s">
        <v>132</v>
      </c>
      <c r="P28" s="3" t="s">
        <v>24</v>
      </c>
      <c r="Q28" s="2" t="s">
        <v>133</v>
      </c>
    </row>
    <row r="29">
      <c r="A29" s="2" t="s">
        <v>134</v>
      </c>
      <c r="B29" s="2"/>
      <c r="C29" s="2"/>
      <c r="D29" s="1"/>
      <c r="E29" s="1"/>
      <c r="F29" s="3">
        <v>1.0</v>
      </c>
      <c r="G29" s="3">
        <v>1.0</v>
      </c>
      <c r="H29" s="3">
        <v>1.0</v>
      </c>
      <c r="I29" s="3">
        <v>1.0</v>
      </c>
      <c r="J29" s="3">
        <v>1.0</v>
      </c>
      <c r="K29" s="3">
        <v>1.0</v>
      </c>
      <c r="L29" s="1"/>
      <c r="M29" s="3">
        <v>1.0</v>
      </c>
      <c r="N29" s="3">
        <v>1.0</v>
      </c>
      <c r="O29" s="3">
        <v>1.0</v>
      </c>
      <c r="P29" s="3">
        <v>1.0</v>
      </c>
      <c r="Q29" s="2"/>
      <c r="V29" s="5">
        <f>SUM(B29:P29)/10</f>
        <v>1</v>
      </c>
    </row>
    <row r="30">
      <c r="A30" s="2">
        <v>115.0</v>
      </c>
      <c r="B30" s="2">
        <v>641.0</v>
      </c>
      <c r="C30" s="2">
        <v>185.0</v>
      </c>
      <c r="D30" s="1"/>
      <c r="E30" s="1"/>
      <c r="F30" s="3">
        <v>36.280556</v>
      </c>
      <c r="G30" s="3">
        <v>-121.322222</v>
      </c>
      <c r="H30" s="3" t="s">
        <v>135</v>
      </c>
      <c r="I30" s="3" t="s">
        <v>136</v>
      </c>
      <c r="J30" s="3" t="s">
        <v>137</v>
      </c>
      <c r="K30" s="3" t="s">
        <v>138</v>
      </c>
      <c r="L30" s="1"/>
      <c r="M30" s="3" t="s">
        <v>139</v>
      </c>
      <c r="N30" s="3" t="s">
        <v>56</v>
      </c>
      <c r="O30" s="3" t="s">
        <v>140</v>
      </c>
      <c r="P30" s="3" t="s">
        <v>24</v>
      </c>
      <c r="Q30" s="2" t="s">
        <v>141</v>
      </c>
    </row>
    <row r="31">
      <c r="A31" s="2" t="s">
        <v>142</v>
      </c>
      <c r="B31" s="2"/>
      <c r="C31" s="2"/>
      <c r="D31" s="1"/>
      <c r="E31" s="1"/>
      <c r="F31" s="3">
        <v>1.0</v>
      </c>
      <c r="G31" s="3">
        <v>1.0</v>
      </c>
      <c r="H31" s="3">
        <v>0.0</v>
      </c>
      <c r="I31" s="3">
        <v>1.0</v>
      </c>
      <c r="J31" s="3">
        <v>1.0</v>
      </c>
      <c r="K31" s="3">
        <v>0.0</v>
      </c>
      <c r="L31" s="1"/>
      <c r="M31" s="3">
        <v>1.0</v>
      </c>
      <c r="N31" s="3">
        <v>1.0</v>
      </c>
      <c r="O31" s="3">
        <v>1.0</v>
      </c>
      <c r="P31" s="3">
        <v>1.0</v>
      </c>
      <c r="Q31" s="2"/>
      <c r="V31" s="5">
        <f>SUM(B31:P31)/10</f>
        <v>0.8</v>
      </c>
    </row>
    <row r="32">
      <c r="A32" s="2">
        <v>52.0</v>
      </c>
      <c r="B32" s="2">
        <v>648.0</v>
      </c>
      <c r="C32" s="2">
        <v>121.0</v>
      </c>
      <c r="D32" s="1"/>
      <c r="E32" s="1"/>
      <c r="F32" s="3">
        <v>33.894444</v>
      </c>
      <c r="G32" s="3">
        <v>-117.884722</v>
      </c>
      <c r="H32" s="3" t="s">
        <v>143</v>
      </c>
      <c r="I32" s="3" t="s">
        <v>18</v>
      </c>
      <c r="J32" s="3" t="s">
        <v>144</v>
      </c>
      <c r="K32" s="3" t="s">
        <v>145</v>
      </c>
      <c r="L32" s="1"/>
      <c r="M32" s="3" t="s">
        <v>146</v>
      </c>
      <c r="N32" s="3" t="s">
        <v>56</v>
      </c>
      <c r="O32" s="3" t="s">
        <v>147</v>
      </c>
      <c r="P32" s="3" t="s">
        <v>24</v>
      </c>
      <c r="Q32" s="2" t="s">
        <v>148</v>
      </c>
    </row>
    <row r="33">
      <c r="A33" s="2" t="s">
        <v>149</v>
      </c>
      <c r="B33" s="2"/>
      <c r="C33" s="2"/>
      <c r="D33" s="1"/>
      <c r="E33" s="1"/>
      <c r="F33" s="3">
        <v>1.0</v>
      </c>
      <c r="G33" s="3">
        <v>1.0</v>
      </c>
      <c r="H33" s="3">
        <v>1.0</v>
      </c>
      <c r="I33" s="3">
        <v>1.0</v>
      </c>
      <c r="J33" s="3">
        <v>1.0</v>
      </c>
      <c r="K33" s="3">
        <v>1.0</v>
      </c>
      <c r="L33" s="1"/>
      <c r="M33" s="3">
        <v>1.0</v>
      </c>
      <c r="N33" s="3">
        <v>1.0</v>
      </c>
      <c r="O33" s="3">
        <v>1.0</v>
      </c>
      <c r="P33" s="3">
        <v>1.0</v>
      </c>
      <c r="Q33" s="2"/>
      <c r="V33" s="5">
        <f>SUM(B33:P33)/10</f>
        <v>1</v>
      </c>
    </row>
    <row r="34">
      <c r="A34" s="2">
        <v>270.0</v>
      </c>
      <c r="B34" s="2">
        <v>648.0</v>
      </c>
      <c r="C34" s="2">
        <v>272.0</v>
      </c>
      <c r="D34" s="1"/>
      <c r="E34" s="1"/>
      <c r="F34" s="3">
        <v>37.066667</v>
      </c>
      <c r="G34" s="3">
        <v>-119.647222</v>
      </c>
      <c r="H34" s="3" t="s">
        <v>150</v>
      </c>
      <c r="I34" s="3" t="s">
        <v>151</v>
      </c>
      <c r="J34" s="3" t="s">
        <v>152</v>
      </c>
      <c r="K34" s="3" t="s">
        <v>153</v>
      </c>
      <c r="L34" s="1"/>
      <c r="M34" s="3" t="s">
        <v>154</v>
      </c>
      <c r="N34" s="3" t="s">
        <v>155</v>
      </c>
      <c r="O34" s="3" t="s">
        <v>156</v>
      </c>
      <c r="P34" s="3" t="s">
        <v>24</v>
      </c>
      <c r="Q34" s="2" t="s">
        <v>157</v>
      </c>
    </row>
    <row r="35">
      <c r="A35" s="2" t="s">
        <v>158</v>
      </c>
      <c r="B35" s="2"/>
      <c r="C35" s="2"/>
      <c r="D35" s="1"/>
      <c r="E35" s="1"/>
      <c r="F35" s="3">
        <v>1.0</v>
      </c>
      <c r="G35" s="3">
        <v>1.0</v>
      </c>
      <c r="H35" s="3">
        <v>1.0</v>
      </c>
      <c r="I35" s="3">
        <v>0.5</v>
      </c>
      <c r="J35" s="3">
        <v>1.0</v>
      </c>
      <c r="K35" s="3">
        <v>0.0</v>
      </c>
      <c r="L35" s="1"/>
      <c r="M35" s="3">
        <v>1.0</v>
      </c>
      <c r="N35" s="3">
        <v>1.0</v>
      </c>
      <c r="O35" s="3">
        <v>1.0</v>
      </c>
      <c r="P35" s="3">
        <v>1.0</v>
      </c>
      <c r="Q35" s="2"/>
      <c r="V35" s="5">
        <f>SUM(B35:P35)/10</f>
        <v>0.85</v>
      </c>
    </row>
    <row r="36">
      <c r="A36" s="2">
        <v>107.0</v>
      </c>
      <c r="B36" s="2">
        <v>658.0</v>
      </c>
      <c r="C36" s="2">
        <v>273.0</v>
      </c>
      <c r="D36" s="1"/>
      <c r="E36" s="1"/>
      <c r="F36" s="3">
        <v>37.4138889</v>
      </c>
      <c r="G36" s="3">
        <v>-119.3805556</v>
      </c>
      <c r="H36" s="3" t="s">
        <v>159</v>
      </c>
      <c r="I36" s="3" t="s">
        <v>160</v>
      </c>
      <c r="J36" s="3" t="s">
        <v>161</v>
      </c>
      <c r="K36" s="3" t="s">
        <v>162</v>
      </c>
      <c r="L36" s="1"/>
      <c r="M36" s="3" t="s">
        <v>163</v>
      </c>
      <c r="N36" s="3" t="s">
        <v>164</v>
      </c>
      <c r="O36" s="3" t="s">
        <v>165</v>
      </c>
      <c r="P36" s="3" t="s">
        <v>24</v>
      </c>
      <c r="Q36" s="2" t="s">
        <v>166</v>
      </c>
    </row>
    <row r="37">
      <c r="A37" s="2" t="s">
        <v>158</v>
      </c>
      <c r="B37" s="2"/>
      <c r="C37" s="2"/>
      <c r="D37" s="1"/>
      <c r="E37" s="1"/>
      <c r="F37" s="3">
        <v>1.0</v>
      </c>
      <c r="G37" s="3">
        <v>1.0</v>
      </c>
      <c r="H37" s="3">
        <v>0.5</v>
      </c>
      <c r="I37" s="3">
        <v>0.5</v>
      </c>
      <c r="J37" s="3">
        <v>1.0</v>
      </c>
      <c r="K37" s="3">
        <v>0.0</v>
      </c>
      <c r="L37" s="1"/>
      <c r="M37" s="3">
        <v>1.0</v>
      </c>
      <c r="N37" s="3">
        <v>1.0</v>
      </c>
      <c r="O37" s="3">
        <v>1.0</v>
      </c>
      <c r="P37" s="3">
        <v>1.0</v>
      </c>
      <c r="Q37" s="2"/>
      <c r="V37" s="5">
        <f>SUM(B37:P37)/10</f>
        <v>0.8</v>
      </c>
    </row>
    <row r="38">
      <c r="A38" s="2">
        <v>117.0</v>
      </c>
      <c r="B38" s="2">
        <v>695.0</v>
      </c>
      <c r="C38" s="2">
        <v>91.0</v>
      </c>
      <c r="D38" s="1"/>
      <c r="E38" s="1"/>
      <c r="F38" s="3">
        <v>33.964722</v>
      </c>
      <c r="G38" s="3">
        <v>-117.465556</v>
      </c>
      <c r="H38" s="3" t="s">
        <v>167</v>
      </c>
      <c r="I38" s="3" t="s">
        <v>168</v>
      </c>
      <c r="J38" s="3" t="s">
        <v>169</v>
      </c>
      <c r="K38" s="3" t="s">
        <v>91</v>
      </c>
      <c r="L38" s="1"/>
      <c r="M38" s="3" t="s">
        <v>170</v>
      </c>
      <c r="N38" s="3" t="s">
        <v>56</v>
      </c>
      <c r="O38" s="3" t="s">
        <v>171</v>
      </c>
      <c r="P38" s="3" t="s">
        <v>24</v>
      </c>
      <c r="Q38" s="2" t="s">
        <v>172</v>
      </c>
    </row>
    <row r="39">
      <c r="A39" s="2" t="s">
        <v>173</v>
      </c>
      <c r="B39" s="2"/>
      <c r="C39" s="2"/>
      <c r="D39" s="1"/>
      <c r="E39" s="1"/>
      <c r="F39" s="3">
        <v>1.0</v>
      </c>
      <c r="G39" s="3">
        <v>1.0</v>
      </c>
      <c r="H39" s="3">
        <v>1.0</v>
      </c>
      <c r="I39" s="3">
        <v>0.5</v>
      </c>
      <c r="J39" s="3">
        <v>1.0</v>
      </c>
      <c r="K39" s="3">
        <v>0.0</v>
      </c>
      <c r="L39" s="1"/>
      <c r="M39" s="3">
        <v>1.0</v>
      </c>
      <c r="N39" s="3">
        <v>1.0</v>
      </c>
      <c r="O39" s="3">
        <v>1.0</v>
      </c>
      <c r="P39" s="3">
        <v>1.0</v>
      </c>
      <c r="Q39" s="2"/>
      <c r="V39" s="5">
        <f>SUM(B39:P39)/10</f>
        <v>0.85</v>
      </c>
    </row>
    <row r="40">
      <c r="A40" s="2">
        <v>51.0</v>
      </c>
      <c r="B40" s="2">
        <v>695.0</v>
      </c>
      <c r="C40" s="2">
        <v>306.0</v>
      </c>
      <c r="D40" s="1"/>
      <c r="E40" s="1"/>
      <c r="F40" s="3">
        <v>37.0027778</v>
      </c>
      <c r="G40" s="3">
        <v>-119.7055556</v>
      </c>
      <c r="H40" s="3" t="s">
        <v>174</v>
      </c>
      <c r="I40" s="3" t="s">
        <v>175</v>
      </c>
      <c r="J40" s="3" t="s">
        <v>176</v>
      </c>
      <c r="K40" s="3" t="s">
        <v>177</v>
      </c>
      <c r="L40" s="2" t="s">
        <v>177</v>
      </c>
      <c r="M40" s="3" t="s">
        <v>178</v>
      </c>
      <c r="N40" s="3" t="s">
        <v>56</v>
      </c>
      <c r="O40" s="3" t="s">
        <v>132</v>
      </c>
      <c r="P40" s="3" t="s">
        <v>24</v>
      </c>
      <c r="Q40" s="2" t="s">
        <v>179</v>
      </c>
    </row>
    <row r="41">
      <c r="A41" s="2" t="s">
        <v>180</v>
      </c>
      <c r="B41" s="2"/>
      <c r="C41" s="2"/>
      <c r="D41" s="1"/>
      <c r="E41" s="1"/>
      <c r="F41" s="3">
        <v>1.0</v>
      </c>
      <c r="G41" s="3">
        <v>1.0</v>
      </c>
      <c r="H41" s="3">
        <v>1.0</v>
      </c>
      <c r="I41" s="3">
        <v>0.0</v>
      </c>
      <c r="J41" s="3">
        <v>1.0</v>
      </c>
      <c r="K41" s="3">
        <v>0.0</v>
      </c>
      <c r="L41" s="2"/>
      <c r="M41" s="3">
        <v>1.0</v>
      </c>
      <c r="N41" s="3">
        <v>1.0</v>
      </c>
      <c r="O41" s="3">
        <v>1.0</v>
      </c>
      <c r="P41" s="3">
        <v>1.0</v>
      </c>
      <c r="Q41" s="2"/>
      <c r="V41" s="5">
        <f>SUM(B41:P41)/10</f>
        <v>0.8</v>
      </c>
    </row>
    <row r="42">
      <c r="A42" s="2">
        <v>156.0</v>
      </c>
      <c r="B42" s="2">
        <v>695.0</v>
      </c>
      <c r="C42" s="2">
        <v>406.0</v>
      </c>
      <c r="D42" s="1"/>
      <c r="E42" s="1"/>
      <c r="F42" s="3">
        <v>40.983333</v>
      </c>
      <c r="G42" s="3">
        <v>-121.783333</v>
      </c>
      <c r="H42" s="3" t="s">
        <v>181</v>
      </c>
      <c r="I42" s="3" t="s">
        <v>182</v>
      </c>
      <c r="J42" s="3" t="s">
        <v>183</v>
      </c>
      <c r="L42" s="2" t="s">
        <v>184</v>
      </c>
      <c r="M42" s="3" t="s">
        <v>185</v>
      </c>
      <c r="N42" s="3" t="s">
        <v>186</v>
      </c>
      <c r="O42" s="3" t="s">
        <v>187</v>
      </c>
      <c r="P42" s="3" t="s">
        <v>24</v>
      </c>
      <c r="Q42" s="2" t="s">
        <v>188</v>
      </c>
    </row>
    <row r="43">
      <c r="A43" s="2" t="s">
        <v>189</v>
      </c>
      <c r="B43" s="2"/>
      <c r="C43" s="2"/>
      <c r="D43" s="1"/>
      <c r="E43" s="1"/>
      <c r="F43" s="3">
        <v>1.0</v>
      </c>
      <c r="G43" s="3">
        <v>1.0</v>
      </c>
      <c r="H43" s="3">
        <v>0.0</v>
      </c>
      <c r="I43" s="3">
        <v>0.5</v>
      </c>
      <c r="J43" s="3">
        <v>1.0</v>
      </c>
      <c r="K43" s="3">
        <v>1.0</v>
      </c>
      <c r="L43" s="2"/>
      <c r="M43" s="3">
        <v>1.0</v>
      </c>
      <c r="N43" s="3">
        <v>0.0</v>
      </c>
      <c r="O43" s="3">
        <v>1.0</v>
      </c>
      <c r="P43" s="3">
        <v>1.0</v>
      </c>
      <c r="Q43" s="2"/>
      <c r="V43" s="5">
        <f>SUM(B43:P43)/10</f>
        <v>0.75</v>
      </c>
    </row>
    <row r="44">
      <c r="A44" s="2">
        <v>232.0</v>
      </c>
      <c r="B44" s="2">
        <v>716.0</v>
      </c>
      <c r="C44" s="2">
        <v>212.0</v>
      </c>
      <c r="D44" s="1"/>
      <c r="E44" s="1"/>
      <c r="F44" s="3">
        <v>34.5916667</v>
      </c>
      <c r="G44" s="3">
        <v>-119.9958333</v>
      </c>
      <c r="H44" s="3" t="s">
        <v>190</v>
      </c>
      <c r="I44" s="3" t="s">
        <v>18</v>
      </c>
      <c r="J44" s="3" t="s">
        <v>191</v>
      </c>
      <c r="K44" s="3" t="s">
        <v>192</v>
      </c>
      <c r="L44" s="1"/>
      <c r="M44" s="3" t="s">
        <v>193</v>
      </c>
      <c r="N44" s="3" t="s">
        <v>56</v>
      </c>
      <c r="O44" s="3" t="s">
        <v>194</v>
      </c>
      <c r="P44" s="3" t="s">
        <v>24</v>
      </c>
      <c r="Q44" s="2" t="s">
        <v>195</v>
      </c>
    </row>
    <row r="45">
      <c r="A45" s="2" t="s">
        <v>196</v>
      </c>
      <c r="B45" s="2"/>
      <c r="C45" s="2"/>
      <c r="D45" s="1"/>
      <c r="E45" s="1"/>
      <c r="F45" s="3">
        <v>1.0</v>
      </c>
      <c r="G45" s="3">
        <v>1.0</v>
      </c>
      <c r="H45" s="3">
        <v>1.0</v>
      </c>
      <c r="I45" s="3">
        <v>1.0</v>
      </c>
      <c r="J45" s="3">
        <v>1.0</v>
      </c>
      <c r="K45" s="3">
        <v>1.0</v>
      </c>
      <c r="L45" s="1"/>
      <c r="M45" s="3">
        <v>1.0</v>
      </c>
      <c r="N45" s="3">
        <v>1.0</v>
      </c>
      <c r="O45" s="3">
        <v>1.0</v>
      </c>
      <c r="P45" s="3">
        <v>1.0</v>
      </c>
      <c r="Q45" s="2"/>
      <c r="V45" s="5">
        <f>SUM(B45:P45)/10</f>
        <v>1</v>
      </c>
    </row>
    <row r="46">
      <c r="A46" s="2">
        <v>93.0</v>
      </c>
      <c r="B46" s="2">
        <v>716.0</v>
      </c>
      <c r="C46" s="2">
        <v>550.0</v>
      </c>
      <c r="D46" s="1"/>
      <c r="E46" s="1"/>
      <c r="F46" s="3">
        <v>39.945833</v>
      </c>
      <c r="G46" s="3">
        <v>-121.005556</v>
      </c>
      <c r="H46" s="3" t="s">
        <v>197</v>
      </c>
      <c r="I46" s="3" t="s">
        <v>198</v>
      </c>
      <c r="J46" s="3" t="s">
        <v>199</v>
      </c>
      <c r="K46" s="3" t="s">
        <v>200</v>
      </c>
      <c r="L46" s="1"/>
      <c r="M46" s="3" t="s">
        <v>201</v>
      </c>
      <c r="N46" s="3" t="s">
        <v>56</v>
      </c>
      <c r="O46" s="3" t="s">
        <v>202</v>
      </c>
      <c r="P46" s="3" t="s">
        <v>24</v>
      </c>
      <c r="Q46" s="2" t="s">
        <v>203</v>
      </c>
    </row>
    <row r="47">
      <c r="A47" s="2" t="s">
        <v>204</v>
      </c>
      <c r="B47" s="2"/>
      <c r="C47" s="2"/>
      <c r="D47" s="1"/>
      <c r="E47" s="1"/>
      <c r="F47" s="3">
        <v>1.0</v>
      </c>
      <c r="G47" s="3">
        <v>1.0</v>
      </c>
      <c r="H47" s="3">
        <v>0.0</v>
      </c>
      <c r="I47" s="3">
        <v>0.5</v>
      </c>
      <c r="J47" s="3">
        <v>1.0</v>
      </c>
      <c r="K47" s="3">
        <v>0.0</v>
      </c>
      <c r="L47" s="1"/>
      <c r="M47" s="3">
        <v>1.0</v>
      </c>
      <c r="N47" s="3">
        <v>1.0</v>
      </c>
      <c r="O47" s="3">
        <v>1.0</v>
      </c>
      <c r="P47" s="3">
        <v>1.0</v>
      </c>
      <c r="Q47" s="2"/>
      <c r="V47" s="5">
        <f>SUM(B47:P47)/10</f>
        <v>0.75</v>
      </c>
    </row>
    <row r="48">
      <c r="A48" s="2">
        <v>271.0</v>
      </c>
      <c r="B48" s="2">
        <v>724.0</v>
      </c>
      <c r="C48" s="2">
        <v>56.0</v>
      </c>
      <c r="D48" s="1"/>
      <c r="E48" s="1"/>
      <c r="F48" s="3">
        <v>33.479722</v>
      </c>
      <c r="G48" s="3">
        <v>-117.142778</v>
      </c>
      <c r="H48" s="3" t="s">
        <v>205</v>
      </c>
      <c r="I48" s="3" t="s">
        <v>18</v>
      </c>
      <c r="J48" s="3" t="s">
        <v>206</v>
      </c>
      <c r="K48" s="3" t="s">
        <v>207</v>
      </c>
      <c r="L48" s="1"/>
      <c r="M48" s="3" t="s">
        <v>208</v>
      </c>
      <c r="N48" s="3" t="s">
        <v>56</v>
      </c>
      <c r="O48" s="3" t="s">
        <v>209</v>
      </c>
      <c r="P48" s="3" t="s">
        <v>24</v>
      </c>
      <c r="Q48" s="2" t="s">
        <v>210</v>
      </c>
    </row>
    <row r="49">
      <c r="A49" s="2" t="s">
        <v>211</v>
      </c>
      <c r="B49" s="2"/>
      <c r="C49" s="2"/>
      <c r="D49" s="1"/>
      <c r="E49" s="1"/>
      <c r="F49" s="3">
        <v>1.0</v>
      </c>
      <c r="G49" s="3">
        <v>1.0</v>
      </c>
      <c r="H49" s="3">
        <v>1.0</v>
      </c>
      <c r="I49" s="3">
        <v>1.0</v>
      </c>
      <c r="J49" s="3">
        <v>1.0</v>
      </c>
      <c r="K49" s="3">
        <v>1.0</v>
      </c>
      <c r="L49" s="1"/>
      <c r="M49" s="3">
        <v>1.0</v>
      </c>
      <c r="N49" s="3">
        <v>1.0</v>
      </c>
      <c r="O49" s="3">
        <v>1.0</v>
      </c>
      <c r="P49" s="3">
        <v>1.0</v>
      </c>
      <c r="Q49" s="2"/>
      <c r="V49" s="5">
        <f>SUM(B49:P49)/10</f>
        <v>1</v>
      </c>
    </row>
    <row r="50">
      <c r="A50" s="2">
        <v>98.0</v>
      </c>
      <c r="B50" s="2">
        <v>724.0</v>
      </c>
      <c r="C50" s="2">
        <v>501.0</v>
      </c>
      <c r="D50" s="1"/>
      <c r="E50" s="1"/>
      <c r="F50" s="3">
        <v>40.051389</v>
      </c>
      <c r="G50" s="3">
        <v>-122.165278</v>
      </c>
      <c r="H50" s="3" t="s">
        <v>212</v>
      </c>
      <c r="I50" s="3" t="s">
        <v>18</v>
      </c>
      <c r="J50" s="3" t="s">
        <v>213</v>
      </c>
      <c r="K50" s="3" t="s">
        <v>214</v>
      </c>
      <c r="L50" s="1"/>
      <c r="M50" s="3" t="s">
        <v>215</v>
      </c>
      <c r="N50" s="3" t="s">
        <v>216</v>
      </c>
      <c r="O50" s="3" t="s">
        <v>132</v>
      </c>
      <c r="P50" s="3" t="s">
        <v>24</v>
      </c>
      <c r="Q50" s="2" t="s">
        <v>217</v>
      </c>
    </row>
    <row r="51">
      <c r="A51" s="2" t="s">
        <v>218</v>
      </c>
      <c r="B51" s="2"/>
      <c r="C51" s="2"/>
      <c r="D51" s="1"/>
      <c r="E51" s="1"/>
      <c r="F51" s="3">
        <v>1.0</v>
      </c>
      <c r="G51" s="3">
        <v>1.0</v>
      </c>
      <c r="H51" s="3">
        <v>1.0</v>
      </c>
      <c r="I51" s="3">
        <v>1.0</v>
      </c>
      <c r="J51" s="3">
        <v>1.0</v>
      </c>
      <c r="K51" s="3">
        <v>1.0</v>
      </c>
      <c r="L51" s="1"/>
      <c r="M51" s="3">
        <v>1.0</v>
      </c>
      <c r="N51" s="3">
        <v>1.0</v>
      </c>
      <c r="O51" s="3">
        <v>1.0</v>
      </c>
      <c r="P51" s="3">
        <v>1.0</v>
      </c>
      <c r="Q51" s="2"/>
      <c r="V51" s="5">
        <f>SUM(B51:P51)/10</f>
        <v>1</v>
      </c>
    </row>
    <row r="52">
      <c r="A52" s="2">
        <v>231.0</v>
      </c>
      <c r="B52" s="2">
        <v>733.0</v>
      </c>
      <c r="C52" s="2">
        <v>177.0</v>
      </c>
      <c r="D52" s="1"/>
      <c r="E52" s="1"/>
      <c r="F52" s="3">
        <v>34.155</v>
      </c>
      <c r="G52" s="3">
        <v>-117.283</v>
      </c>
      <c r="H52" s="3" t="s">
        <v>219</v>
      </c>
      <c r="I52" s="3" t="s">
        <v>220</v>
      </c>
      <c r="J52" s="3" t="s">
        <v>221</v>
      </c>
      <c r="K52" s="3" t="s">
        <v>222</v>
      </c>
      <c r="L52" s="2" t="s">
        <v>222</v>
      </c>
      <c r="M52" s="3" t="s">
        <v>223</v>
      </c>
      <c r="N52" s="3" t="s">
        <v>56</v>
      </c>
      <c r="O52" s="3" t="s">
        <v>224</v>
      </c>
      <c r="P52" s="3" t="s">
        <v>24</v>
      </c>
      <c r="Q52" s="2" t="s">
        <v>225</v>
      </c>
    </row>
    <row r="53">
      <c r="A53" s="2" t="s">
        <v>226</v>
      </c>
      <c r="B53" s="2"/>
      <c r="C53" s="2"/>
      <c r="D53" s="1"/>
      <c r="E53" s="1"/>
      <c r="F53" s="3">
        <v>0.0</v>
      </c>
      <c r="G53" s="3">
        <v>0.0</v>
      </c>
      <c r="H53" s="3">
        <v>1.0</v>
      </c>
      <c r="I53" s="3">
        <v>1.0</v>
      </c>
      <c r="J53" s="3">
        <v>1.0</v>
      </c>
      <c r="K53" s="3">
        <v>1.0</v>
      </c>
      <c r="L53" s="2"/>
      <c r="M53" s="3">
        <v>1.0</v>
      </c>
      <c r="N53" s="3">
        <v>1.0</v>
      </c>
      <c r="O53" s="3">
        <v>1.0</v>
      </c>
      <c r="P53" s="3">
        <v>1.0</v>
      </c>
      <c r="Q53" s="2"/>
      <c r="V53" s="5">
        <f>SUM(B53:P53)/10</f>
        <v>0.8</v>
      </c>
    </row>
    <row r="54">
      <c r="A54" s="2">
        <v>125.0</v>
      </c>
      <c r="B54" s="2">
        <v>810.0</v>
      </c>
      <c r="C54" s="2">
        <v>7.0</v>
      </c>
      <c r="D54" s="2">
        <v>36.7783</v>
      </c>
      <c r="E54" s="2">
        <v>-119.4179</v>
      </c>
      <c r="H54" s="3" t="s">
        <v>227</v>
      </c>
      <c r="I54" s="3" t="s">
        <v>18</v>
      </c>
      <c r="J54" s="3" t="s">
        <v>228</v>
      </c>
      <c r="L54" s="2" t="s">
        <v>229</v>
      </c>
      <c r="M54" s="3" t="s">
        <v>230</v>
      </c>
      <c r="N54" s="3" t="s">
        <v>56</v>
      </c>
      <c r="O54" s="3" t="s">
        <v>231</v>
      </c>
      <c r="P54" s="3" t="s">
        <v>232</v>
      </c>
      <c r="Q54" s="2" t="s">
        <v>233</v>
      </c>
    </row>
    <row r="55">
      <c r="A55" s="2" t="s">
        <v>234</v>
      </c>
      <c r="B55" s="2"/>
      <c r="C55" s="2"/>
      <c r="D55" s="2"/>
      <c r="E55" s="2"/>
      <c r="F55" s="3">
        <v>1.0</v>
      </c>
      <c r="G55" s="3">
        <v>1.0</v>
      </c>
      <c r="H55" s="3">
        <v>0.0</v>
      </c>
      <c r="I55" s="3">
        <v>1.0</v>
      </c>
      <c r="J55" s="3">
        <v>1.0</v>
      </c>
      <c r="K55" s="3">
        <v>1.0</v>
      </c>
      <c r="L55" s="2"/>
      <c r="M55" s="3">
        <v>0.0</v>
      </c>
      <c r="N55" s="3">
        <v>0.0</v>
      </c>
      <c r="O55" s="3">
        <v>1.0</v>
      </c>
      <c r="P55" s="3">
        <v>1.0</v>
      </c>
      <c r="Q55" s="2"/>
      <c r="V55" s="5">
        <f>SUM(B55:P55)/10</f>
        <v>0.7</v>
      </c>
    </row>
    <row r="56">
      <c r="A56" s="2">
        <v>114.0</v>
      </c>
      <c r="B56" s="2">
        <v>1136.0</v>
      </c>
      <c r="C56" s="2">
        <v>207.0</v>
      </c>
      <c r="D56" s="2">
        <v>39.5129</v>
      </c>
      <c r="E56" s="2">
        <v>-121.5442</v>
      </c>
      <c r="H56" s="3" t="s">
        <v>235</v>
      </c>
      <c r="I56" s="3" t="s">
        <v>18</v>
      </c>
      <c r="J56" s="3" t="s">
        <v>236</v>
      </c>
      <c r="K56" s="3" t="s">
        <v>71</v>
      </c>
      <c r="L56" s="1"/>
      <c r="M56" s="3" t="s">
        <v>237</v>
      </c>
      <c r="N56" s="3" t="s">
        <v>238</v>
      </c>
      <c r="O56" s="3" t="s">
        <v>239</v>
      </c>
      <c r="P56" s="3" t="s">
        <v>24</v>
      </c>
      <c r="Q56" s="2" t="s">
        <v>240</v>
      </c>
    </row>
    <row r="57">
      <c r="A57" s="2" t="s">
        <v>241</v>
      </c>
      <c r="B57" s="2"/>
      <c r="C57" s="2"/>
      <c r="D57" s="2"/>
      <c r="E57" s="2"/>
      <c r="F57" s="3">
        <v>1.0</v>
      </c>
      <c r="G57" s="3">
        <v>1.0</v>
      </c>
      <c r="H57" s="3">
        <v>1.0</v>
      </c>
      <c r="I57" s="3">
        <v>1.0</v>
      </c>
      <c r="J57" s="3">
        <v>1.0</v>
      </c>
      <c r="K57" s="3">
        <v>0.0</v>
      </c>
      <c r="L57" s="1"/>
      <c r="M57" s="3">
        <v>1.0</v>
      </c>
      <c r="N57" s="3">
        <v>0.0</v>
      </c>
      <c r="O57" s="3">
        <v>1.0</v>
      </c>
      <c r="P57" s="3">
        <v>1.0</v>
      </c>
      <c r="Q57" s="2"/>
      <c r="V57" s="5">
        <f>SUM(B57:P57)/10</f>
        <v>0.8</v>
      </c>
    </row>
    <row r="58">
      <c r="A58" s="2">
        <v>290.0</v>
      </c>
      <c r="B58" s="2">
        <v>1139.0</v>
      </c>
      <c r="C58" s="2">
        <v>88.0</v>
      </c>
      <c r="D58" s="1"/>
      <c r="E58" s="1"/>
      <c r="F58" s="3">
        <v>34.1333</v>
      </c>
      <c r="G58" s="3">
        <v>-118.3333</v>
      </c>
      <c r="H58" s="3" t="s">
        <v>242</v>
      </c>
      <c r="I58" s="3" t="s">
        <v>18</v>
      </c>
      <c r="J58" s="3" t="s">
        <v>243</v>
      </c>
      <c r="K58" s="3" t="s">
        <v>130</v>
      </c>
      <c r="L58" s="1"/>
      <c r="M58" s="3" t="s">
        <v>244</v>
      </c>
      <c r="N58" s="3" t="s">
        <v>245</v>
      </c>
      <c r="O58" s="3" t="s">
        <v>73</v>
      </c>
      <c r="P58" s="3" t="s">
        <v>24</v>
      </c>
      <c r="Q58" s="2" t="s">
        <v>246</v>
      </c>
    </row>
    <row r="59">
      <c r="A59" s="2" t="s">
        <v>247</v>
      </c>
      <c r="B59" s="2"/>
      <c r="C59" s="2"/>
      <c r="D59" s="1"/>
      <c r="E59" s="1"/>
      <c r="F59" s="3">
        <v>0.0</v>
      </c>
      <c r="G59" s="3">
        <v>0.0</v>
      </c>
      <c r="H59" s="3">
        <v>1.0</v>
      </c>
      <c r="I59" s="3">
        <v>1.0</v>
      </c>
      <c r="J59" s="3">
        <v>1.0</v>
      </c>
      <c r="K59" s="3">
        <v>1.0</v>
      </c>
      <c r="L59" s="1"/>
      <c r="M59" s="3">
        <v>1.0</v>
      </c>
      <c r="N59" s="3">
        <v>1.0</v>
      </c>
      <c r="O59" s="3">
        <v>1.0</v>
      </c>
      <c r="P59" s="3">
        <v>1.0</v>
      </c>
      <c r="Q59" s="2"/>
      <c r="V59" s="5">
        <f>SUM(B59:P59)/10</f>
        <v>0.8</v>
      </c>
    </row>
    <row r="60">
      <c r="A60" s="2">
        <v>291.0</v>
      </c>
      <c r="B60" s="2">
        <v>1139.0</v>
      </c>
      <c r="C60" s="2">
        <v>88.0</v>
      </c>
      <c r="D60" s="1"/>
      <c r="E60" s="1"/>
      <c r="F60" s="3">
        <v>34.1667</v>
      </c>
      <c r="G60" s="3">
        <v>-118.8333</v>
      </c>
      <c r="H60" s="3" t="s">
        <v>248</v>
      </c>
      <c r="I60" s="3" t="s">
        <v>18</v>
      </c>
      <c r="J60" s="3" t="s">
        <v>249</v>
      </c>
      <c r="K60" s="3" t="s">
        <v>130</v>
      </c>
      <c r="L60" s="1"/>
      <c r="M60" s="3" t="s">
        <v>250</v>
      </c>
      <c r="N60" s="3" t="s">
        <v>251</v>
      </c>
      <c r="O60" s="3" t="s">
        <v>252</v>
      </c>
      <c r="P60" s="3" t="s">
        <v>74</v>
      </c>
      <c r="Q60" s="2" t="s">
        <v>253</v>
      </c>
    </row>
    <row r="61">
      <c r="A61" s="2" t="s">
        <v>254</v>
      </c>
      <c r="B61" s="2"/>
      <c r="C61" s="2"/>
      <c r="D61" s="1"/>
      <c r="E61" s="1"/>
      <c r="F61" s="3">
        <v>0.0</v>
      </c>
      <c r="G61" s="3">
        <v>0.0</v>
      </c>
      <c r="H61" s="3">
        <v>1.0</v>
      </c>
      <c r="I61" s="3">
        <v>1.0</v>
      </c>
      <c r="J61" s="3">
        <v>1.0</v>
      </c>
      <c r="K61" s="3">
        <v>1.0</v>
      </c>
      <c r="L61" s="1"/>
      <c r="M61" s="3">
        <v>1.0</v>
      </c>
      <c r="N61" s="3">
        <v>1.0</v>
      </c>
      <c r="O61" s="3">
        <v>1.0</v>
      </c>
      <c r="P61" s="3">
        <v>1.0</v>
      </c>
      <c r="Q61" s="2"/>
      <c r="V61" s="5">
        <f>SUM(B61:P61)/10</f>
        <v>0.8</v>
      </c>
    </row>
    <row r="62">
      <c r="A62" s="2">
        <v>54.0</v>
      </c>
      <c r="B62" s="2">
        <v>1140.0</v>
      </c>
      <c r="C62" s="2">
        <v>165.0</v>
      </c>
      <c r="D62" s="2">
        <v>39.0142</v>
      </c>
      <c r="E62" s="2">
        <v>-122.8883</v>
      </c>
      <c r="H62" s="3" t="s">
        <v>255</v>
      </c>
      <c r="I62" s="3" t="s">
        <v>18</v>
      </c>
      <c r="J62" s="3" t="s">
        <v>256</v>
      </c>
      <c r="K62" s="3" t="s">
        <v>116</v>
      </c>
      <c r="L62" s="2" t="s">
        <v>116</v>
      </c>
      <c r="M62" s="3" t="s">
        <v>257</v>
      </c>
      <c r="N62" s="3" t="s">
        <v>56</v>
      </c>
      <c r="O62" s="3" t="s">
        <v>258</v>
      </c>
      <c r="P62" s="3" t="s">
        <v>24</v>
      </c>
      <c r="Q62" s="2" t="s">
        <v>259</v>
      </c>
    </row>
    <row r="63">
      <c r="A63" s="2" t="s">
        <v>260</v>
      </c>
      <c r="B63" s="2"/>
      <c r="C63" s="2"/>
      <c r="D63" s="2"/>
      <c r="E63" s="2"/>
      <c r="F63" s="3">
        <v>1.0</v>
      </c>
      <c r="G63" s="3">
        <v>1.0</v>
      </c>
      <c r="H63" s="3">
        <v>1.0</v>
      </c>
      <c r="I63" s="3">
        <v>1.0</v>
      </c>
      <c r="J63" s="3">
        <v>1.0</v>
      </c>
      <c r="K63" s="3">
        <v>0.0</v>
      </c>
      <c r="L63" s="2"/>
      <c r="M63" s="3">
        <v>1.0</v>
      </c>
      <c r="N63" s="3">
        <v>1.0</v>
      </c>
      <c r="O63" s="3">
        <v>1.0</v>
      </c>
      <c r="P63" s="3">
        <v>1.0</v>
      </c>
      <c r="Q63" s="2"/>
      <c r="V63" s="5">
        <f>SUM(B63:P63)/10</f>
        <v>0.9</v>
      </c>
    </row>
    <row r="64">
      <c r="A64" s="2">
        <v>86.0</v>
      </c>
      <c r="B64" s="2">
        <v>1141.0</v>
      </c>
      <c r="C64" s="2">
        <v>30.0</v>
      </c>
      <c r="D64" s="1"/>
      <c r="E64" s="1"/>
      <c r="F64" s="3">
        <v>32.8467</v>
      </c>
      <c r="G64" s="3">
        <v>-116.875</v>
      </c>
      <c r="H64" s="3" t="s">
        <v>261</v>
      </c>
      <c r="I64" s="3" t="s">
        <v>18</v>
      </c>
      <c r="J64" s="3" t="s">
        <v>262</v>
      </c>
      <c r="K64" s="3" t="s">
        <v>263</v>
      </c>
      <c r="L64" s="1"/>
      <c r="M64" s="3" t="s">
        <v>264</v>
      </c>
      <c r="N64" s="3" t="s">
        <v>22</v>
      </c>
      <c r="O64" s="3" t="s">
        <v>265</v>
      </c>
      <c r="P64" s="3" t="s">
        <v>24</v>
      </c>
      <c r="Q64" s="2" t="s">
        <v>266</v>
      </c>
    </row>
    <row r="65">
      <c r="A65" s="2" t="s">
        <v>267</v>
      </c>
      <c r="B65" s="2"/>
      <c r="C65" s="2"/>
      <c r="D65" s="1"/>
      <c r="E65" s="1"/>
      <c r="F65" s="3">
        <v>0.0</v>
      </c>
      <c r="G65" s="3">
        <v>0.0</v>
      </c>
      <c r="H65" s="3">
        <v>1.0</v>
      </c>
      <c r="I65" s="3">
        <v>1.0</v>
      </c>
      <c r="J65" s="3">
        <v>1.0</v>
      </c>
      <c r="K65" s="3">
        <v>0.0</v>
      </c>
      <c r="L65" s="1"/>
      <c r="M65" s="3">
        <v>1.0</v>
      </c>
      <c r="N65" s="3">
        <v>1.0</v>
      </c>
      <c r="O65" s="3">
        <v>1.0</v>
      </c>
      <c r="P65" s="3">
        <v>1.0</v>
      </c>
      <c r="Q65" s="2"/>
      <c r="V65" s="5">
        <f>SUM(B65:P65)/10</f>
        <v>0.7</v>
      </c>
    </row>
    <row r="66">
      <c r="A66" s="2">
        <v>87.0</v>
      </c>
      <c r="B66" s="2">
        <v>1141.0</v>
      </c>
      <c r="C66" s="2">
        <v>30.0</v>
      </c>
      <c r="D66" s="1"/>
      <c r="E66" s="1"/>
      <c r="F66" s="3">
        <v>32.8467</v>
      </c>
      <c r="G66" s="3">
        <v>-116.875</v>
      </c>
      <c r="H66" s="3" t="s">
        <v>261</v>
      </c>
      <c r="I66" s="3" t="s">
        <v>18</v>
      </c>
      <c r="J66" s="3" t="s">
        <v>268</v>
      </c>
      <c r="K66" s="3" t="s">
        <v>263</v>
      </c>
      <c r="L66" s="1"/>
      <c r="M66" s="3" t="s">
        <v>264</v>
      </c>
      <c r="N66" s="3" t="s">
        <v>56</v>
      </c>
      <c r="O66" s="3" t="s">
        <v>269</v>
      </c>
      <c r="P66" s="3" t="s">
        <v>270</v>
      </c>
      <c r="Q66" s="2" t="s">
        <v>271</v>
      </c>
    </row>
    <row r="67">
      <c r="A67" s="2" t="s">
        <v>272</v>
      </c>
      <c r="B67" s="2"/>
      <c r="C67" s="2"/>
      <c r="D67" s="1"/>
      <c r="E67" s="1"/>
      <c r="F67" s="3">
        <v>0.0</v>
      </c>
      <c r="G67" s="3">
        <v>0.0</v>
      </c>
      <c r="H67" s="3">
        <v>1.0</v>
      </c>
      <c r="I67" s="3">
        <v>1.0</v>
      </c>
      <c r="J67" s="3">
        <v>1.0</v>
      </c>
      <c r="K67" s="3">
        <v>0.0</v>
      </c>
      <c r="L67" s="1"/>
      <c r="M67" s="3">
        <v>1.0</v>
      </c>
      <c r="N67" s="3">
        <v>1.0</v>
      </c>
      <c r="O67" s="3">
        <v>1.0</v>
      </c>
      <c r="P67" s="3">
        <v>0.0</v>
      </c>
      <c r="Q67" s="2"/>
      <c r="V67" s="5">
        <f>SUM(B67:P67)/10</f>
        <v>0.6</v>
      </c>
    </row>
    <row r="68">
      <c r="A68" s="2">
        <v>286.0</v>
      </c>
      <c r="B68" s="2">
        <v>1276.0</v>
      </c>
      <c r="C68" s="2">
        <v>251.0</v>
      </c>
      <c r="D68" s="2">
        <v>32.7997</v>
      </c>
      <c r="E68" s="2">
        <v>-114.8673</v>
      </c>
      <c r="H68" s="3" t="s">
        <v>273</v>
      </c>
      <c r="I68" s="3" t="s">
        <v>18</v>
      </c>
      <c r="J68" s="3" t="s">
        <v>274</v>
      </c>
      <c r="L68" s="2" t="s">
        <v>275</v>
      </c>
      <c r="M68" s="3" t="s">
        <v>276</v>
      </c>
      <c r="N68" s="3" t="s">
        <v>22</v>
      </c>
      <c r="O68" s="3" t="s">
        <v>277</v>
      </c>
      <c r="P68" s="3" t="s">
        <v>24</v>
      </c>
      <c r="Q68" s="2" t="s">
        <v>278</v>
      </c>
    </row>
    <row r="69">
      <c r="A69" s="2" t="s">
        <v>279</v>
      </c>
      <c r="B69" s="2"/>
      <c r="C69" s="2"/>
      <c r="D69" s="2"/>
      <c r="E69" s="2"/>
      <c r="F69" s="3">
        <v>1.0</v>
      </c>
      <c r="G69" s="3">
        <v>1.0</v>
      </c>
      <c r="H69" s="3">
        <v>1.0</v>
      </c>
      <c r="I69" s="3">
        <v>1.0</v>
      </c>
      <c r="J69" s="3">
        <v>1.0</v>
      </c>
      <c r="K69" s="3">
        <v>1.0</v>
      </c>
      <c r="L69" s="2"/>
      <c r="M69" s="3">
        <v>1.0</v>
      </c>
      <c r="N69" s="3">
        <v>1.0</v>
      </c>
      <c r="O69" s="3">
        <v>1.0</v>
      </c>
      <c r="P69" s="3">
        <v>1.0</v>
      </c>
      <c r="Q69" s="2"/>
      <c r="V69" s="5">
        <f>SUM(B69:P69)/10</f>
        <v>1</v>
      </c>
    </row>
    <row r="70">
      <c r="A70" s="2">
        <v>38.0</v>
      </c>
      <c r="B70" s="2">
        <v>1305.0</v>
      </c>
      <c r="C70" s="2">
        <v>128.0</v>
      </c>
      <c r="D70" s="1"/>
      <c r="E70" s="1"/>
      <c r="F70" s="3">
        <v>34.1386</v>
      </c>
      <c r="G70" s="3">
        <v>-117.2904</v>
      </c>
      <c r="H70" s="3" t="s">
        <v>280</v>
      </c>
      <c r="I70" s="3" t="s">
        <v>18</v>
      </c>
      <c r="J70" s="3" t="s">
        <v>281</v>
      </c>
      <c r="K70" s="3" t="s">
        <v>222</v>
      </c>
      <c r="L70" s="1"/>
      <c r="M70" s="3" t="s">
        <v>282</v>
      </c>
      <c r="N70" s="3" t="s">
        <v>283</v>
      </c>
      <c r="O70" s="3" t="s">
        <v>284</v>
      </c>
      <c r="P70" s="3" t="s">
        <v>232</v>
      </c>
      <c r="Q70" s="2" t="s">
        <v>285</v>
      </c>
    </row>
    <row r="71">
      <c r="A71" s="2" t="s">
        <v>286</v>
      </c>
      <c r="B71" s="2"/>
      <c r="C71" s="2"/>
      <c r="D71" s="1"/>
      <c r="E71" s="1"/>
      <c r="F71" s="3">
        <v>0.0</v>
      </c>
      <c r="G71" s="3">
        <v>0.0</v>
      </c>
      <c r="H71" s="3">
        <v>0.5</v>
      </c>
      <c r="I71" s="3">
        <v>1.0</v>
      </c>
      <c r="J71" s="3">
        <v>1.0</v>
      </c>
      <c r="K71" s="3">
        <v>1.0</v>
      </c>
      <c r="L71" s="1"/>
      <c r="M71" s="3">
        <v>1.0</v>
      </c>
      <c r="N71" s="3">
        <v>1.0</v>
      </c>
      <c r="O71" s="3">
        <v>1.0</v>
      </c>
      <c r="P71" s="3">
        <v>1.0</v>
      </c>
      <c r="Q71" s="2"/>
      <c r="V71" s="5">
        <f>SUM(B71:P71)/10</f>
        <v>0.75</v>
      </c>
    </row>
    <row r="72">
      <c r="A72" s="2">
        <v>266.0</v>
      </c>
      <c r="B72" s="2">
        <v>1312.0</v>
      </c>
      <c r="C72" s="2">
        <v>78.0</v>
      </c>
      <c r="D72" s="2">
        <v>32.9758</v>
      </c>
      <c r="E72" s="2">
        <v>-117.0247</v>
      </c>
      <c r="H72" s="3" t="s">
        <v>287</v>
      </c>
      <c r="I72" s="3" t="s">
        <v>18</v>
      </c>
      <c r="J72" s="3" t="s">
        <v>288</v>
      </c>
      <c r="L72" s="2" t="s">
        <v>263</v>
      </c>
      <c r="O72" s="3" t="s">
        <v>289</v>
      </c>
      <c r="P72" s="3" t="s">
        <v>232</v>
      </c>
      <c r="Q72" s="2" t="s">
        <v>290</v>
      </c>
    </row>
    <row r="73">
      <c r="A73" s="2" t="s">
        <v>291</v>
      </c>
      <c r="B73" s="2"/>
      <c r="C73" s="2"/>
      <c r="D73" s="2"/>
      <c r="E73" s="2"/>
      <c r="F73" s="3">
        <v>1.0</v>
      </c>
      <c r="G73" s="3">
        <v>1.0</v>
      </c>
      <c r="H73" s="3">
        <v>1.0</v>
      </c>
      <c r="I73" s="3">
        <v>1.0</v>
      </c>
      <c r="J73" s="3">
        <v>1.0</v>
      </c>
      <c r="K73" s="3">
        <v>1.0</v>
      </c>
      <c r="L73" s="2"/>
      <c r="M73" s="3">
        <v>1.0</v>
      </c>
      <c r="N73" s="3">
        <v>1.0</v>
      </c>
      <c r="O73" s="3">
        <v>1.0</v>
      </c>
      <c r="P73" s="3">
        <v>0.5</v>
      </c>
      <c r="Q73" s="2"/>
      <c r="V73" s="5">
        <f>SUM(B73:P73)/10</f>
        <v>0.95</v>
      </c>
    </row>
    <row r="74">
      <c r="A74" s="2">
        <v>103.0</v>
      </c>
      <c r="B74" s="2">
        <v>1326.0</v>
      </c>
      <c r="C74" s="2">
        <v>70.0</v>
      </c>
      <c r="D74" s="2">
        <v>40.835</v>
      </c>
      <c r="E74" s="2">
        <v>-124.081</v>
      </c>
      <c r="H74" s="3" t="s">
        <v>292</v>
      </c>
      <c r="I74" s="3" t="s">
        <v>293</v>
      </c>
      <c r="J74" s="3" t="s">
        <v>294</v>
      </c>
      <c r="K74" s="3" t="s">
        <v>295</v>
      </c>
      <c r="L74" s="2" t="s">
        <v>295</v>
      </c>
      <c r="M74" s="3" t="s">
        <v>296</v>
      </c>
      <c r="N74" s="3" t="s">
        <v>297</v>
      </c>
      <c r="O74" s="3" t="s">
        <v>284</v>
      </c>
      <c r="P74" s="3" t="s">
        <v>232</v>
      </c>
      <c r="Q74" s="2" t="s">
        <v>298</v>
      </c>
    </row>
    <row r="75">
      <c r="A75" s="2" t="s">
        <v>299</v>
      </c>
      <c r="B75" s="2"/>
      <c r="C75" s="2"/>
      <c r="D75" s="2"/>
      <c r="E75" s="2"/>
      <c r="F75" s="3">
        <v>1.0</v>
      </c>
      <c r="G75" s="3">
        <v>1.0</v>
      </c>
      <c r="H75" s="3">
        <v>1.0</v>
      </c>
      <c r="I75" s="3">
        <v>1.0</v>
      </c>
      <c r="J75" s="3">
        <v>1.0</v>
      </c>
      <c r="K75" s="3">
        <v>0.0</v>
      </c>
      <c r="L75" s="2"/>
      <c r="M75" s="3">
        <v>1.0</v>
      </c>
      <c r="N75" s="3">
        <v>1.0</v>
      </c>
      <c r="O75" s="3">
        <v>1.0</v>
      </c>
      <c r="P75" s="3">
        <v>1.0</v>
      </c>
      <c r="Q75" s="2"/>
      <c r="V75" s="5">
        <f>SUM(B75:P75)/10</f>
        <v>0.9</v>
      </c>
    </row>
    <row r="76">
      <c r="A76" s="2">
        <v>104.0</v>
      </c>
      <c r="B76" s="2">
        <v>1326.0</v>
      </c>
      <c r="C76" s="2">
        <v>70.0</v>
      </c>
      <c r="D76" s="2">
        <v>40.79</v>
      </c>
      <c r="E76" s="2">
        <v>-124.175</v>
      </c>
      <c r="H76" s="3" t="s">
        <v>300</v>
      </c>
      <c r="I76" s="3" t="s">
        <v>301</v>
      </c>
      <c r="J76" s="3" t="s">
        <v>302</v>
      </c>
      <c r="K76" s="3" t="s">
        <v>295</v>
      </c>
      <c r="L76" s="2" t="s">
        <v>295</v>
      </c>
      <c r="M76" s="3" t="s">
        <v>296</v>
      </c>
      <c r="N76" s="3" t="s">
        <v>303</v>
      </c>
      <c r="O76" s="3" t="s">
        <v>284</v>
      </c>
      <c r="P76" s="3" t="s">
        <v>232</v>
      </c>
      <c r="Q76" s="2" t="s">
        <v>304</v>
      </c>
    </row>
    <row r="77">
      <c r="A77" s="2" t="s">
        <v>305</v>
      </c>
      <c r="B77" s="2"/>
      <c r="C77" s="2"/>
      <c r="D77" s="2"/>
      <c r="E77" s="2"/>
      <c r="F77" s="3">
        <v>1.0</v>
      </c>
      <c r="G77" s="3">
        <v>1.0</v>
      </c>
      <c r="H77" s="3">
        <v>1.0</v>
      </c>
      <c r="I77" s="3">
        <v>1.0</v>
      </c>
      <c r="J77" s="3">
        <v>1.0</v>
      </c>
      <c r="K77" s="3">
        <v>0.0</v>
      </c>
      <c r="L77" s="2"/>
      <c r="M77" s="3">
        <v>1.0</v>
      </c>
      <c r="N77" s="3">
        <v>1.0</v>
      </c>
      <c r="O77" s="3">
        <v>1.0</v>
      </c>
      <c r="P77" s="3">
        <v>1.0</v>
      </c>
      <c r="Q77" s="2"/>
      <c r="V77" s="5">
        <f>SUM(B77:P77)/10</f>
        <v>0.9</v>
      </c>
    </row>
    <row r="78">
      <c r="A78" s="2">
        <v>105.0</v>
      </c>
      <c r="B78" s="2">
        <v>1326.0</v>
      </c>
      <c r="C78" s="2">
        <v>70.0</v>
      </c>
      <c r="D78" s="2">
        <v>40.798</v>
      </c>
      <c r="E78" s="2">
        <v>-124.097</v>
      </c>
      <c r="H78" s="3" t="s">
        <v>306</v>
      </c>
      <c r="I78" s="3" t="s">
        <v>307</v>
      </c>
      <c r="J78" s="3" t="s">
        <v>308</v>
      </c>
      <c r="K78" s="3" t="s">
        <v>295</v>
      </c>
      <c r="L78" s="2" t="s">
        <v>295</v>
      </c>
      <c r="M78" s="3" t="s">
        <v>309</v>
      </c>
      <c r="N78" s="3" t="s">
        <v>297</v>
      </c>
      <c r="O78" s="3" t="s">
        <v>284</v>
      </c>
      <c r="P78" s="3" t="s">
        <v>232</v>
      </c>
      <c r="Q78" s="2" t="s">
        <v>310</v>
      </c>
    </row>
    <row r="79">
      <c r="A79" s="2" t="s">
        <v>311</v>
      </c>
      <c r="B79" s="2"/>
      <c r="C79" s="2"/>
      <c r="D79" s="2"/>
      <c r="E79" s="2"/>
      <c r="F79" s="3">
        <v>1.0</v>
      </c>
      <c r="G79" s="3">
        <v>1.0</v>
      </c>
      <c r="H79" s="3">
        <v>1.0</v>
      </c>
      <c r="I79" s="3">
        <v>1.0</v>
      </c>
      <c r="J79" s="3">
        <v>1.0</v>
      </c>
      <c r="K79" s="3">
        <v>0.0</v>
      </c>
      <c r="L79" s="2"/>
      <c r="M79" s="3">
        <v>1.0</v>
      </c>
      <c r="N79" s="3">
        <v>1.0</v>
      </c>
      <c r="O79" s="3">
        <v>1.0</v>
      </c>
      <c r="P79" s="3">
        <v>1.0</v>
      </c>
      <c r="Q79" s="2"/>
      <c r="V79" s="5">
        <f>SUM(B79:P79)/10</f>
        <v>0.9</v>
      </c>
    </row>
    <row r="80">
      <c r="A80" s="2">
        <v>106.0</v>
      </c>
      <c r="B80" s="2">
        <v>1326.0</v>
      </c>
      <c r="C80" s="2">
        <v>70.0</v>
      </c>
      <c r="D80" s="2">
        <v>40.858</v>
      </c>
      <c r="E80" s="2">
        <v>-124.078</v>
      </c>
      <c r="H80" s="3" t="s">
        <v>312</v>
      </c>
      <c r="I80" s="3" t="s">
        <v>313</v>
      </c>
      <c r="J80" s="3" t="s">
        <v>314</v>
      </c>
      <c r="K80" s="3" t="s">
        <v>295</v>
      </c>
      <c r="L80" s="2" t="s">
        <v>295</v>
      </c>
      <c r="M80" s="3" t="s">
        <v>309</v>
      </c>
      <c r="N80" s="3" t="s">
        <v>297</v>
      </c>
      <c r="O80" s="3" t="s">
        <v>284</v>
      </c>
      <c r="P80" s="3" t="s">
        <v>232</v>
      </c>
      <c r="Q80" s="2" t="s">
        <v>298</v>
      </c>
    </row>
    <row r="81">
      <c r="A81" s="2" t="s">
        <v>315</v>
      </c>
      <c r="B81" s="2"/>
      <c r="C81" s="2"/>
      <c r="D81" s="2"/>
      <c r="E81" s="2"/>
      <c r="F81" s="3">
        <v>1.0</v>
      </c>
      <c r="G81" s="3">
        <v>1.0</v>
      </c>
      <c r="H81" s="3">
        <v>1.0</v>
      </c>
      <c r="I81" s="3">
        <v>1.0</v>
      </c>
      <c r="J81" s="3">
        <v>1.0</v>
      </c>
      <c r="K81" s="3">
        <v>0.0</v>
      </c>
      <c r="L81" s="2"/>
      <c r="M81" s="3">
        <v>1.0</v>
      </c>
      <c r="N81" s="3">
        <v>1.0</v>
      </c>
      <c r="O81" s="3">
        <v>1.0</v>
      </c>
      <c r="P81" s="3">
        <v>1.0</v>
      </c>
      <c r="Q81" s="2"/>
      <c r="V81" s="5">
        <f>SUM(B81:P81)/10</f>
        <v>0.9</v>
      </c>
    </row>
    <row r="82">
      <c r="A82" s="2">
        <v>55.0</v>
      </c>
      <c r="B82" s="2">
        <v>1520.0</v>
      </c>
      <c r="C82" s="2">
        <v>405.0</v>
      </c>
      <c r="D82" s="1"/>
      <c r="E82" s="1"/>
      <c r="H82" s="3" t="s">
        <v>316</v>
      </c>
      <c r="I82" s="3" t="s">
        <v>317</v>
      </c>
      <c r="J82" s="3" t="s">
        <v>318</v>
      </c>
      <c r="K82" s="3" t="s">
        <v>319</v>
      </c>
      <c r="L82" s="1"/>
      <c r="M82" s="3" t="s">
        <v>320</v>
      </c>
      <c r="N82" s="3" t="s">
        <v>22</v>
      </c>
      <c r="O82" s="3" t="s">
        <v>265</v>
      </c>
      <c r="P82" s="3" t="s">
        <v>24</v>
      </c>
      <c r="Q82" s="2" t="s">
        <v>321</v>
      </c>
    </row>
    <row r="83">
      <c r="A83" s="2" t="s">
        <v>322</v>
      </c>
      <c r="B83" s="2"/>
      <c r="C83" s="2"/>
      <c r="D83" s="1"/>
      <c r="E83" s="1"/>
      <c r="F83" s="3">
        <v>1.0</v>
      </c>
      <c r="G83" s="3">
        <v>1.0</v>
      </c>
      <c r="H83" s="3">
        <v>1.0</v>
      </c>
      <c r="I83" s="3">
        <v>1.0</v>
      </c>
      <c r="J83" s="3">
        <v>1.0</v>
      </c>
      <c r="K83" s="3">
        <v>0.0</v>
      </c>
      <c r="L83" s="1"/>
      <c r="M83" s="3">
        <v>1.0</v>
      </c>
      <c r="N83" s="3">
        <v>1.0</v>
      </c>
      <c r="O83" s="3">
        <v>1.0</v>
      </c>
      <c r="P83" s="3">
        <v>1.0</v>
      </c>
      <c r="Q83" s="2"/>
      <c r="V83" s="5">
        <f>SUM(B83:P83)/10</f>
        <v>0.9</v>
      </c>
    </row>
    <row r="84">
      <c r="A84" s="2">
        <v>56.0</v>
      </c>
      <c r="B84" s="2">
        <v>1520.0</v>
      </c>
      <c r="C84" s="2">
        <v>405.0</v>
      </c>
      <c r="D84" s="1"/>
      <c r="E84" s="1"/>
      <c r="H84" s="3" t="s">
        <v>323</v>
      </c>
      <c r="I84" s="3" t="s">
        <v>324</v>
      </c>
      <c r="J84" s="3" t="s">
        <v>325</v>
      </c>
      <c r="K84" s="3" t="s">
        <v>295</v>
      </c>
      <c r="L84" s="1"/>
      <c r="M84" s="3" t="s">
        <v>326</v>
      </c>
      <c r="N84" s="3" t="s">
        <v>327</v>
      </c>
      <c r="O84" s="3" t="s">
        <v>328</v>
      </c>
      <c r="P84" s="3" t="s">
        <v>24</v>
      </c>
      <c r="Q84" s="2" t="s">
        <v>329</v>
      </c>
    </row>
    <row r="85">
      <c r="A85" s="2" t="s">
        <v>330</v>
      </c>
      <c r="B85" s="2"/>
      <c r="C85" s="2"/>
      <c r="D85" s="1"/>
      <c r="E85" s="1"/>
      <c r="F85" s="3">
        <v>1.0</v>
      </c>
      <c r="G85" s="3">
        <v>1.0</v>
      </c>
      <c r="H85" s="3">
        <v>1.0</v>
      </c>
      <c r="I85" s="3">
        <v>1.0</v>
      </c>
      <c r="J85" s="3">
        <v>1.0</v>
      </c>
      <c r="K85" s="3">
        <v>0.0</v>
      </c>
      <c r="L85" s="1"/>
      <c r="M85" s="3">
        <v>1.0</v>
      </c>
      <c r="N85" s="3">
        <v>1.0</v>
      </c>
      <c r="O85" s="3">
        <v>1.0</v>
      </c>
      <c r="P85" s="3">
        <v>1.0</v>
      </c>
      <c r="Q85" s="2"/>
      <c r="V85" s="5">
        <f>SUM(B85:P85)/10</f>
        <v>0.9</v>
      </c>
    </row>
    <row r="86">
      <c r="A86" s="2">
        <v>285.0</v>
      </c>
      <c r="B86" s="2">
        <v>1548.0</v>
      </c>
      <c r="C86" s="2">
        <v>205.0</v>
      </c>
      <c r="D86" s="2">
        <v>32.9333</v>
      </c>
      <c r="E86" s="2">
        <v>-115.7</v>
      </c>
      <c r="H86" s="3" t="s">
        <v>331</v>
      </c>
      <c r="I86" s="3" t="s">
        <v>332</v>
      </c>
      <c r="J86" s="3" t="s">
        <v>333</v>
      </c>
      <c r="L86" s="2" t="s">
        <v>334</v>
      </c>
      <c r="M86" s="3" t="s">
        <v>335</v>
      </c>
      <c r="N86" s="3" t="s">
        <v>56</v>
      </c>
      <c r="O86" s="3" t="s">
        <v>336</v>
      </c>
      <c r="P86" s="3" t="s">
        <v>24</v>
      </c>
      <c r="Q86" s="2" t="s">
        <v>337</v>
      </c>
    </row>
    <row r="87">
      <c r="A87" s="2" t="s">
        <v>338</v>
      </c>
      <c r="B87" s="2"/>
      <c r="C87" s="2"/>
      <c r="D87" s="2"/>
      <c r="E87" s="2"/>
      <c r="F87" s="3">
        <v>1.0</v>
      </c>
      <c r="G87" s="3">
        <v>1.0</v>
      </c>
      <c r="H87" s="3">
        <v>0.0</v>
      </c>
      <c r="I87" s="3">
        <v>1.0</v>
      </c>
      <c r="J87" s="3">
        <v>0.5</v>
      </c>
      <c r="K87" s="3">
        <v>1.0</v>
      </c>
      <c r="L87" s="2"/>
      <c r="M87" s="3">
        <v>0.5</v>
      </c>
      <c r="N87" s="3">
        <v>1.0</v>
      </c>
      <c r="O87" s="3">
        <v>1.0</v>
      </c>
      <c r="P87" s="3">
        <v>1.0</v>
      </c>
      <c r="Q87" s="2"/>
      <c r="V87" s="5">
        <f>SUM(B87:P87)/10</f>
        <v>0.8</v>
      </c>
    </row>
    <row r="88">
      <c r="A88" s="2">
        <v>128.0</v>
      </c>
      <c r="B88" s="2">
        <v>1554.0</v>
      </c>
      <c r="C88" s="2">
        <v>124.0</v>
      </c>
      <c r="D88" s="1"/>
      <c r="E88" s="1"/>
      <c r="F88" s="3">
        <v>34.6197</v>
      </c>
      <c r="G88" s="3">
        <v>-118.9196</v>
      </c>
      <c r="H88" s="3" t="s">
        <v>339</v>
      </c>
      <c r="I88" s="3" t="s">
        <v>18</v>
      </c>
      <c r="J88" s="3" t="s">
        <v>340</v>
      </c>
      <c r="K88" s="3" t="s">
        <v>341</v>
      </c>
      <c r="L88" s="1"/>
      <c r="M88" s="3" t="s">
        <v>342</v>
      </c>
      <c r="N88" s="3" t="s">
        <v>56</v>
      </c>
      <c r="O88" s="3" t="s">
        <v>57</v>
      </c>
      <c r="P88" s="3" t="s">
        <v>24</v>
      </c>
      <c r="Q88" s="2" t="s">
        <v>343</v>
      </c>
    </row>
    <row r="89">
      <c r="A89" s="2" t="s">
        <v>344</v>
      </c>
      <c r="B89" s="2"/>
      <c r="C89" s="2"/>
      <c r="D89" s="1"/>
      <c r="E89" s="1"/>
      <c r="F89" s="3">
        <v>0.0</v>
      </c>
      <c r="G89" s="3">
        <v>0.0</v>
      </c>
      <c r="H89" s="3">
        <v>1.0</v>
      </c>
      <c r="I89" s="3">
        <v>1.0</v>
      </c>
      <c r="J89" s="3">
        <v>1.0</v>
      </c>
      <c r="K89" s="3">
        <v>0.0</v>
      </c>
      <c r="L89" s="1"/>
      <c r="M89" s="3">
        <v>0.5</v>
      </c>
      <c r="N89" s="3">
        <v>1.0</v>
      </c>
      <c r="O89" s="3">
        <v>1.0</v>
      </c>
      <c r="P89" s="3">
        <v>1.0</v>
      </c>
      <c r="Q89" s="2"/>
      <c r="V89" s="5">
        <f>SUM(B89:P89)/10</f>
        <v>0.65</v>
      </c>
    </row>
    <row r="90">
      <c r="A90" s="2">
        <v>131.0</v>
      </c>
      <c r="B90" s="2">
        <v>1554.0</v>
      </c>
      <c r="C90" s="2">
        <v>177.0</v>
      </c>
      <c r="D90" s="2">
        <v>37.5</v>
      </c>
      <c r="E90" s="2">
        <v>-121.0</v>
      </c>
      <c r="H90" s="3" t="s">
        <v>345</v>
      </c>
      <c r="I90" s="3" t="s">
        <v>18</v>
      </c>
      <c r="J90" s="3" t="s">
        <v>346</v>
      </c>
      <c r="L90" s="2" t="s">
        <v>347</v>
      </c>
      <c r="M90" s="3" t="s">
        <v>348</v>
      </c>
      <c r="N90" s="3" t="s">
        <v>56</v>
      </c>
      <c r="O90" s="3" t="s">
        <v>57</v>
      </c>
      <c r="P90" s="3" t="s">
        <v>24</v>
      </c>
      <c r="Q90" s="2" t="s">
        <v>349</v>
      </c>
    </row>
    <row r="91">
      <c r="A91" s="2" t="s">
        <v>350</v>
      </c>
      <c r="B91" s="2"/>
      <c r="C91" s="2"/>
      <c r="D91" s="2"/>
      <c r="E91" s="2"/>
      <c r="F91" s="3">
        <v>1.0</v>
      </c>
      <c r="G91" s="3">
        <v>1.0</v>
      </c>
      <c r="H91" s="3">
        <v>1.0</v>
      </c>
      <c r="I91" s="3">
        <v>1.0</v>
      </c>
      <c r="J91" s="3">
        <v>1.0</v>
      </c>
      <c r="K91" s="3">
        <v>1.0</v>
      </c>
      <c r="L91" s="2"/>
      <c r="M91" s="3">
        <v>1.0</v>
      </c>
      <c r="N91" s="3">
        <v>1.0</v>
      </c>
      <c r="O91" s="3">
        <v>1.0</v>
      </c>
      <c r="P91" s="3">
        <v>1.0</v>
      </c>
      <c r="Q91" s="2"/>
      <c r="V91" s="5">
        <f>SUM(B91:P91)/10</f>
        <v>1</v>
      </c>
    </row>
    <row r="92">
      <c r="A92" s="2">
        <v>3.0</v>
      </c>
      <c r="B92" s="2">
        <v>1585.0</v>
      </c>
      <c r="C92" s="2">
        <v>146.0</v>
      </c>
      <c r="D92" s="2">
        <v>34.3501</v>
      </c>
      <c r="E92" s="2">
        <v>-119.0559</v>
      </c>
      <c r="F92" s="3">
        <v>34.3501</v>
      </c>
      <c r="G92" s="3">
        <v>-119.0559</v>
      </c>
      <c r="H92" s="3" t="s">
        <v>351</v>
      </c>
      <c r="I92" s="3" t="s">
        <v>18</v>
      </c>
      <c r="J92" s="3" t="s">
        <v>352</v>
      </c>
      <c r="K92" s="3" t="s">
        <v>353</v>
      </c>
      <c r="L92" s="2" t="s">
        <v>353</v>
      </c>
      <c r="M92" s="3" t="s">
        <v>354</v>
      </c>
      <c r="N92" s="3" t="s">
        <v>56</v>
      </c>
      <c r="O92" s="3" t="s">
        <v>57</v>
      </c>
      <c r="P92" s="3" t="s">
        <v>24</v>
      </c>
      <c r="Q92" s="2" t="s">
        <v>355</v>
      </c>
    </row>
    <row r="93">
      <c r="A93" s="2" t="s">
        <v>356</v>
      </c>
      <c r="B93" s="2"/>
      <c r="C93" s="2"/>
      <c r="D93" s="2"/>
      <c r="E93" s="2"/>
      <c r="F93" s="3">
        <v>0.0</v>
      </c>
      <c r="G93" s="3">
        <v>0.0</v>
      </c>
      <c r="H93" s="3">
        <v>1.0</v>
      </c>
      <c r="I93" s="3">
        <v>1.0</v>
      </c>
      <c r="J93" s="3">
        <v>1.0</v>
      </c>
      <c r="K93" s="3">
        <v>0.0</v>
      </c>
      <c r="L93" s="2"/>
      <c r="M93" s="3">
        <v>1.0</v>
      </c>
      <c r="N93" s="3">
        <v>1.0</v>
      </c>
      <c r="O93" s="3">
        <v>1.0</v>
      </c>
      <c r="P93" s="3">
        <v>1.0</v>
      </c>
      <c r="Q93" s="2"/>
      <c r="V93" s="5">
        <f>SUM(B93:P93)/10</f>
        <v>0.7</v>
      </c>
    </row>
    <row r="94">
      <c r="A94" s="2">
        <v>110.0</v>
      </c>
      <c r="B94" s="2">
        <v>1585.0</v>
      </c>
      <c r="C94" s="2">
        <v>458.0</v>
      </c>
      <c r="D94" s="1"/>
      <c r="E94" s="1"/>
      <c r="F94" s="3">
        <v>39.383333</v>
      </c>
      <c r="G94" s="3">
        <v>-123.033333</v>
      </c>
      <c r="H94" s="3" t="s">
        <v>357</v>
      </c>
      <c r="I94" s="3" t="s">
        <v>358</v>
      </c>
      <c r="J94" s="3" t="s">
        <v>359</v>
      </c>
      <c r="K94" s="3" t="s">
        <v>319</v>
      </c>
      <c r="L94" s="2" t="s">
        <v>319</v>
      </c>
      <c r="M94" s="3" t="s">
        <v>360</v>
      </c>
      <c r="N94" s="3" t="s">
        <v>56</v>
      </c>
      <c r="O94" s="3" t="s">
        <v>73</v>
      </c>
      <c r="P94" s="3" t="s">
        <v>24</v>
      </c>
      <c r="Q94" s="2" t="s">
        <v>361</v>
      </c>
    </row>
    <row r="95">
      <c r="A95" s="2" t="s">
        <v>362</v>
      </c>
      <c r="B95" s="2"/>
      <c r="C95" s="2"/>
      <c r="D95" s="1"/>
      <c r="E95" s="1"/>
      <c r="F95" s="3">
        <v>0.0</v>
      </c>
      <c r="G95" s="3">
        <v>0.0</v>
      </c>
      <c r="H95" s="3">
        <v>1.0</v>
      </c>
      <c r="I95" s="3">
        <v>1.0</v>
      </c>
      <c r="J95" s="3">
        <v>1.0</v>
      </c>
      <c r="K95" s="3">
        <v>0.0</v>
      </c>
      <c r="L95" s="2"/>
      <c r="M95" s="3">
        <v>1.0</v>
      </c>
      <c r="N95" s="3">
        <v>1.0</v>
      </c>
      <c r="O95" s="3">
        <v>1.0</v>
      </c>
      <c r="P95" s="3">
        <v>1.0</v>
      </c>
      <c r="Q95" s="2"/>
      <c r="V95" s="5">
        <f>SUM(B95:P95)/10</f>
        <v>0.7</v>
      </c>
    </row>
    <row r="96">
      <c r="A96" s="2">
        <v>113.0</v>
      </c>
      <c r="B96" s="2">
        <v>1595.0</v>
      </c>
      <c r="C96" s="2">
        <v>55.0</v>
      </c>
      <c r="D96" s="2">
        <v>33.7875</v>
      </c>
      <c r="E96" s="2">
        <v>-117.6533</v>
      </c>
      <c r="H96" s="3" t="s">
        <v>363</v>
      </c>
      <c r="I96" s="3" t="s">
        <v>364</v>
      </c>
      <c r="J96" s="3" t="s">
        <v>365</v>
      </c>
      <c r="L96" s="2" t="s">
        <v>145</v>
      </c>
      <c r="M96" s="3" t="s">
        <v>366</v>
      </c>
      <c r="N96" s="3" t="s">
        <v>56</v>
      </c>
      <c r="O96" s="3" t="s">
        <v>73</v>
      </c>
      <c r="P96" s="3" t="s">
        <v>24</v>
      </c>
      <c r="Q96" s="2" t="s">
        <v>367</v>
      </c>
    </row>
    <row r="97">
      <c r="A97" s="2" t="s">
        <v>368</v>
      </c>
      <c r="B97" s="2"/>
      <c r="C97" s="2"/>
      <c r="D97" s="2"/>
      <c r="E97" s="2"/>
      <c r="F97" s="3">
        <v>1.0</v>
      </c>
      <c r="G97" s="3">
        <v>1.0</v>
      </c>
      <c r="H97" s="3">
        <v>0.5</v>
      </c>
      <c r="I97" s="3">
        <v>0.5</v>
      </c>
      <c r="J97" s="3">
        <v>1.0</v>
      </c>
      <c r="K97" s="3">
        <v>1.0</v>
      </c>
      <c r="L97" s="2"/>
      <c r="M97" s="3">
        <v>1.0</v>
      </c>
      <c r="N97" s="3">
        <v>1.0</v>
      </c>
      <c r="O97" s="3">
        <v>1.0</v>
      </c>
      <c r="P97" s="3">
        <v>1.0</v>
      </c>
      <c r="Q97" s="2"/>
      <c r="V97" s="5">
        <f>SUM(B97:P97)/10</f>
        <v>0.9</v>
      </c>
    </row>
    <row r="98">
      <c r="A98" s="2">
        <v>94.0</v>
      </c>
      <c r="B98" s="2">
        <v>1595.0</v>
      </c>
      <c r="C98" s="2">
        <v>141.0</v>
      </c>
      <c r="D98" s="2">
        <v>37.1167</v>
      </c>
      <c r="E98" s="2">
        <v>-121.7667</v>
      </c>
      <c r="H98" s="3" t="s">
        <v>369</v>
      </c>
      <c r="I98" s="3" t="s">
        <v>370</v>
      </c>
      <c r="J98" s="3" t="s">
        <v>371</v>
      </c>
      <c r="K98" s="3" t="s">
        <v>372</v>
      </c>
      <c r="L98" s="1"/>
      <c r="M98" s="3" t="s">
        <v>373</v>
      </c>
      <c r="N98" s="3" t="s">
        <v>56</v>
      </c>
      <c r="O98" s="3" t="s">
        <v>374</v>
      </c>
      <c r="P98" s="3" t="s">
        <v>24</v>
      </c>
      <c r="Q98" s="2" t="s">
        <v>375</v>
      </c>
    </row>
    <row r="99">
      <c r="A99" s="2" t="s">
        <v>376</v>
      </c>
      <c r="B99" s="2"/>
      <c r="C99" s="2"/>
      <c r="D99" s="2"/>
      <c r="E99" s="2"/>
      <c r="F99" s="3">
        <v>1.0</v>
      </c>
      <c r="G99" s="3">
        <v>1.0</v>
      </c>
      <c r="H99" s="3">
        <v>0.0</v>
      </c>
      <c r="I99" s="3">
        <v>0.5</v>
      </c>
      <c r="J99" s="3">
        <v>1.0</v>
      </c>
      <c r="K99" s="3">
        <v>0.0</v>
      </c>
      <c r="L99" s="1"/>
      <c r="M99" s="3">
        <v>1.0</v>
      </c>
      <c r="N99" s="3">
        <v>1.0</v>
      </c>
      <c r="O99" s="3">
        <v>1.0</v>
      </c>
      <c r="P99" s="3">
        <v>1.0</v>
      </c>
      <c r="Q99" s="2"/>
      <c r="V99" s="5">
        <f>SUM(B99:P99)/10</f>
        <v>0.75</v>
      </c>
    </row>
    <row r="100">
      <c r="A100" s="2">
        <v>159.0</v>
      </c>
      <c r="B100" s="2">
        <v>1606.0</v>
      </c>
      <c r="C100" s="2">
        <v>35.0</v>
      </c>
      <c r="D100" s="1"/>
      <c r="E100" s="1"/>
      <c r="F100" s="3">
        <v>33.211111</v>
      </c>
      <c r="G100" s="3">
        <v>-117.378889</v>
      </c>
      <c r="H100" s="3" t="s">
        <v>377</v>
      </c>
      <c r="I100" s="3" t="s">
        <v>378</v>
      </c>
      <c r="J100" s="3" t="s">
        <v>379</v>
      </c>
      <c r="K100" s="3" t="s">
        <v>263</v>
      </c>
      <c r="L100" s="1"/>
      <c r="M100" s="3" t="s">
        <v>380</v>
      </c>
      <c r="N100" s="3" t="s">
        <v>56</v>
      </c>
      <c r="O100" s="3" t="s">
        <v>381</v>
      </c>
      <c r="P100" s="3" t="s">
        <v>24</v>
      </c>
      <c r="Q100" s="2" t="s">
        <v>382</v>
      </c>
    </row>
    <row r="101">
      <c r="A101" s="2" t="s">
        <v>383</v>
      </c>
      <c r="B101" s="2"/>
      <c r="C101" s="2"/>
      <c r="D101" s="1"/>
      <c r="E101" s="1"/>
      <c r="F101" s="3">
        <v>1.0</v>
      </c>
      <c r="G101" s="3">
        <v>1.0</v>
      </c>
      <c r="H101" s="3">
        <v>0.5</v>
      </c>
      <c r="I101" s="3">
        <v>0.5</v>
      </c>
      <c r="J101" s="3">
        <v>1.0</v>
      </c>
      <c r="K101" s="3">
        <v>0.0</v>
      </c>
      <c r="L101" s="1"/>
      <c r="M101" s="3">
        <v>1.0</v>
      </c>
      <c r="N101" s="3">
        <v>1.0</v>
      </c>
      <c r="O101" s="3">
        <v>1.0</v>
      </c>
      <c r="P101" s="3">
        <v>1.0</v>
      </c>
      <c r="Q101" s="2"/>
      <c r="V101" s="5">
        <f>SUM(B101:P101)/10</f>
        <v>0.8</v>
      </c>
    </row>
    <row r="102">
      <c r="A102" s="2">
        <v>53.0</v>
      </c>
      <c r="B102" s="2">
        <v>1610.0</v>
      </c>
      <c r="C102" s="2">
        <v>249.0</v>
      </c>
      <c r="D102" s="1"/>
      <c r="E102" s="1"/>
      <c r="F102" s="3">
        <v>37.6678</v>
      </c>
      <c r="G102" s="3">
        <v>-120.4572</v>
      </c>
      <c r="H102" s="3" t="s">
        <v>384</v>
      </c>
      <c r="I102" s="3" t="s">
        <v>385</v>
      </c>
      <c r="J102" s="3" t="s">
        <v>53</v>
      </c>
      <c r="K102" s="3" t="s">
        <v>54</v>
      </c>
      <c r="L102" s="1"/>
      <c r="M102" s="3" t="s">
        <v>386</v>
      </c>
      <c r="N102" s="3" t="s">
        <v>56</v>
      </c>
      <c r="O102" s="3" t="s">
        <v>57</v>
      </c>
      <c r="P102" s="3" t="s">
        <v>270</v>
      </c>
      <c r="Q102" s="2" t="s">
        <v>387</v>
      </c>
    </row>
    <row r="103">
      <c r="A103" s="2" t="s">
        <v>388</v>
      </c>
      <c r="B103" s="2"/>
      <c r="C103" s="2"/>
      <c r="D103" s="1"/>
      <c r="E103" s="1"/>
      <c r="F103" s="3">
        <v>1.0</v>
      </c>
      <c r="G103" s="3">
        <v>1.0</v>
      </c>
      <c r="H103" s="3">
        <v>0.5</v>
      </c>
      <c r="I103" s="3">
        <v>0.5</v>
      </c>
      <c r="J103" s="3">
        <v>1.0</v>
      </c>
      <c r="K103" s="3">
        <v>0.0</v>
      </c>
      <c r="L103" s="1"/>
      <c r="M103" s="3">
        <v>1.0</v>
      </c>
      <c r="N103" s="3">
        <v>1.0</v>
      </c>
      <c r="O103" s="3">
        <v>1.0</v>
      </c>
      <c r="P103" s="3">
        <v>0.0</v>
      </c>
      <c r="Q103" s="2"/>
      <c r="V103" s="5">
        <f>SUM(B103:P103)/10</f>
        <v>0.7</v>
      </c>
    </row>
    <row r="104">
      <c r="A104" s="2">
        <v>1.0</v>
      </c>
      <c r="B104" s="2">
        <v>1627.0</v>
      </c>
      <c r="C104" s="2">
        <v>370.0</v>
      </c>
      <c r="D104" s="2">
        <v>37.7539</v>
      </c>
      <c r="E104" s="2">
        <v>-119.6867</v>
      </c>
      <c r="H104" s="3" t="s">
        <v>389</v>
      </c>
      <c r="I104" s="3" t="s">
        <v>18</v>
      </c>
      <c r="J104" s="3" t="s">
        <v>390</v>
      </c>
      <c r="K104" s="3" t="s">
        <v>162</v>
      </c>
      <c r="L104" s="2" t="s">
        <v>162</v>
      </c>
      <c r="M104" s="3" t="s">
        <v>391</v>
      </c>
      <c r="N104" s="3" t="s">
        <v>56</v>
      </c>
      <c r="O104" s="3" t="s">
        <v>224</v>
      </c>
      <c r="P104" s="3" t="s">
        <v>24</v>
      </c>
      <c r="Q104" s="2" t="s">
        <v>392</v>
      </c>
    </row>
    <row r="105">
      <c r="A105" s="2" t="s">
        <v>393</v>
      </c>
      <c r="B105" s="2"/>
      <c r="C105" s="2"/>
      <c r="D105" s="2"/>
      <c r="E105" s="2"/>
      <c r="F105" s="3">
        <v>1.0</v>
      </c>
      <c r="G105" s="3">
        <v>1.0</v>
      </c>
      <c r="H105" s="3">
        <v>1.0</v>
      </c>
      <c r="I105" s="3">
        <v>1.0</v>
      </c>
      <c r="J105" s="3">
        <v>1.0</v>
      </c>
      <c r="K105" s="3">
        <v>0.0</v>
      </c>
      <c r="L105" s="2"/>
      <c r="M105" s="3">
        <v>1.0</v>
      </c>
      <c r="N105" s="3">
        <v>1.0</v>
      </c>
      <c r="O105" s="3">
        <v>1.0</v>
      </c>
      <c r="P105" s="3">
        <v>1.0</v>
      </c>
      <c r="Q105" s="2"/>
      <c r="V105" s="5">
        <f>SUM(B105:P105)/10</f>
        <v>0.9</v>
      </c>
    </row>
    <row r="106">
      <c r="A106" s="2">
        <v>123.0</v>
      </c>
      <c r="B106" s="2">
        <v>1627.0</v>
      </c>
      <c r="C106" s="2">
        <v>371.0</v>
      </c>
      <c r="D106" s="2">
        <v>37.7333</v>
      </c>
      <c r="E106" s="2">
        <v>-119.7667</v>
      </c>
      <c r="F106" s="3">
        <v>37.7333</v>
      </c>
      <c r="G106" s="3">
        <v>-119.7667</v>
      </c>
      <c r="H106" s="3" t="s">
        <v>394</v>
      </c>
      <c r="I106" s="3" t="s">
        <v>18</v>
      </c>
      <c r="J106" s="3" t="s">
        <v>390</v>
      </c>
      <c r="K106" s="3" t="s">
        <v>99</v>
      </c>
      <c r="L106" s="2" t="s">
        <v>99</v>
      </c>
      <c r="M106" s="3" t="s">
        <v>395</v>
      </c>
      <c r="N106" s="3" t="s">
        <v>56</v>
      </c>
      <c r="O106" s="3" t="s">
        <v>336</v>
      </c>
      <c r="P106" s="3" t="s">
        <v>24</v>
      </c>
      <c r="Q106" s="2" t="s">
        <v>396</v>
      </c>
    </row>
    <row r="107">
      <c r="A107" s="2" t="s">
        <v>397</v>
      </c>
      <c r="B107" s="2"/>
      <c r="C107" s="2"/>
      <c r="D107" s="2"/>
      <c r="E107" s="2"/>
      <c r="F107" s="3">
        <v>0.0</v>
      </c>
      <c r="G107" s="3">
        <v>0.0</v>
      </c>
      <c r="H107" s="3">
        <v>1.0</v>
      </c>
      <c r="I107" s="3">
        <v>1.0</v>
      </c>
      <c r="J107" s="3">
        <v>1.0</v>
      </c>
      <c r="K107" s="3">
        <v>0.0</v>
      </c>
      <c r="L107" s="2"/>
      <c r="M107" s="3">
        <v>1.0</v>
      </c>
      <c r="N107" s="3">
        <v>1.0</v>
      </c>
      <c r="O107" s="3">
        <v>1.0</v>
      </c>
      <c r="P107" s="3">
        <v>1.0</v>
      </c>
      <c r="Q107" s="2"/>
      <c r="V107" s="5">
        <f>SUM(B107:P107)/10</f>
        <v>0.7</v>
      </c>
    </row>
    <row r="108">
      <c r="A108" s="2">
        <v>124.0</v>
      </c>
      <c r="B108" s="2">
        <v>1627.0</v>
      </c>
      <c r="C108" s="2">
        <v>371.0</v>
      </c>
      <c r="D108" s="2">
        <v>37.7333</v>
      </c>
      <c r="E108" s="2">
        <v>-119.7667</v>
      </c>
      <c r="F108" s="3">
        <v>37.7333</v>
      </c>
      <c r="G108" s="3">
        <v>-119.7667</v>
      </c>
      <c r="H108" s="3" t="s">
        <v>394</v>
      </c>
      <c r="I108" s="3" t="s">
        <v>18</v>
      </c>
      <c r="J108" s="3" t="s">
        <v>390</v>
      </c>
      <c r="K108" s="3" t="s">
        <v>99</v>
      </c>
      <c r="L108" s="2" t="s">
        <v>99</v>
      </c>
      <c r="M108" s="3" t="s">
        <v>398</v>
      </c>
      <c r="N108" s="3" t="s">
        <v>56</v>
      </c>
      <c r="O108" s="3" t="s">
        <v>336</v>
      </c>
      <c r="P108" s="3" t="s">
        <v>24</v>
      </c>
      <c r="Q108" s="2" t="s">
        <v>396</v>
      </c>
    </row>
    <row r="109">
      <c r="A109" s="2" t="s">
        <v>399</v>
      </c>
      <c r="B109" s="2"/>
      <c r="C109" s="2"/>
      <c r="D109" s="2"/>
      <c r="E109" s="2"/>
      <c r="F109" s="3">
        <v>0.0</v>
      </c>
      <c r="G109" s="3">
        <v>0.0</v>
      </c>
      <c r="H109" s="3">
        <v>1.0</v>
      </c>
      <c r="I109" s="3">
        <v>1.0</v>
      </c>
      <c r="J109" s="3">
        <v>1.0</v>
      </c>
      <c r="K109" s="3">
        <v>0.0</v>
      </c>
      <c r="L109" s="2"/>
      <c r="M109" s="3">
        <v>1.0</v>
      </c>
      <c r="N109" s="3">
        <v>1.0</v>
      </c>
      <c r="O109" s="3">
        <v>1.0</v>
      </c>
      <c r="P109" s="3">
        <v>1.0</v>
      </c>
      <c r="Q109" s="2"/>
      <c r="V109" s="5">
        <f>SUM(B109:P109)/10</f>
        <v>0.7</v>
      </c>
    </row>
    <row r="110">
      <c r="A110" s="2">
        <v>227.0</v>
      </c>
      <c r="B110" s="2">
        <v>1627.0</v>
      </c>
      <c r="C110" s="2">
        <v>468.0</v>
      </c>
      <c r="D110" s="1"/>
      <c r="E110" s="1"/>
      <c r="F110" s="3">
        <v>37.9758</v>
      </c>
      <c r="G110" s="3">
        <v>-120.5333</v>
      </c>
      <c r="H110" s="3" t="s">
        <v>400</v>
      </c>
      <c r="I110" s="3" t="s">
        <v>18</v>
      </c>
      <c r="J110" s="3" t="s">
        <v>401</v>
      </c>
      <c r="K110" s="3" t="s">
        <v>37</v>
      </c>
      <c r="L110" s="1"/>
      <c r="M110" s="3" t="s">
        <v>402</v>
      </c>
      <c r="N110" s="3" t="s">
        <v>56</v>
      </c>
      <c r="O110" s="3" t="s">
        <v>224</v>
      </c>
      <c r="P110" s="3" t="s">
        <v>24</v>
      </c>
      <c r="Q110" s="2" t="s">
        <v>403</v>
      </c>
    </row>
    <row r="111">
      <c r="A111" s="2" t="s">
        <v>404</v>
      </c>
      <c r="B111" s="2"/>
      <c r="C111" s="2"/>
      <c r="D111" s="1"/>
      <c r="E111" s="1"/>
      <c r="F111" s="3">
        <v>0.0</v>
      </c>
      <c r="G111" s="3">
        <v>0.0</v>
      </c>
      <c r="H111" s="3">
        <v>1.0</v>
      </c>
      <c r="I111" s="3">
        <v>1.0</v>
      </c>
      <c r="J111" s="3">
        <v>1.0</v>
      </c>
      <c r="K111" s="3">
        <v>0.0</v>
      </c>
      <c r="L111" s="1"/>
      <c r="M111" s="3">
        <v>1.0</v>
      </c>
      <c r="N111" s="3">
        <v>1.0</v>
      </c>
      <c r="O111" s="3">
        <v>1.0</v>
      </c>
      <c r="P111" s="3">
        <v>1.0</v>
      </c>
      <c r="Q111" s="2"/>
      <c r="V111" s="5">
        <f>SUM(B111:P111)/10</f>
        <v>0.7</v>
      </c>
    </row>
    <row r="112">
      <c r="A112" s="2">
        <v>111.0</v>
      </c>
      <c r="B112" s="2">
        <v>1627.0</v>
      </c>
      <c r="C112" s="2">
        <v>643.0</v>
      </c>
      <c r="D112" s="2">
        <v>38.5</v>
      </c>
      <c r="E112" s="2">
        <v>-121.1</v>
      </c>
      <c r="F112" s="3">
        <v>38.5</v>
      </c>
      <c r="G112" s="3">
        <v>-121.1</v>
      </c>
      <c r="H112" s="3" t="s">
        <v>405</v>
      </c>
      <c r="I112" s="3" t="s">
        <v>18</v>
      </c>
      <c r="J112" s="3" t="s">
        <v>406</v>
      </c>
      <c r="L112" s="2" t="s">
        <v>407</v>
      </c>
      <c r="M112" s="3" t="s">
        <v>223</v>
      </c>
      <c r="N112" s="3" t="s">
        <v>56</v>
      </c>
      <c r="O112" s="3" t="s">
        <v>224</v>
      </c>
      <c r="P112" s="3" t="s">
        <v>24</v>
      </c>
      <c r="Q112" s="2" t="s">
        <v>408</v>
      </c>
    </row>
    <row r="113">
      <c r="A113" s="2" t="s">
        <v>409</v>
      </c>
      <c r="B113" s="2"/>
      <c r="C113" s="2"/>
      <c r="D113" s="2"/>
      <c r="E113" s="2"/>
      <c r="F113" s="3">
        <v>0.0</v>
      </c>
      <c r="G113" s="3">
        <v>0.0</v>
      </c>
      <c r="H113" s="3">
        <v>0.5</v>
      </c>
      <c r="I113" s="3">
        <v>1.0</v>
      </c>
      <c r="J113" s="3">
        <v>1.0</v>
      </c>
      <c r="K113" s="3">
        <v>1.0</v>
      </c>
      <c r="L113" s="2"/>
      <c r="M113" s="3">
        <v>1.0</v>
      </c>
      <c r="N113" s="3">
        <v>1.0</v>
      </c>
      <c r="O113" s="3">
        <v>1.0</v>
      </c>
      <c r="P113" s="3">
        <v>1.0</v>
      </c>
      <c r="Q113" s="2"/>
      <c r="V113" s="5">
        <f>SUM(B113:P113)/10</f>
        <v>0.75</v>
      </c>
    </row>
    <row r="114">
      <c r="A114" s="2">
        <v>112.0</v>
      </c>
      <c r="B114" s="2">
        <v>1627.0</v>
      </c>
      <c r="C114" s="2">
        <v>643.0</v>
      </c>
      <c r="D114" s="2">
        <v>38.5</v>
      </c>
      <c r="E114" s="2">
        <v>-121.1</v>
      </c>
      <c r="F114" s="3">
        <v>38.5</v>
      </c>
      <c r="G114" s="3">
        <v>-121.1</v>
      </c>
      <c r="H114" s="3" t="s">
        <v>405</v>
      </c>
      <c r="I114" s="3" t="s">
        <v>18</v>
      </c>
      <c r="J114" s="3" t="s">
        <v>406</v>
      </c>
      <c r="L114" s="2" t="s">
        <v>407</v>
      </c>
      <c r="M114" s="3" t="s">
        <v>410</v>
      </c>
      <c r="N114" s="3" t="s">
        <v>56</v>
      </c>
      <c r="O114" s="3" t="s">
        <v>224</v>
      </c>
      <c r="P114" s="3" t="s">
        <v>24</v>
      </c>
      <c r="Q114" s="2" t="s">
        <v>408</v>
      </c>
    </row>
    <row r="115">
      <c r="A115" s="2" t="s">
        <v>409</v>
      </c>
      <c r="B115" s="2"/>
      <c r="C115" s="2"/>
      <c r="D115" s="2"/>
      <c r="E115" s="2"/>
      <c r="F115" s="3">
        <v>0.0</v>
      </c>
      <c r="G115" s="3">
        <v>0.0</v>
      </c>
      <c r="H115" s="3">
        <v>0.5</v>
      </c>
      <c r="I115" s="3">
        <v>1.0</v>
      </c>
      <c r="J115" s="3">
        <v>1.0</v>
      </c>
      <c r="K115" s="3">
        <v>1.0</v>
      </c>
      <c r="L115" s="2"/>
      <c r="M115" s="3">
        <v>1.0</v>
      </c>
      <c r="N115" s="3">
        <v>1.0</v>
      </c>
      <c r="O115" s="3">
        <v>1.0</v>
      </c>
      <c r="P115" s="3">
        <v>1.0</v>
      </c>
      <c r="Q115" s="2"/>
      <c r="V115" s="5">
        <f>SUM(B115:P115)/10</f>
        <v>0.75</v>
      </c>
    </row>
    <row r="116">
      <c r="A116" s="2">
        <v>225.0</v>
      </c>
      <c r="B116" s="2">
        <v>1630.0</v>
      </c>
      <c r="C116" s="2">
        <v>141.0</v>
      </c>
      <c r="D116" s="1"/>
      <c r="E116" s="1"/>
      <c r="F116" s="3">
        <v>33.8478</v>
      </c>
      <c r="G116" s="3">
        <v>-116.9947</v>
      </c>
      <c r="H116" s="3" t="s">
        <v>411</v>
      </c>
      <c r="I116" s="3" t="s">
        <v>18</v>
      </c>
      <c r="J116" s="3" t="s">
        <v>412</v>
      </c>
      <c r="K116" s="3" t="s">
        <v>145</v>
      </c>
      <c r="L116" s="1"/>
      <c r="M116" s="3" t="s">
        <v>413</v>
      </c>
      <c r="N116" s="3" t="s">
        <v>56</v>
      </c>
      <c r="O116" s="3" t="s">
        <v>414</v>
      </c>
      <c r="P116" s="3" t="s">
        <v>24</v>
      </c>
      <c r="Q116" s="2" t="s">
        <v>225</v>
      </c>
    </row>
    <row r="117">
      <c r="A117" s="2" t="s">
        <v>415</v>
      </c>
      <c r="B117" s="2"/>
      <c r="C117" s="2"/>
      <c r="D117" s="1"/>
      <c r="E117" s="1"/>
      <c r="F117" s="3">
        <v>0.0</v>
      </c>
      <c r="G117" s="3">
        <v>0.0</v>
      </c>
      <c r="H117" s="3">
        <v>1.0</v>
      </c>
      <c r="I117" s="3">
        <v>1.0</v>
      </c>
      <c r="J117" s="3">
        <v>1.0</v>
      </c>
      <c r="K117" s="3">
        <v>0.0</v>
      </c>
      <c r="L117" s="1"/>
      <c r="M117" s="3">
        <v>1.0</v>
      </c>
      <c r="N117" s="3">
        <v>1.0</v>
      </c>
      <c r="O117" s="3">
        <v>1.0</v>
      </c>
      <c r="P117" s="3">
        <v>1.0</v>
      </c>
      <c r="Q117" s="2"/>
      <c r="V117" s="5">
        <f>SUM(B117:P117)/10</f>
        <v>0.7</v>
      </c>
    </row>
    <row r="118">
      <c r="A118" s="2">
        <v>162.0</v>
      </c>
      <c r="B118" s="2">
        <v>1640.0</v>
      </c>
      <c r="C118" s="2">
        <v>287.0</v>
      </c>
      <c r="D118" s="2">
        <v>37.6525</v>
      </c>
      <c r="E118" s="2">
        <v>-122.0936</v>
      </c>
      <c r="F118" s="3">
        <v>37.6525</v>
      </c>
      <c r="G118" s="3">
        <v>-122.0936</v>
      </c>
      <c r="H118" s="3" t="s">
        <v>416</v>
      </c>
      <c r="J118" s="3" t="s">
        <v>417</v>
      </c>
      <c r="K118" s="3" t="s">
        <v>418</v>
      </c>
      <c r="L118" s="1"/>
      <c r="M118" s="3" t="s">
        <v>419</v>
      </c>
      <c r="N118" s="3" t="s">
        <v>186</v>
      </c>
      <c r="O118" s="3" t="s">
        <v>420</v>
      </c>
      <c r="P118" s="3" t="s">
        <v>24</v>
      </c>
      <c r="Q118" s="2" t="s">
        <v>421</v>
      </c>
    </row>
    <row r="119">
      <c r="A119" s="2" t="s">
        <v>422</v>
      </c>
      <c r="B119" s="2"/>
      <c r="C119" s="2"/>
      <c r="D119" s="2"/>
      <c r="E119" s="2"/>
      <c r="F119" s="3">
        <v>0.0</v>
      </c>
      <c r="G119" s="3">
        <v>0.0</v>
      </c>
      <c r="H119" s="3">
        <v>1.0</v>
      </c>
      <c r="I119" s="3">
        <v>1.0</v>
      </c>
      <c r="J119" s="3">
        <v>1.0</v>
      </c>
      <c r="K119" s="3">
        <v>0.0</v>
      </c>
      <c r="L119" s="1"/>
      <c r="M119" s="3">
        <v>1.0</v>
      </c>
      <c r="N119" s="3">
        <v>1.0</v>
      </c>
      <c r="O119" s="3">
        <v>1.0</v>
      </c>
      <c r="P119" s="3">
        <v>1.0</v>
      </c>
      <c r="Q119" s="2"/>
      <c r="V119" s="5">
        <f>SUM(B119:P119)/10</f>
        <v>0.7</v>
      </c>
    </row>
    <row r="120">
      <c r="A120" s="2">
        <v>108.0</v>
      </c>
      <c r="B120" s="2">
        <v>1744.0</v>
      </c>
      <c r="C120" s="2">
        <v>49.0</v>
      </c>
      <c r="D120" s="2">
        <v>33.0</v>
      </c>
      <c r="E120" s="2">
        <v>-117.0</v>
      </c>
      <c r="H120" s="3" t="s">
        <v>423</v>
      </c>
      <c r="I120" s="3" t="s">
        <v>424</v>
      </c>
      <c r="J120" s="3" t="s">
        <v>425</v>
      </c>
      <c r="K120" s="3" t="s">
        <v>263</v>
      </c>
      <c r="L120" s="1"/>
      <c r="M120" s="3" t="s">
        <v>426</v>
      </c>
      <c r="N120" s="3" t="s">
        <v>56</v>
      </c>
      <c r="O120" s="3" t="s">
        <v>427</v>
      </c>
      <c r="P120" s="3" t="s">
        <v>24</v>
      </c>
      <c r="Q120" s="2" t="s">
        <v>355</v>
      </c>
    </row>
    <row r="121">
      <c r="A121" s="2" t="s">
        <v>428</v>
      </c>
      <c r="B121" s="2"/>
      <c r="C121" s="2"/>
      <c r="D121" s="2"/>
      <c r="E121" s="2"/>
      <c r="F121" s="3">
        <v>1.0</v>
      </c>
      <c r="G121" s="3">
        <v>1.0</v>
      </c>
      <c r="H121" s="3">
        <v>1.0</v>
      </c>
      <c r="I121" s="3">
        <v>0.5</v>
      </c>
      <c r="J121" s="3">
        <v>1.0</v>
      </c>
      <c r="K121" s="3">
        <v>0.0</v>
      </c>
      <c r="L121" s="1"/>
      <c r="M121" s="3">
        <v>1.0</v>
      </c>
      <c r="N121" s="3">
        <v>1.0</v>
      </c>
      <c r="O121" s="3">
        <v>1.0</v>
      </c>
      <c r="P121" s="3">
        <v>1.0</v>
      </c>
      <c r="Q121" s="2"/>
      <c r="V121" s="5">
        <f>SUM(B121:P121)/10</f>
        <v>0.85</v>
      </c>
    </row>
    <row r="122">
      <c r="A122" s="2">
        <v>109.0</v>
      </c>
      <c r="B122" s="2">
        <v>1744.0</v>
      </c>
      <c r="C122" s="2">
        <v>49.0</v>
      </c>
      <c r="D122" s="2">
        <v>32.8</v>
      </c>
      <c r="E122" s="2">
        <v>-116.9</v>
      </c>
      <c r="H122" s="3" t="s">
        <v>429</v>
      </c>
      <c r="I122" s="3" t="s">
        <v>430</v>
      </c>
      <c r="J122" s="3" t="s">
        <v>431</v>
      </c>
      <c r="K122" s="3" t="s">
        <v>263</v>
      </c>
      <c r="L122" s="1"/>
      <c r="M122" s="3" t="s">
        <v>432</v>
      </c>
      <c r="N122" s="3" t="s">
        <v>433</v>
      </c>
      <c r="O122" s="3" t="s">
        <v>434</v>
      </c>
      <c r="P122" s="3" t="s">
        <v>24</v>
      </c>
      <c r="Q122" s="2" t="s">
        <v>435</v>
      </c>
    </row>
    <row r="123">
      <c r="A123" s="2" t="s">
        <v>436</v>
      </c>
      <c r="B123" s="2"/>
      <c r="C123" s="2"/>
      <c r="D123" s="2"/>
      <c r="E123" s="2"/>
      <c r="F123" s="3">
        <v>1.0</v>
      </c>
      <c r="G123" s="3">
        <v>1.0</v>
      </c>
      <c r="H123" s="3">
        <v>1.0</v>
      </c>
      <c r="I123" s="3">
        <v>1.0</v>
      </c>
      <c r="J123" s="3">
        <v>1.0</v>
      </c>
      <c r="K123" s="3">
        <v>0.0</v>
      </c>
      <c r="L123" s="1"/>
      <c r="M123" s="3">
        <v>1.0</v>
      </c>
      <c r="N123" s="3">
        <v>1.0</v>
      </c>
      <c r="O123" s="3">
        <v>1.0</v>
      </c>
      <c r="P123" s="3">
        <v>1.0</v>
      </c>
      <c r="Q123" s="2"/>
      <c r="V123" s="5">
        <f>SUM(B123:P123)/10</f>
        <v>0.9</v>
      </c>
    </row>
    <row r="124">
      <c r="A124" s="2">
        <v>57.0</v>
      </c>
      <c r="B124" s="2">
        <v>2060.0</v>
      </c>
      <c r="C124" s="2">
        <v>58.0</v>
      </c>
      <c r="D124" s="2">
        <v>34.6938</v>
      </c>
      <c r="E124" s="2">
        <v>-120.1981</v>
      </c>
      <c r="H124" s="3" t="s">
        <v>437</v>
      </c>
      <c r="I124" s="3" t="s">
        <v>438</v>
      </c>
      <c r="J124" s="3" t="s">
        <v>439</v>
      </c>
      <c r="K124" s="3" t="s">
        <v>192</v>
      </c>
      <c r="L124" s="2" t="s">
        <v>192</v>
      </c>
      <c r="M124" s="3" t="s">
        <v>440</v>
      </c>
      <c r="N124" s="3" t="s">
        <v>440</v>
      </c>
      <c r="O124" s="3" t="s">
        <v>441</v>
      </c>
      <c r="P124" s="3" t="s">
        <v>232</v>
      </c>
      <c r="Q124" s="2" t="s">
        <v>442</v>
      </c>
    </row>
    <row r="125">
      <c r="A125" s="2" t="s">
        <v>443</v>
      </c>
      <c r="B125" s="2"/>
      <c r="C125" s="2"/>
      <c r="D125" s="2"/>
      <c r="E125" s="2"/>
      <c r="F125" s="3">
        <v>1.0</v>
      </c>
      <c r="G125" s="3">
        <v>1.0</v>
      </c>
      <c r="H125" s="3">
        <v>1.0</v>
      </c>
      <c r="I125" s="3">
        <v>0.0</v>
      </c>
      <c r="J125" s="3">
        <v>1.0</v>
      </c>
      <c r="K125" s="3">
        <v>0.0</v>
      </c>
      <c r="L125" s="2"/>
      <c r="M125" s="3">
        <v>1.0</v>
      </c>
      <c r="N125" s="3">
        <v>1.0</v>
      </c>
      <c r="O125" s="3">
        <v>1.0</v>
      </c>
      <c r="P125" s="3">
        <v>1.0</v>
      </c>
      <c r="Q125" s="2"/>
      <c r="V125" s="5">
        <f>SUM(B125:P125)/10</f>
        <v>0.8</v>
      </c>
    </row>
    <row r="126">
      <c r="A126" s="2">
        <v>58.0</v>
      </c>
      <c r="B126" s="2">
        <v>2060.0</v>
      </c>
      <c r="C126" s="2">
        <v>58.0</v>
      </c>
      <c r="D126" s="2">
        <v>34.6938</v>
      </c>
      <c r="E126" s="2">
        <v>-120.1981</v>
      </c>
      <c r="H126" s="3" t="s">
        <v>437</v>
      </c>
      <c r="I126" s="3" t="s">
        <v>444</v>
      </c>
      <c r="J126" s="3" t="s">
        <v>445</v>
      </c>
      <c r="K126" s="3" t="s">
        <v>192</v>
      </c>
      <c r="L126" s="2" t="s">
        <v>192</v>
      </c>
      <c r="M126" s="3" t="s">
        <v>440</v>
      </c>
      <c r="N126" s="3" t="s">
        <v>440</v>
      </c>
      <c r="O126" s="3" t="s">
        <v>441</v>
      </c>
      <c r="P126" s="3" t="s">
        <v>232</v>
      </c>
      <c r="Q126" s="2" t="s">
        <v>442</v>
      </c>
    </row>
    <row r="127">
      <c r="A127" s="2" t="s">
        <v>446</v>
      </c>
      <c r="B127" s="2"/>
      <c r="C127" s="2"/>
      <c r="D127" s="2"/>
      <c r="E127" s="2"/>
      <c r="F127" s="3">
        <v>1.0</v>
      </c>
      <c r="G127" s="3">
        <v>1.0</v>
      </c>
      <c r="H127" s="3">
        <v>1.0</v>
      </c>
      <c r="I127" s="3">
        <v>0.0</v>
      </c>
      <c r="J127" s="3">
        <v>1.0</v>
      </c>
      <c r="K127" s="3">
        <v>0.0</v>
      </c>
      <c r="L127" s="2"/>
      <c r="M127" s="3">
        <v>1.0</v>
      </c>
      <c r="N127" s="3">
        <v>1.0</v>
      </c>
      <c r="O127" s="3">
        <v>1.0</v>
      </c>
      <c r="P127" s="3">
        <v>1.0</v>
      </c>
      <c r="Q127" s="2"/>
      <c r="V127" s="5">
        <f>SUM(B127:P127)/10</f>
        <v>0.8</v>
      </c>
    </row>
    <row r="128">
      <c r="A128" s="2">
        <v>59.0</v>
      </c>
      <c r="B128" s="2">
        <v>2060.0</v>
      </c>
      <c r="C128" s="2">
        <v>58.0</v>
      </c>
      <c r="D128" s="2">
        <v>34.6938</v>
      </c>
      <c r="E128" s="2">
        <v>-120.1981</v>
      </c>
      <c r="H128" s="3" t="s">
        <v>437</v>
      </c>
      <c r="I128" s="3" t="s">
        <v>447</v>
      </c>
      <c r="J128" s="3" t="s">
        <v>448</v>
      </c>
      <c r="K128" s="3" t="s">
        <v>192</v>
      </c>
      <c r="L128" s="2" t="s">
        <v>192</v>
      </c>
      <c r="M128" s="3" t="s">
        <v>449</v>
      </c>
      <c r="N128" s="3" t="s">
        <v>440</v>
      </c>
      <c r="O128" s="3" t="s">
        <v>450</v>
      </c>
      <c r="P128" s="3" t="s">
        <v>232</v>
      </c>
      <c r="Q128" s="2" t="s">
        <v>451</v>
      </c>
    </row>
    <row r="129">
      <c r="A129" s="2" t="s">
        <v>452</v>
      </c>
      <c r="B129" s="2"/>
      <c r="C129" s="2"/>
      <c r="D129" s="2"/>
      <c r="E129" s="2"/>
      <c r="F129" s="3">
        <v>1.0</v>
      </c>
      <c r="G129" s="3">
        <v>1.0</v>
      </c>
      <c r="H129" s="3">
        <v>1.0</v>
      </c>
      <c r="I129" s="3">
        <v>0.0</v>
      </c>
      <c r="J129" s="3">
        <v>1.0</v>
      </c>
      <c r="K129" s="3">
        <v>0.0</v>
      </c>
      <c r="L129" s="2"/>
      <c r="M129" s="3">
        <v>1.0</v>
      </c>
      <c r="N129" s="3">
        <v>1.0</v>
      </c>
      <c r="O129" s="3">
        <v>1.0</v>
      </c>
      <c r="P129" s="3">
        <v>1.0</v>
      </c>
      <c r="Q129" s="2"/>
      <c r="V129" s="5">
        <f>SUM(B129:P129)/10</f>
        <v>0.8</v>
      </c>
    </row>
    <row r="130">
      <c r="A130" s="2">
        <v>60.0</v>
      </c>
      <c r="B130" s="2">
        <v>2060.0</v>
      </c>
      <c r="C130" s="2">
        <v>58.0</v>
      </c>
      <c r="D130" s="2">
        <v>34.6938</v>
      </c>
      <c r="E130" s="2">
        <v>-120.1981</v>
      </c>
      <c r="H130" s="3" t="s">
        <v>437</v>
      </c>
      <c r="I130" s="3" t="s">
        <v>453</v>
      </c>
      <c r="J130" s="3" t="s">
        <v>454</v>
      </c>
      <c r="K130" s="3" t="s">
        <v>192</v>
      </c>
      <c r="L130" s="2" t="s">
        <v>192</v>
      </c>
      <c r="M130" s="3" t="s">
        <v>449</v>
      </c>
      <c r="N130" s="3" t="s">
        <v>440</v>
      </c>
      <c r="O130" s="3" t="s">
        <v>450</v>
      </c>
      <c r="P130" s="3" t="s">
        <v>232</v>
      </c>
      <c r="Q130" s="2" t="s">
        <v>455</v>
      </c>
    </row>
    <row r="131">
      <c r="A131" s="2" t="s">
        <v>456</v>
      </c>
      <c r="B131" s="2"/>
      <c r="C131" s="2"/>
      <c r="D131" s="2"/>
      <c r="E131" s="2"/>
      <c r="F131" s="3">
        <v>1.0</v>
      </c>
      <c r="G131" s="3">
        <v>1.0</v>
      </c>
      <c r="H131" s="3">
        <v>1.0</v>
      </c>
      <c r="I131" s="3">
        <v>0.0</v>
      </c>
      <c r="J131" s="3">
        <v>1.0</v>
      </c>
      <c r="K131" s="3">
        <v>0.0</v>
      </c>
      <c r="L131" s="2"/>
      <c r="M131" s="3">
        <v>0.0</v>
      </c>
      <c r="N131" s="3">
        <v>1.0</v>
      </c>
      <c r="O131" s="3">
        <v>1.0</v>
      </c>
      <c r="P131" s="3">
        <v>1.0</v>
      </c>
      <c r="Q131" s="2"/>
      <c r="V131" s="5">
        <f>SUM(B131:P131)/10</f>
        <v>0.7</v>
      </c>
    </row>
    <row r="132">
      <c r="A132" s="2">
        <v>61.0</v>
      </c>
      <c r="B132" s="2">
        <v>2060.0</v>
      </c>
      <c r="C132" s="2">
        <v>58.0</v>
      </c>
      <c r="D132" s="2">
        <v>34.6938</v>
      </c>
      <c r="E132" s="2">
        <v>-120.1981</v>
      </c>
      <c r="H132" s="3" t="s">
        <v>437</v>
      </c>
      <c r="I132" s="3" t="s">
        <v>457</v>
      </c>
      <c r="J132" s="3" t="s">
        <v>458</v>
      </c>
      <c r="K132" s="3" t="s">
        <v>192</v>
      </c>
      <c r="L132" s="2" t="s">
        <v>192</v>
      </c>
      <c r="M132" s="3" t="s">
        <v>459</v>
      </c>
      <c r="N132" s="3" t="s">
        <v>440</v>
      </c>
      <c r="O132" s="3" t="s">
        <v>450</v>
      </c>
      <c r="P132" s="3" t="s">
        <v>232</v>
      </c>
      <c r="Q132" s="2" t="s">
        <v>460</v>
      </c>
    </row>
    <row r="133">
      <c r="A133" s="2" t="s">
        <v>461</v>
      </c>
      <c r="B133" s="2"/>
      <c r="C133" s="2"/>
      <c r="D133" s="2"/>
      <c r="E133" s="2"/>
      <c r="F133" s="3">
        <v>1.0</v>
      </c>
      <c r="G133" s="3">
        <v>1.0</v>
      </c>
      <c r="H133" s="3">
        <v>1.0</v>
      </c>
      <c r="I133" s="3">
        <v>0.0</v>
      </c>
      <c r="J133" s="3">
        <v>1.0</v>
      </c>
      <c r="K133" s="3">
        <v>0.0</v>
      </c>
      <c r="L133" s="2"/>
      <c r="M133" s="3">
        <v>1.0</v>
      </c>
      <c r="N133" s="3">
        <v>1.0</v>
      </c>
      <c r="O133" s="3">
        <v>1.0</v>
      </c>
      <c r="P133" s="3">
        <v>1.0</v>
      </c>
      <c r="Q133" s="2"/>
      <c r="V133" s="5">
        <f>SUM(B133:P133)/10</f>
        <v>0.8</v>
      </c>
    </row>
    <row r="134">
      <c r="A134" s="2">
        <v>62.0</v>
      </c>
      <c r="B134" s="2">
        <v>2060.0</v>
      </c>
      <c r="C134" s="2">
        <v>58.0</v>
      </c>
      <c r="D134" s="2">
        <v>34.6938</v>
      </c>
      <c r="E134" s="2">
        <v>-120.1981</v>
      </c>
      <c r="H134" s="3" t="s">
        <v>437</v>
      </c>
      <c r="I134" s="3" t="s">
        <v>462</v>
      </c>
      <c r="J134" s="3" t="s">
        <v>463</v>
      </c>
      <c r="K134" s="3" t="s">
        <v>192</v>
      </c>
      <c r="L134" s="2" t="s">
        <v>192</v>
      </c>
      <c r="M134" s="3" t="s">
        <v>459</v>
      </c>
      <c r="N134" s="3" t="s">
        <v>440</v>
      </c>
      <c r="O134" s="3" t="s">
        <v>450</v>
      </c>
      <c r="P134" s="3" t="s">
        <v>232</v>
      </c>
      <c r="Q134" s="2" t="s">
        <v>464</v>
      </c>
    </row>
    <row r="135">
      <c r="A135" s="2" t="s">
        <v>465</v>
      </c>
      <c r="B135" s="2"/>
      <c r="C135" s="2"/>
      <c r="D135" s="2"/>
      <c r="E135" s="2"/>
      <c r="F135" s="3">
        <v>1.0</v>
      </c>
      <c r="G135" s="3">
        <v>1.0</v>
      </c>
      <c r="H135" s="3">
        <v>1.0</v>
      </c>
      <c r="I135" s="3">
        <v>0.0</v>
      </c>
      <c r="J135" s="3">
        <v>1.0</v>
      </c>
      <c r="K135" s="3">
        <v>0.0</v>
      </c>
      <c r="L135" s="2"/>
      <c r="M135" s="3">
        <v>0.0</v>
      </c>
      <c r="N135" s="3">
        <v>1.0</v>
      </c>
      <c r="O135" s="3">
        <v>1.0</v>
      </c>
      <c r="P135" s="3">
        <v>1.0</v>
      </c>
      <c r="Q135" s="2"/>
      <c r="V135" s="5">
        <f>SUM(B135:P135)/10</f>
        <v>0.7</v>
      </c>
    </row>
    <row r="136">
      <c r="A136" s="2">
        <v>63.0</v>
      </c>
      <c r="B136" s="2">
        <v>2060.0</v>
      </c>
      <c r="C136" s="2">
        <v>58.0</v>
      </c>
      <c r="D136" s="2">
        <v>34.6938</v>
      </c>
      <c r="E136" s="2">
        <v>-120.1981</v>
      </c>
      <c r="H136" s="3" t="s">
        <v>437</v>
      </c>
      <c r="I136" s="3" t="s">
        <v>466</v>
      </c>
      <c r="J136" s="3" t="s">
        <v>467</v>
      </c>
      <c r="K136" s="3" t="s">
        <v>192</v>
      </c>
      <c r="L136" s="2" t="s">
        <v>192</v>
      </c>
      <c r="M136" s="3" t="s">
        <v>459</v>
      </c>
      <c r="N136" s="3" t="s">
        <v>440</v>
      </c>
      <c r="O136" s="3" t="s">
        <v>450</v>
      </c>
      <c r="P136" s="3" t="s">
        <v>232</v>
      </c>
      <c r="Q136" s="2" t="s">
        <v>468</v>
      </c>
    </row>
    <row r="137">
      <c r="A137" s="2" t="s">
        <v>469</v>
      </c>
      <c r="B137" s="2"/>
      <c r="C137" s="2"/>
      <c r="D137" s="2"/>
      <c r="E137" s="2"/>
      <c r="F137" s="3">
        <v>1.0</v>
      </c>
      <c r="G137" s="3">
        <v>1.0</v>
      </c>
      <c r="H137" s="3">
        <v>1.0</v>
      </c>
      <c r="I137" s="3">
        <v>0.0</v>
      </c>
      <c r="J137" s="3">
        <v>1.0</v>
      </c>
      <c r="K137" s="3">
        <v>0.0</v>
      </c>
      <c r="L137" s="2"/>
      <c r="M137" s="3">
        <v>0.0</v>
      </c>
      <c r="N137" s="3">
        <v>1.0</v>
      </c>
      <c r="O137" s="3">
        <v>1.0</v>
      </c>
      <c r="P137" s="3">
        <v>1.0</v>
      </c>
      <c r="Q137" s="2"/>
      <c r="V137" s="5">
        <f>SUM(B137:P137)/10</f>
        <v>0.7</v>
      </c>
    </row>
    <row r="138">
      <c r="A138" s="2">
        <v>64.0</v>
      </c>
      <c r="B138" s="2">
        <v>2060.0</v>
      </c>
      <c r="C138" s="2">
        <v>58.0</v>
      </c>
      <c r="D138" s="2">
        <v>34.6938</v>
      </c>
      <c r="E138" s="2">
        <v>-120.1981</v>
      </c>
      <c r="H138" s="3" t="s">
        <v>437</v>
      </c>
      <c r="I138" s="3" t="s">
        <v>470</v>
      </c>
      <c r="J138" s="3" t="s">
        <v>471</v>
      </c>
      <c r="K138" s="3" t="s">
        <v>192</v>
      </c>
      <c r="L138" s="2" t="s">
        <v>192</v>
      </c>
      <c r="M138" s="18">
        <v>15644.0</v>
      </c>
      <c r="N138" s="3" t="s">
        <v>440</v>
      </c>
      <c r="O138" s="3" t="s">
        <v>450</v>
      </c>
      <c r="P138" s="3" t="s">
        <v>232</v>
      </c>
      <c r="Q138" s="2" t="s">
        <v>472</v>
      </c>
    </row>
    <row r="139">
      <c r="A139" s="2" t="s">
        <v>473</v>
      </c>
      <c r="B139" s="2"/>
      <c r="C139" s="2"/>
      <c r="D139" s="2"/>
      <c r="E139" s="2"/>
      <c r="F139" s="3">
        <v>1.0</v>
      </c>
      <c r="G139" s="3">
        <v>1.0</v>
      </c>
      <c r="H139" s="3">
        <v>1.0</v>
      </c>
      <c r="I139" s="3">
        <v>0.0</v>
      </c>
      <c r="J139" s="3">
        <v>1.0</v>
      </c>
      <c r="K139" s="3">
        <v>0.0</v>
      </c>
      <c r="L139" s="2"/>
      <c r="M139" s="3">
        <v>1.0</v>
      </c>
      <c r="N139" s="3">
        <v>1.0</v>
      </c>
      <c r="O139" s="3">
        <v>1.0</v>
      </c>
      <c r="P139" s="3">
        <v>1.0</v>
      </c>
      <c r="Q139" s="2"/>
      <c r="V139" s="5">
        <f>SUM(B139:P139)/10</f>
        <v>0.8</v>
      </c>
    </row>
    <row r="140">
      <c r="A140" s="2">
        <v>65.0</v>
      </c>
      <c r="B140" s="2">
        <v>2060.0</v>
      </c>
      <c r="C140" s="2">
        <v>58.0</v>
      </c>
      <c r="D140" s="2">
        <v>34.6938</v>
      </c>
      <c r="E140" s="2">
        <v>-120.1981</v>
      </c>
      <c r="H140" s="3" t="s">
        <v>437</v>
      </c>
      <c r="I140" s="3" t="s">
        <v>474</v>
      </c>
      <c r="J140" s="3" t="s">
        <v>475</v>
      </c>
      <c r="K140" s="3" t="s">
        <v>192</v>
      </c>
      <c r="L140" s="2" t="s">
        <v>192</v>
      </c>
      <c r="M140" s="18">
        <v>11382.0</v>
      </c>
      <c r="N140" s="3" t="s">
        <v>440</v>
      </c>
      <c r="O140" s="3" t="s">
        <v>450</v>
      </c>
      <c r="P140" s="3" t="s">
        <v>232</v>
      </c>
      <c r="Q140" s="2" t="s">
        <v>472</v>
      </c>
    </row>
    <row r="141">
      <c r="A141" s="2" t="s">
        <v>476</v>
      </c>
      <c r="B141" s="2"/>
      <c r="C141" s="2"/>
      <c r="D141" s="2"/>
      <c r="E141" s="2"/>
      <c r="F141" s="3">
        <v>1.0</v>
      </c>
      <c r="G141" s="3">
        <v>1.0</v>
      </c>
      <c r="H141" s="3">
        <v>1.0</v>
      </c>
      <c r="I141" s="3">
        <v>0.0</v>
      </c>
      <c r="J141" s="3">
        <v>1.0</v>
      </c>
      <c r="K141" s="3">
        <v>0.0</v>
      </c>
      <c r="L141" s="2"/>
      <c r="M141" s="3">
        <v>1.0</v>
      </c>
      <c r="N141" s="3">
        <v>1.0</v>
      </c>
      <c r="O141" s="3">
        <v>1.0</v>
      </c>
      <c r="P141" s="3">
        <v>1.0</v>
      </c>
      <c r="Q141" s="2"/>
      <c r="V141" s="5">
        <f>SUM(B141:P141)/10</f>
        <v>0.8</v>
      </c>
    </row>
    <row r="142">
      <c r="A142" s="2">
        <v>66.0</v>
      </c>
      <c r="B142" s="2">
        <v>2060.0</v>
      </c>
      <c r="C142" s="2">
        <v>58.0</v>
      </c>
      <c r="D142" s="2">
        <v>34.6938</v>
      </c>
      <c r="E142" s="2">
        <v>-120.1981</v>
      </c>
      <c r="H142" s="3" t="s">
        <v>437</v>
      </c>
      <c r="I142" s="3" t="s">
        <v>477</v>
      </c>
      <c r="J142" s="3" t="s">
        <v>478</v>
      </c>
      <c r="K142" s="3" t="s">
        <v>192</v>
      </c>
      <c r="L142" s="2" t="s">
        <v>192</v>
      </c>
      <c r="M142" s="3" t="s">
        <v>440</v>
      </c>
      <c r="N142" s="3" t="s">
        <v>440</v>
      </c>
      <c r="O142" s="3" t="s">
        <v>450</v>
      </c>
      <c r="P142" s="3" t="s">
        <v>232</v>
      </c>
      <c r="Q142" s="2" t="s">
        <v>479</v>
      </c>
    </row>
    <row r="143">
      <c r="A143" s="2" t="s">
        <v>480</v>
      </c>
      <c r="B143" s="2"/>
      <c r="C143" s="2"/>
      <c r="D143" s="2"/>
      <c r="E143" s="2"/>
      <c r="F143" s="3">
        <v>1.0</v>
      </c>
      <c r="G143" s="3">
        <v>1.0</v>
      </c>
      <c r="H143" s="3">
        <v>1.0</v>
      </c>
      <c r="I143" s="3">
        <v>0.0</v>
      </c>
      <c r="J143" s="3">
        <v>1.0</v>
      </c>
      <c r="K143" s="3">
        <v>0.0</v>
      </c>
      <c r="L143" s="2"/>
      <c r="M143" s="3">
        <v>1.0</v>
      </c>
      <c r="N143" s="3">
        <v>1.0</v>
      </c>
      <c r="O143" s="3">
        <v>1.0</v>
      </c>
      <c r="P143" s="3">
        <v>1.0</v>
      </c>
      <c r="Q143" s="2"/>
      <c r="V143" s="5">
        <f>SUM(B143:P143)/10</f>
        <v>0.8</v>
      </c>
    </row>
    <row r="144">
      <c r="A144" s="2">
        <v>67.0</v>
      </c>
      <c r="B144" s="2">
        <v>2060.0</v>
      </c>
      <c r="C144" s="2">
        <v>58.0</v>
      </c>
      <c r="D144" s="2">
        <v>34.6938</v>
      </c>
      <c r="E144" s="2">
        <v>-120.1981</v>
      </c>
      <c r="H144" s="3" t="s">
        <v>437</v>
      </c>
      <c r="I144" s="3" t="s">
        <v>481</v>
      </c>
      <c r="J144" s="3" t="s">
        <v>482</v>
      </c>
      <c r="K144" s="3" t="s">
        <v>192</v>
      </c>
      <c r="L144" s="2" t="s">
        <v>192</v>
      </c>
      <c r="M144" s="3" t="s">
        <v>483</v>
      </c>
      <c r="N144" s="3" t="s">
        <v>440</v>
      </c>
      <c r="O144" s="3" t="s">
        <v>450</v>
      </c>
      <c r="P144" s="3" t="s">
        <v>232</v>
      </c>
      <c r="Q144" s="2" t="s">
        <v>472</v>
      </c>
    </row>
    <row r="145">
      <c r="A145" s="2" t="s">
        <v>484</v>
      </c>
      <c r="B145" s="2"/>
      <c r="C145" s="2"/>
      <c r="D145" s="2"/>
      <c r="E145" s="2"/>
      <c r="F145" s="3">
        <v>1.0</v>
      </c>
      <c r="G145" s="3">
        <v>1.0</v>
      </c>
      <c r="H145" s="3">
        <v>1.0</v>
      </c>
      <c r="I145" s="3">
        <v>0.0</v>
      </c>
      <c r="J145" s="3">
        <v>1.0</v>
      </c>
      <c r="K145" s="3">
        <v>0.0</v>
      </c>
      <c r="L145" s="2"/>
      <c r="M145" s="3">
        <v>1.0</v>
      </c>
      <c r="N145" s="3">
        <v>1.0</v>
      </c>
      <c r="O145" s="3">
        <v>1.0</v>
      </c>
      <c r="P145" s="3">
        <v>1.0</v>
      </c>
      <c r="Q145" s="2"/>
      <c r="V145" s="5">
        <f>SUM(B145:P145)/10</f>
        <v>0.8</v>
      </c>
    </row>
    <row r="146">
      <c r="A146" s="2">
        <v>68.0</v>
      </c>
      <c r="B146" s="2">
        <v>2060.0</v>
      </c>
      <c r="C146" s="2">
        <v>58.0</v>
      </c>
      <c r="D146" s="2">
        <v>34.6938</v>
      </c>
      <c r="E146" s="2">
        <v>-120.1981</v>
      </c>
      <c r="H146" s="3" t="s">
        <v>437</v>
      </c>
      <c r="I146" s="3" t="s">
        <v>485</v>
      </c>
      <c r="J146" s="3" t="s">
        <v>486</v>
      </c>
      <c r="K146" s="3" t="s">
        <v>192</v>
      </c>
      <c r="L146" s="2" t="s">
        <v>192</v>
      </c>
      <c r="M146" s="3" t="s">
        <v>487</v>
      </c>
      <c r="N146" s="3" t="s">
        <v>440</v>
      </c>
      <c r="O146" s="3" t="s">
        <v>450</v>
      </c>
      <c r="P146" s="3" t="s">
        <v>232</v>
      </c>
      <c r="Q146" s="2" t="s">
        <v>472</v>
      </c>
    </row>
    <row r="147">
      <c r="A147" s="2" t="s">
        <v>488</v>
      </c>
      <c r="B147" s="2"/>
      <c r="C147" s="2"/>
      <c r="D147" s="2"/>
      <c r="E147" s="2"/>
      <c r="F147" s="3">
        <v>1.0</v>
      </c>
      <c r="G147" s="3">
        <v>1.0</v>
      </c>
      <c r="H147" s="3">
        <v>1.0</v>
      </c>
      <c r="I147" s="3">
        <v>0.0</v>
      </c>
      <c r="J147" s="3">
        <v>1.0</v>
      </c>
      <c r="K147" s="3">
        <v>0.0</v>
      </c>
      <c r="L147" s="2"/>
      <c r="M147" s="3">
        <v>1.0</v>
      </c>
      <c r="N147" s="3">
        <v>1.0</v>
      </c>
      <c r="O147" s="3">
        <v>1.0</v>
      </c>
      <c r="P147" s="3">
        <v>1.0</v>
      </c>
      <c r="Q147" s="2"/>
      <c r="V147" s="5">
        <f>SUM(B147:P147)/10</f>
        <v>0.8</v>
      </c>
    </row>
    <row r="148">
      <c r="A148" s="2">
        <v>69.0</v>
      </c>
      <c r="B148" s="2">
        <v>2060.0</v>
      </c>
      <c r="C148" s="2">
        <v>58.0</v>
      </c>
      <c r="D148" s="2">
        <v>34.6938</v>
      </c>
      <c r="E148" s="2">
        <v>-120.1981</v>
      </c>
      <c r="H148" s="3" t="s">
        <v>437</v>
      </c>
      <c r="I148" s="3" t="s">
        <v>489</v>
      </c>
      <c r="J148" s="3" t="s">
        <v>490</v>
      </c>
      <c r="K148" s="3" t="s">
        <v>192</v>
      </c>
      <c r="L148" s="2" t="s">
        <v>192</v>
      </c>
      <c r="M148" s="3" t="s">
        <v>487</v>
      </c>
      <c r="N148" s="3" t="s">
        <v>440</v>
      </c>
      <c r="O148" s="3" t="s">
        <v>450</v>
      </c>
      <c r="P148" s="3" t="s">
        <v>232</v>
      </c>
      <c r="Q148" s="2" t="s">
        <v>472</v>
      </c>
    </row>
    <row r="149">
      <c r="A149" s="2" t="s">
        <v>491</v>
      </c>
      <c r="B149" s="2"/>
      <c r="C149" s="2"/>
      <c r="D149" s="2"/>
      <c r="E149" s="2"/>
      <c r="F149" s="3">
        <v>1.0</v>
      </c>
      <c r="G149" s="3">
        <v>1.0</v>
      </c>
      <c r="H149" s="3">
        <v>1.0</v>
      </c>
      <c r="I149" s="3">
        <v>0.0</v>
      </c>
      <c r="J149" s="3">
        <v>1.0</v>
      </c>
      <c r="K149" s="3">
        <v>0.0</v>
      </c>
      <c r="L149" s="2"/>
      <c r="M149" s="3">
        <v>0.0</v>
      </c>
      <c r="N149" s="3">
        <v>1.0</v>
      </c>
      <c r="O149" s="3">
        <v>1.0</v>
      </c>
      <c r="P149" s="3">
        <v>1.0</v>
      </c>
      <c r="Q149" s="2"/>
      <c r="V149" s="5">
        <f>SUM(B149:P149)/10</f>
        <v>0.7</v>
      </c>
    </row>
    <row r="150">
      <c r="A150" s="2">
        <v>70.0</v>
      </c>
      <c r="B150" s="2">
        <v>2060.0</v>
      </c>
      <c r="C150" s="2">
        <v>58.0</v>
      </c>
      <c r="D150" s="2">
        <v>34.6938</v>
      </c>
      <c r="E150" s="2">
        <v>-120.1981</v>
      </c>
      <c r="H150" s="3" t="s">
        <v>437</v>
      </c>
      <c r="I150" s="3" t="s">
        <v>492</v>
      </c>
      <c r="J150" s="3" t="s">
        <v>493</v>
      </c>
      <c r="K150" s="3" t="s">
        <v>192</v>
      </c>
      <c r="L150" s="2" t="s">
        <v>192</v>
      </c>
      <c r="M150" s="3" t="s">
        <v>440</v>
      </c>
      <c r="N150" s="3" t="s">
        <v>440</v>
      </c>
      <c r="O150" s="3" t="s">
        <v>494</v>
      </c>
      <c r="P150" s="3" t="s">
        <v>232</v>
      </c>
      <c r="Q150" s="2" t="s">
        <v>495</v>
      </c>
    </row>
    <row r="151">
      <c r="A151" s="2" t="s">
        <v>496</v>
      </c>
      <c r="B151" s="2"/>
      <c r="C151" s="2"/>
      <c r="D151" s="2"/>
      <c r="E151" s="2"/>
      <c r="F151" s="3">
        <v>1.0</v>
      </c>
      <c r="G151" s="3">
        <v>1.0</v>
      </c>
      <c r="H151" s="3">
        <v>1.0</v>
      </c>
      <c r="I151" s="3">
        <v>0.0</v>
      </c>
      <c r="J151" s="3">
        <v>1.0</v>
      </c>
      <c r="K151" s="3">
        <v>0.0</v>
      </c>
      <c r="L151" s="2"/>
      <c r="M151" s="3">
        <v>1.0</v>
      </c>
      <c r="N151" s="3">
        <v>1.0</v>
      </c>
      <c r="O151" s="3">
        <v>1.0</v>
      </c>
      <c r="P151" s="3">
        <v>1.0</v>
      </c>
      <c r="Q151" s="2"/>
      <c r="V151" s="5">
        <f>SUM(B151:P151)/10</f>
        <v>0.8</v>
      </c>
    </row>
    <row r="152">
      <c r="A152" s="2">
        <v>71.0</v>
      </c>
      <c r="B152" s="2">
        <v>2060.0</v>
      </c>
      <c r="C152" s="2">
        <v>58.0</v>
      </c>
      <c r="D152" s="2">
        <v>34.6938</v>
      </c>
      <c r="E152" s="2">
        <v>-120.1981</v>
      </c>
      <c r="H152" s="3" t="s">
        <v>437</v>
      </c>
      <c r="I152" s="3" t="s">
        <v>497</v>
      </c>
      <c r="J152" s="3" t="s">
        <v>498</v>
      </c>
      <c r="K152" s="3" t="s">
        <v>192</v>
      </c>
      <c r="L152" s="2" t="s">
        <v>192</v>
      </c>
      <c r="M152" s="18">
        <v>15644.0</v>
      </c>
      <c r="N152" s="3" t="s">
        <v>440</v>
      </c>
      <c r="O152" s="3" t="s">
        <v>450</v>
      </c>
      <c r="P152" s="3" t="s">
        <v>232</v>
      </c>
      <c r="Q152" s="2" t="s">
        <v>472</v>
      </c>
    </row>
    <row r="153">
      <c r="A153" s="2" t="s">
        <v>499</v>
      </c>
      <c r="B153" s="2"/>
      <c r="C153" s="2"/>
      <c r="D153" s="2"/>
      <c r="E153" s="2"/>
      <c r="F153" s="3">
        <v>1.0</v>
      </c>
      <c r="G153" s="3">
        <v>1.0</v>
      </c>
      <c r="H153" s="3">
        <v>1.0</v>
      </c>
      <c r="I153" s="3">
        <v>0.0</v>
      </c>
      <c r="J153" s="3">
        <v>1.0</v>
      </c>
      <c r="K153" s="3">
        <v>0.0</v>
      </c>
      <c r="L153" s="2"/>
      <c r="M153" s="3">
        <v>1.0</v>
      </c>
      <c r="N153" s="3">
        <v>1.0</v>
      </c>
      <c r="O153" s="3">
        <v>1.0</v>
      </c>
      <c r="P153" s="3">
        <v>1.0</v>
      </c>
      <c r="Q153" s="2"/>
      <c r="V153" s="5">
        <f>SUM(B153:P153)/10</f>
        <v>0.8</v>
      </c>
    </row>
    <row r="154">
      <c r="A154" s="2">
        <v>72.0</v>
      </c>
      <c r="B154" s="2">
        <v>2060.0</v>
      </c>
      <c r="C154" s="2">
        <v>58.0</v>
      </c>
      <c r="D154" s="2">
        <v>34.6938</v>
      </c>
      <c r="E154" s="2">
        <v>-120.1981</v>
      </c>
      <c r="H154" s="3" t="s">
        <v>437</v>
      </c>
      <c r="I154" s="3" t="s">
        <v>500</v>
      </c>
      <c r="J154" s="3" t="s">
        <v>501</v>
      </c>
      <c r="K154" s="3" t="s">
        <v>192</v>
      </c>
      <c r="L154" s="2" t="s">
        <v>192</v>
      </c>
      <c r="M154" s="3" t="s">
        <v>440</v>
      </c>
      <c r="N154" s="3" t="s">
        <v>440</v>
      </c>
      <c r="O154" s="3" t="s">
        <v>450</v>
      </c>
      <c r="P154" s="3" t="s">
        <v>232</v>
      </c>
      <c r="Q154" s="2" t="s">
        <v>472</v>
      </c>
    </row>
    <row r="155">
      <c r="A155" s="2" t="s">
        <v>502</v>
      </c>
      <c r="B155" s="2"/>
      <c r="C155" s="2"/>
      <c r="D155" s="2"/>
      <c r="E155" s="2"/>
      <c r="F155" s="3">
        <v>1.0</v>
      </c>
      <c r="G155" s="3">
        <v>1.0</v>
      </c>
      <c r="H155" s="3">
        <v>1.0</v>
      </c>
      <c r="I155" s="3">
        <v>0.0</v>
      </c>
      <c r="J155" s="3">
        <v>1.0</v>
      </c>
      <c r="K155" s="3">
        <v>0.0</v>
      </c>
      <c r="L155" s="2"/>
      <c r="M155" s="3">
        <v>1.0</v>
      </c>
      <c r="N155" s="3">
        <v>1.0</v>
      </c>
      <c r="O155" s="3">
        <v>1.0</v>
      </c>
      <c r="P155" s="3">
        <v>1.0</v>
      </c>
      <c r="Q155" s="2"/>
      <c r="V155" s="5">
        <f>SUM(B155:P155)/10</f>
        <v>0.8</v>
      </c>
    </row>
    <row r="156">
      <c r="A156" s="2">
        <v>73.0</v>
      </c>
      <c r="B156" s="2">
        <v>2060.0</v>
      </c>
      <c r="C156" s="2">
        <v>58.0</v>
      </c>
      <c r="D156" s="2">
        <v>34.6938</v>
      </c>
      <c r="E156" s="2">
        <v>-120.1981</v>
      </c>
      <c r="H156" s="3" t="s">
        <v>437</v>
      </c>
      <c r="I156" s="3" t="s">
        <v>503</v>
      </c>
      <c r="J156" s="3" t="s">
        <v>504</v>
      </c>
      <c r="K156" s="3" t="s">
        <v>192</v>
      </c>
      <c r="L156" s="2" t="s">
        <v>192</v>
      </c>
      <c r="M156" s="18">
        <v>15644.0</v>
      </c>
      <c r="N156" s="3" t="s">
        <v>440</v>
      </c>
      <c r="O156" s="3" t="s">
        <v>450</v>
      </c>
      <c r="P156" s="3" t="s">
        <v>232</v>
      </c>
      <c r="Q156" s="2" t="s">
        <v>472</v>
      </c>
    </row>
    <row r="157">
      <c r="A157" s="2" t="s">
        <v>505</v>
      </c>
      <c r="B157" s="2"/>
      <c r="C157" s="2"/>
      <c r="D157" s="2"/>
      <c r="E157" s="2"/>
      <c r="F157" s="3">
        <v>1.0</v>
      </c>
      <c r="G157" s="3">
        <v>1.0</v>
      </c>
      <c r="H157" s="3">
        <v>1.0</v>
      </c>
      <c r="I157" s="3">
        <v>0.0</v>
      </c>
      <c r="J157" s="3">
        <v>1.0</v>
      </c>
      <c r="K157" s="3">
        <v>0.0</v>
      </c>
      <c r="L157" s="2"/>
      <c r="M157" s="3">
        <v>1.0</v>
      </c>
      <c r="N157" s="3">
        <v>1.0</v>
      </c>
      <c r="O157" s="3">
        <v>1.0</v>
      </c>
      <c r="P157" s="3">
        <v>1.0</v>
      </c>
      <c r="Q157" s="2"/>
      <c r="V157" s="5">
        <f>SUM(B157:P157)/10</f>
        <v>0.8</v>
      </c>
    </row>
    <row r="158">
      <c r="A158" s="2">
        <v>2.0</v>
      </c>
      <c r="B158" s="2">
        <v>2060.0</v>
      </c>
      <c r="C158" s="2">
        <v>164.0</v>
      </c>
      <c r="D158" s="2">
        <v>34.4205</v>
      </c>
      <c r="E158" s="2">
        <v>-119.6994</v>
      </c>
      <c r="H158" s="3" t="s">
        <v>506</v>
      </c>
      <c r="I158" s="3" t="s">
        <v>220</v>
      </c>
      <c r="J158" s="3" t="s">
        <v>507</v>
      </c>
      <c r="K158" s="3" t="s">
        <v>192</v>
      </c>
      <c r="L158" s="1"/>
      <c r="M158" s="3" t="s">
        <v>508</v>
      </c>
      <c r="N158" s="3" t="s">
        <v>509</v>
      </c>
      <c r="O158" s="3" t="s">
        <v>510</v>
      </c>
      <c r="P158" s="3" t="s">
        <v>232</v>
      </c>
      <c r="Q158" s="2" t="s">
        <v>511</v>
      </c>
    </row>
    <row r="159">
      <c r="A159" s="2" t="s">
        <v>512</v>
      </c>
      <c r="B159" s="2"/>
      <c r="C159" s="2"/>
      <c r="D159" s="2"/>
      <c r="E159" s="2"/>
      <c r="F159" s="3">
        <v>1.0</v>
      </c>
      <c r="G159" s="3">
        <v>1.0</v>
      </c>
      <c r="H159" s="3">
        <v>1.0</v>
      </c>
      <c r="I159" s="3">
        <v>1.0</v>
      </c>
      <c r="J159" s="3">
        <v>1.0</v>
      </c>
      <c r="K159" s="3">
        <v>1.0</v>
      </c>
      <c r="L159" s="1"/>
      <c r="M159" s="3">
        <v>1.0</v>
      </c>
      <c r="N159" s="3">
        <v>1.0</v>
      </c>
      <c r="O159" s="3">
        <v>1.0</v>
      </c>
      <c r="P159" s="3">
        <v>1.0</v>
      </c>
      <c r="Q159" s="2"/>
      <c r="V159" s="5">
        <f>SUM(B159:P159)/10</f>
        <v>1</v>
      </c>
    </row>
    <row r="160">
      <c r="A160" s="2">
        <v>95.0</v>
      </c>
      <c r="B160" s="2">
        <v>2063.0</v>
      </c>
      <c r="C160" s="2">
        <v>104.0</v>
      </c>
      <c r="D160" s="2">
        <v>38.7362</v>
      </c>
      <c r="E160" s="2">
        <v>-120.8194</v>
      </c>
      <c r="H160" s="3" t="s">
        <v>513</v>
      </c>
      <c r="I160" s="3" t="s">
        <v>514</v>
      </c>
      <c r="J160" s="3" t="s">
        <v>515</v>
      </c>
      <c r="K160" s="3" t="s">
        <v>516</v>
      </c>
      <c r="L160" s="1"/>
      <c r="M160" s="3" t="s">
        <v>517</v>
      </c>
      <c r="N160" s="3" t="s">
        <v>22</v>
      </c>
      <c r="O160" s="3" t="s">
        <v>518</v>
      </c>
      <c r="P160" s="3" t="s">
        <v>24</v>
      </c>
      <c r="Q160" s="2" t="s">
        <v>519</v>
      </c>
    </row>
    <row r="161">
      <c r="A161" s="2" t="s">
        <v>520</v>
      </c>
      <c r="B161" s="2"/>
      <c r="C161" s="2"/>
      <c r="D161" s="2"/>
      <c r="E161" s="2"/>
      <c r="F161" s="3">
        <v>1.0</v>
      </c>
      <c r="G161" s="3">
        <v>1.0</v>
      </c>
      <c r="H161" s="3">
        <v>1.0</v>
      </c>
      <c r="I161" s="3">
        <v>0.5</v>
      </c>
      <c r="J161" s="3">
        <v>1.0</v>
      </c>
      <c r="K161" s="3">
        <v>0.0</v>
      </c>
      <c r="L161" s="1"/>
      <c r="M161" s="3">
        <v>1.0</v>
      </c>
      <c r="N161" s="3">
        <v>1.0</v>
      </c>
      <c r="O161" s="3">
        <v>1.0</v>
      </c>
      <c r="P161" s="3">
        <v>1.0</v>
      </c>
      <c r="Q161" s="2"/>
      <c r="V161" s="5">
        <f>SUM(B161:P161)/10</f>
        <v>0.85</v>
      </c>
    </row>
    <row r="162">
      <c r="A162" s="2">
        <v>171.0</v>
      </c>
      <c r="B162" s="2">
        <v>2246.0</v>
      </c>
      <c r="C162" s="2">
        <v>204.0</v>
      </c>
      <c r="D162" s="2">
        <v>33.2167</v>
      </c>
      <c r="E162" s="2">
        <v>-117.2878</v>
      </c>
      <c r="H162" s="3" t="s">
        <v>521</v>
      </c>
      <c r="I162" s="3" t="s">
        <v>522</v>
      </c>
      <c r="J162" s="3" t="s">
        <v>523</v>
      </c>
      <c r="K162" s="3" t="s">
        <v>263</v>
      </c>
      <c r="L162" s="1"/>
      <c r="M162" s="3" t="s">
        <v>524</v>
      </c>
      <c r="N162" s="3" t="s">
        <v>22</v>
      </c>
      <c r="O162" s="3" t="s">
        <v>265</v>
      </c>
      <c r="P162" s="3" t="s">
        <v>24</v>
      </c>
      <c r="Q162" s="2" t="s">
        <v>525</v>
      </c>
    </row>
    <row r="163">
      <c r="A163" s="2" t="s">
        <v>526</v>
      </c>
      <c r="B163" s="2"/>
      <c r="C163" s="2"/>
      <c r="D163" s="2"/>
      <c r="E163" s="2"/>
      <c r="F163" s="3">
        <v>1.0</v>
      </c>
      <c r="G163" s="3">
        <v>1.0</v>
      </c>
      <c r="H163" s="3">
        <v>0.0</v>
      </c>
      <c r="I163" s="3">
        <v>0.5</v>
      </c>
      <c r="J163" s="3">
        <v>1.0</v>
      </c>
      <c r="K163" s="3">
        <v>1.0</v>
      </c>
      <c r="L163" s="1"/>
      <c r="M163" s="3">
        <v>1.0</v>
      </c>
      <c r="N163" s="3">
        <v>1.0</v>
      </c>
      <c r="O163" s="3">
        <v>1.0</v>
      </c>
      <c r="P163" s="3">
        <v>1.0</v>
      </c>
      <c r="Q163" s="2"/>
      <c r="V163" s="5">
        <f>SUM(B163:P163)/10</f>
        <v>0.85</v>
      </c>
    </row>
    <row r="164">
      <c r="A164" s="2">
        <v>289.0</v>
      </c>
      <c r="B164" s="2">
        <v>2246.0</v>
      </c>
      <c r="C164" s="2">
        <v>545.0</v>
      </c>
      <c r="D164" s="1"/>
      <c r="E164" s="1"/>
      <c r="F164" s="3">
        <v>34.65</v>
      </c>
      <c r="G164" s="3">
        <v>-120.45</v>
      </c>
      <c r="H164" s="3" t="s">
        <v>527</v>
      </c>
      <c r="I164" s="3" t="s">
        <v>18</v>
      </c>
      <c r="J164" s="3" t="s">
        <v>528</v>
      </c>
      <c r="K164" s="3" t="s">
        <v>192</v>
      </c>
      <c r="L164" s="1"/>
      <c r="M164" s="3" t="s">
        <v>529</v>
      </c>
      <c r="N164" s="3" t="s">
        <v>56</v>
      </c>
      <c r="O164" s="3" t="s">
        <v>530</v>
      </c>
      <c r="P164" s="3" t="s">
        <v>24</v>
      </c>
      <c r="Q164" s="2" t="s">
        <v>531</v>
      </c>
    </row>
    <row r="165">
      <c r="A165" s="2" t="s">
        <v>532</v>
      </c>
      <c r="B165" s="2"/>
      <c r="C165" s="2"/>
      <c r="D165" s="1"/>
      <c r="E165" s="1"/>
      <c r="F165" s="3">
        <v>0.0</v>
      </c>
      <c r="G165" s="3">
        <v>0.0</v>
      </c>
      <c r="H165" s="3">
        <v>1.0</v>
      </c>
      <c r="I165" s="3">
        <v>1.0</v>
      </c>
      <c r="J165" s="3">
        <v>1.0</v>
      </c>
      <c r="K165" s="3">
        <v>0.0</v>
      </c>
      <c r="L165" s="1"/>
      <c r="M165" s="3">
        <v>1.0</v>
      </c>
      <c r="N165" s="3">
        <v>1.0</v>
      </c>
      <c r="O165" s="3">
        <v>1.0</v>
      </c>
      <c r="P165" s="3">
        <v>1.0</v>
      </c>
      <c r="Q165" s="2"/>
      <c r="V165" s="5">
        <f>SUM(B165:P165)/10</f>
        <v>0.7</v>
      </c>
    </row>
    <row r="166">
      <c r="A166" s="2">
        <v>233.0</v>
      </c>
      <c r="B166" s="2">
        <v>2248.0</v>
      </c>
      <c r="C166" s="2">
        <v>291.0</v>
      </c>
      <c r="D166" s="2">
        <v>40.8675</v>
      </c>
      <c r="E166" s="2">
        <v>-124.0833</v>
      </c>
      <c r="H166" s="3" t="s">
        <v>533</v>
      </c>
      <c r="I166" s="3" t="s">
        <v>18</v>
      </c>
      <c r="J166" s="3" t="s">
        <v>534</v>
      </c>
      <c r="L166" s="2" t="s">
        <v>295</v>
      </c>
      <c r="P166" s="3" t="s">
        <v>24</v>
      </c>
      <c r="Q166" s="2" t="s">
        <v>535</v>
      </c>
    </row>
    <row r="167">
      <c r="A167" s="19" t="s">
        <v>536</v>
      </c>
      <c r="B167" s="19"/>
      <c r="C167" s="19"/>
      <c r="D167" s="19"/>
      <c r="E167" s="19"/>
      <c r="F167" s="20"/>
      <c r="G167" s="20"/>
      <c r="H167" s="19"/>
      <c r="I167" s="19"/>
      <c r="J167" s="19"/>
      <c r="K167" s="20"/>
      <c r="L167" s="19"/>
      <c r="M167" s="20"/>
      <c r="N167" s="20"/>
      <c r="O167" s="20"/>
      <c r="P167" s="19"/>
      <c r="Q167" s="19"/>
      <c r="R167" s="20"/>
      <c r="S167" s="20"/>
      <c r="T167" s="20"/>
      <c r="U167" s="20"/>
      <c r="V167" s="21">
        <f>SUM(B167:P167)/10</f>
        <v>0</v>
      </c>
    </row>
    <row r="168">
      <c r="A168" s="19">
        <v>234.0</v>
      </c>
      <c r="B168" s="19">
        <v>2248.0</v>
      </c>
      <c r="C168" s="19">
        <v>291.0</v>
      </c>
      <c r="D168" s="19">
        <v>39.1431</v>
      </c>
      <c r="E168" s="19">
        <v>-123.2034</v>
      </c>
      <c r="F168" s="20"/>
      <c r="G168" s="20"/>
      <c r="H168" s="19" t="s">
        <v>537</v>
      </c>
      <c r="I168" s="19" t="s">
        <v>18</v>
      </c>
      <c r="J168" s="19" t="s">
        <v>538</v>
      </c>
      <c r="K168" s="20"/>
      <c r="L168" s="19" t="s">
        <v>319</v>
      </c>
      <c r="M168" s="20"/>
      <c r="N168" s="20"/>
      <c r="O168" s="20"/>
      <c r="P168" s="19" t="s">
        <v>24</v>
      </c>
      <c r="Q168" s="19" t="s">
        <v>539</v>
      </c>
      <c r="R168" s="20"/>
      <c r="S168" s="20"/>
      <c r="T168" s="20"/>
      <c r="U168" s="20"/>
      <c r="V168" s="20"/>
    </row>
    <row r="169">
      <c r="A169" s="19" t="s">
        <v>540</v>
      </c>
      <c r="B169" s="19"/>
      <c r="C169" s="19"/>
      <c r="D169" s="19"/>
      <c r="E169" s="19"/>
      <c r="F169" s="20"/>
      <c r="G169" s="20"/>
      <c r="H169" s="19"/>
      <c r="I169" s="19"/>
      <c r="J169" s="19"/>
      <c r="K169" s="20"/>
      <c r="L169" s="19"/>
      <c r="M169" s="20"/>
      <c r="N169" s="20"/>
      <c r="O169" s="20"/>
      <c r="P169" s="19"/>
      <c r="Q169" s="19"/>
      <c r="R169" s="20"/>
      <c r="S169" s="20"/>
      <c r="T169" s="20"/>
      <c r="U169" s="20"/>
      <c r="V169" s="21">
        <f>SUM(B169:P169)/10</f>
        <v>0</v>
      </c>
    </row>
    <row r="170">
      <c r="A170" s="19">
        <v>235.0</v>
      </c>
      <c r="B170" s="19">
        <v>2248.0</v>
      </c>
      <c r="C170" s="19">
        <v>291.0</v>
      </c>
      <c r="D170" s="19">
        <v>34.1478</v>
      </c>
      <c r="E170" s="19">
        <v>-118.1445</v>
      </c>
      <c r="F170" s="20"/>
      <c r="G170" s="20"/>
      <c r="H170" s="19" t="s">
        <v>541</v>
      </c>
      <c r="I170" s="19" t="s">
        <v>18</v>
      </c>
      <c r="J170" s="19" t="s">
        <v>542</v>
      </c>
      <c r="K170" s="20"/>
      <c r="L170" s="19" t="s">
        <v>130</v>
      </c>
      <c r="M170" s="20"/>
      <c r="N170" s="20"/>
      <c r="O170" s="20"/>
      <c r="P170" s="19" t="s">
        <v>24</v>
      </c>
      <c r="Q170" s="19" t="s">
        <v>543</v>
      </c>
      <c r="R170" s="20"/>
      <c r="S170" s="20"/>
      <c r="T170" s="20"/>
      <c r="U170" s="20"/>
      <c r="V170" s="20"/>
    </row>
    <row r="171">
      <c r="A171" s="19" t="s">
        <v>544</v>
      </c>
      <c r="B171" s="19"/>
      <c r="C171" s="19"/>
      <c r="D171" s="19"/>
      <c r="E171" s="19"/>
      <c r="F171" s="20"/>
      <c r="G171" s="20"/>
      <c r="H171" s="19"/>
      <c r="I171" s="19"/>
      <c r="J171" s="19"/>
      <c r="K171" s="20"/>
      <c r="L171" s="19"/>
      <c r="M171" s="20"/>
      <c r="N171" s="20"/>
      <c r="O171" s="20"/>
      <c r="P171" s="19"/>
      <c r="Q171" s="19"/>
      <c r="R171" s="20"/>
      <c r="S171" s="20"/>
      <c r="T171" s="20"/>
      <c r="U171" s="20"/>
      <c r="V171" s="21">
        <f>SUM(B171:P171)/10</f>
        <v>0</v>
      </c>
    </row>
    <row r="172">
      <c r="A172" s="19">
        <v>236.0</v>
      </c>
      <c r="B172" s="19">
        <v>2248.0</v>
      </c>
      <c r="C172" s="19">
        <v>291.0</v>
      </c>
      <c r="D172" s="19">
        <v>38.6272</v>
      </c>
      <c r="E172" s="19">
        <v>-121.4905</v>
      </c>
      <c r="F172" s="20"/>
      <c r="G172" s="20"/>
      <c r="H172" s="19" t="s">
        <v>545</v>
      </c>
      <c r="I172" s="19" t="s">
        <v>18</v>
      </c>
      <c r="J172" s="19" t="s">
        <v>546</v>
      </c>
      <c r="K172" s="20"/>
      <c r="L172" s="19" t="s">
        <v>407</v>
      </c>
      <c r="M172" s="20"/>
      <c r="N172" s="20"/>
      <c r="O172" s="20"/>
      <c r="P172" s="19" t="s">
        <v>24</v>
      </c>
      <c r="Q172" s="19" t="s">
        <v>535</v>
      </c>
      <c r="R172" s="20"/>
      <c r="S172" s="20"/>
      <c r="T172" s="20"/>
      <c r="U172" s="20"/>
      <c r="V172" s="20"/>
    </row>
    <row r="173">
      <c r="A173" s="19" t="s">
        <v>547</v>
      </c>
      <c r="B173" s="19"/>
      <c r="C173" s="19"/>
      <c r="D173" s="19"/>
      <c r="E173" s="19"/>
      <c r="F173" s="20"/>
      <c r="G173" s="20"/>
      <c r="H173" s="19"/>
      <c r="I173" s="19"/>
      <c r="J173" s="19"/>
      <c r="K173" s="20"/>
      <c r="L173" s="19"/>
      <c r="M173" s="20"/>
      <c r="N173" s="20"/>
      <c r="O173" s="20"/>
      <c r="P173" s="19"/>
      <c r="Q173" s="19"/>
      <c r="R173" s="20"/>
      <c r="S173" s="20"/>
      <c r="T173" s="20"/>
      <c r="U173" s="20"/>
      <c r="V173" s="21">
        <f>SUM(B173:P173)/10</f>
        <v>0</v>
      </c>
    </row>
    <row r="174">
      <c r="A174" s="19">
        <v>237.0</v>
      </c>
      <c r="B174" s="19">
        <v>2248.0</v>
      </c>
      <c r="C174" s="19">
        <v>291.0</v>
      </c>
      <c r="D174" s="19">
        <v>35.4906</v>
      </c>
      <c r="E174" s="19">
        <v>-120.9823</v>
      </c>
      <c r="F174" s="20"/>
      <c r="G174" s="20"/>
      <c r="H174" s="19" t="s">
        <v>548</v>
      </c>
      <c r="I174" s="19" t="s">
        <v>18</v>
      </c>
      <c r="J174" s="19" t="s">
        <v>549</v>
      </c>
      <c r="K174" s="20"/>
      <c r="L174" s="19" t="s">
        <v>138</v>
      </c>
      <c r="M174" s="20"/>
      <c r="N174" s="20"/>
      <c r="O174" s="20"/>
      <c r="P174" s="19" t="s">
        <v>24</v>
      </c>
      <c r="Q174" s="19" t="s">
        <v>543</v>
      </c>
      <c r="R174" s="20"/>
      <c r="S174" s="20"/>
      <c r="T174" s="20"/>
      <c r="U174" s="20"/>
      <c r="V174" s="20"/>
    </row>
    <row r="175">
      <c r="A175" s="19" t="s">
        <v>550</v>
      </c>
      <c r="B175" s="19"/>
      <c r="C175" s="19"/>
      <c r="D175" s="19"/>
      <c r="E175" s="19"/>
      <c r="F175" s="20"/>
      <c r="G175" s="20"/>
      <c r="H175" s="19"/>
      <c r="I175" s="19"/>
      <c r="J175" s="19"/>
      <c r="K175" s="20"/>
      <c r="L175" s="19"/>
      <c r="M175" s="20"/>
      <c r="N175" s="20"/>
      <c r="O175" s="20"/>
      <c r="P175" s="19"/>
      <c r="Q175" s="19"/>
      <c r="R175" s="20"/>
      <c r="S175" s="20"/>
      <c r="T175" s="20"/>
      <c r="U175" s="20"/>
      <c r="V175" s="21">
        <f>SUM(B175:P175)/10</f>
        <v>0</v>
      </c>
    </row>
    <row r="176">
      <c r="A176" s="19">
        <v>238.0</v>
      </c>
      <c r="B176" s="19">
        <v>2248.0</v>
      </c>
      <c r="C176" s="19">
        <v>291.0</v>
      </c>
      <c r="D176" s="19">
        <v>38.2913</v>
      </c>
      <c r="E176" s="19">
        <v>-122.4571</v>
      </c>
      <c r="F176" s="20"/>
      <c r="G176" s="20"/>
      <c r="H176" s="19" t="s">
        <v>551</v>
      </c>
      <c r="I176" s="19" t="s">
        <v>18</v>
      </c>
      <c r="J176" s="19" t="s">
        <v>552</v>
      </c>
      <c r="K176" s="20"/>
      <c r="L176" s="19" t="s">
        <v>553</v>
      </c>
      <c r="M176" s="20"/>
      <c r="N176" s="20"/>
      <c r="O176" s="20"/>
      <c r="P176" s="19" t="s">
        <v>24</v>
      </c>
      <c r="Q176" s="19" t="s">
        <v>539</v>
      </c>
      <c r="R176" s="20"/>
      <c r="S176" s="20"/>
      <c r="T176" s="20"/>
      <c r="U176" s="20"/>
      <c r="V176" s="20"/>
    </row>
    <row r="177">
      <c r="A177" s="19" t="s">
        <v>554</v>
      </c>
      <c r="B177" s="19"/>
      <c r="C177" s="19"/>
      <c r="D177" s="19"/>
      <c r="E177" s="19"/>
      <c r="F177" s="20"/>
      <c r="G177" s="20"/>
      <c r="H177" s="19"/>
      <c r="I177" s="19"/>
      <c r="J177" s="19"/>
      <c r="K177" s="20"/>
      <c r="L177" s="19"/>
      <c r="M177" s="20"/>
      <c r="N177" s="20"/>
      <c r="O177" s="20"/>
      <c r="P177" s="19"/>
      <c r="Q177" s="19"/>
      <c r="R177" s="20"/>
      <c r="S177" s="20"/>
      <c r="T177" s="20"/>
      <c r="U177" s="20"/>
      <c r="V177" s="21">
        <f>SUM(B177:P177)/10</f>
        <v>0</v>
      </c>
    </row>
    <row r="178">
      <c r="A178" s="19">
        <v>239.0</v>
      </c>
      <c r="B178" s="19">
        <v>2248.0</v>
      </c>
      <c r="C178" s="19">
        <v>291.0</v>
      </c>
      <c r="D178" s="19">
        <v>39.0963</v>
      </c>
      <c r="E178" s="19">
        <v>-120.963</v>
      </c>
      <c r="F178" s="20"/>
      <c r="G178" s="20"/>
      <c r="H178" s="19" t="s">
        <v>555</v>
      </c>
      <c r="I178" s="19" t="s">
        <v>18</v>
      </c>
      <c r="J178" s="19" t="s">
        <v>556</v>
      </c>
      <c r="K178" s="20"/>
      <c r="L178" s="19" t="s">
        <v>557</v>
      </c>
      <c r="M178" s="20"/>
      <c r="N178" s="20"/>
      <c r="O178" s="20"/>
      <c r="P178" s="19" t="s">
        <v>24</v>
      </c>
      <c r="Q178" s="19" t="s">
        <v>535</v>
      </c>
      <c r="R178" s="20"/>
      <c r="S178" s="20"/>
      <c r="T178" s="20"/>
      <c r="U178" s="20"/>
      <c r="V178" s="20"/>
    </row>
    <row r="179">
      <c r="A179" s="19" t="s">
        <v>558</v>
      </c>
      <c r="B179" s="19"/>
      <c r="C179" s="19"/>
      <c r="D179" s="19"/>
      <c r="E179" s="19"/>
      <c r="F179" s="20"/>
      <c r="G179" s="20"/>
      <c r="H179" s="19"/>
      <c r="I179" s="19"/>
      <c r="J179" s="19"/>
      <c r="K179" s="20"/>
      <c r="L179" s="19"/>
      <c r="M179" s="20"/>
      <c r="N179" s="20"/>
      <c r="O179" s="20"/>
      <c r="P179" s="19"/>
      <c r="Q179" s="19"/>
      <c r="R179" s="20"/>
      <c r="S179" s="20"/>
      <c r="T179" s="20"/>
      <c r="U179" s="20"/>
      <c r="V179" s="21">
        <f>SUM(B179:P179)/10</f>
        <v>0</v>
      </c>
    </row>
    <row r="180">
      <c r="A180" s="19">
        <v>240.0</v>
      </c>
      <c r="B180" s="19">
        <v>2248.0</v>
      </c>
      <c r="C180" s="19">
        <v>291.0</v>
      </c>
      <c r="D180" s="19">
        <v>39.204</v>
      </c>
      <c r="E180" s="19">
        <v>-121.0878</v>
      </c>
      <c r="F180" s="20"/>
      <c r="G180" s="20"/>
      <c r="H180" s="19" t="s">
        <v>559</v>
      </c>
      <c r="I180" s="19" t="s">
        <v>18</v>
      </c>
      <c r="J180" s="19" t="s">
        <v>560</v>
      </c>
      <c r="K180" s="20"/>
      <c r="L180" s="19" t="s">
        <v>557</v>
      </c>
      <c r="M180" s="20"/>
      <c r="N180" s="20"/>
      <c r="O180" s="20"/>
      <c r="P180" s="19" t="s">
        <v>24</v>
      </c>
      <c r="Q180" s="19" t="s">
        <v>535</v>
      </c>
      <c r="R180" s="20"/>
      <c r="S180" s="20"/>
      <c r="T180" s="20"/>
      <c r="U180" s="20"/>
      <c r="V180" s="20"/>
    </row>
    <row r="181">
      <c r="A181" s="19" t="s">
        <v>561</v>
      </c>
      <c r="B181" s="19"/>
      <c r="C181" s="19"/>
      <c r="D181" s="19"/>
      <c r="E181" s="19"/>
      <c r="F181" s="20"/>
      <c r="G181" s="20"/>
      <c r="H181" s="19"/>
      <c r="I181" s="19"/>
      <c r="J181" s="19"/>
      <c r="K181" s="20"/>
      <c r="L181" s="19"/>
      <c r="M181" s="20"/>
      <c r="N181" s="20"/>
      <c r="O181" s="20"/>
      <c r="P181" s="19"/>
      <c r="Q181" s="19"/>
      <c r="R181" s="20"/>
      <c r="S181" s="20"/>
      <c r="T181" s="20"/>
      <c r="U181" s="20"/>
      <c r="V181" s="21">
        <f>SUM(B181:P181)/10</f>
        <v>0</v>
      </c>
    </row>
    <row r="182">
      <c r="A182" s="19">
        <v>241.0</v>
      </c>
      <c r="B182" s="19">
        <v>2248.0</v>
      </c>
      <c r="C182" s="19">
        <v>291.0</v>
      </c>
      <c r="D182" s="19">
        <v>38.7723</v>
      </c>
      <c r="E182" s="19">
        <v>-120.762</v>
      </c>
      <c r="F182" s="20"/>
      <c r="G182" s="20"/>
      <c r="H182" s="19" t="s">
        <v>562</v>
      </c>
      <c r="I182" s="19" t="s">
        <v>18</v>
      </c>
      <c r="J182" s="19" t="s">
        <v>563</v>
      </c>
      <c r="K182" s="20"/>
      <c r="L182" s="19" t="s">
        <v>516</v>
      </c>
      <c r="M182" s="20"/>
      <c r="N182" s="20"/>
      <c r="O182" s="20"/>
      <c r="P182" s="19" t="s">
        <v>24</v>
      </c>
      <c r="Q182" s="19" t="s">
        <v>543</v>
      </c>
      <c r="R182" s="20"/>
      <c r="S182" s="20"/>
      <c r="T182" s="20"/>
      <c r="U182" s="20"/>
      <c r="V182" s="20"/>
    </row>
    <row r="183">
      <c r="A183" s="19" t="s">
        <v>564</v>
      </c>
      <c r="B183" s="19"/>
      <c r="C183" s="19"/>
      <c r="D183" s="19"/>
      <c r="E183" s="19"/>
      <c r="F183" s="20"/>
      <c r="G183" s="20"/>
      <c r="H183" s="19"/>
      <c r="I183" s="19"/>
      <c r="J183" s="19"/>
      <c r="K183" s="20"/>
      <c r="L183" s="19"/>
      <c r="M183" s="20"/>
      <c r="N183" s="20"/>
      <c r="O183" s="20"/>
      <c r="P183" s="19"/>
      <c r="Q183" s="19"/>
      <c r="R183" s="20"/>
      <c r="S183" s="20"/>
      <c r="T183" s="20"/>
      <c r="U183" s="20"/>
      <c r="V183" s="21">
        <f>SUM(B183:P183)/10</f>
        <v>0</v>
      </c>
    </row>
    <row r="184">
      <c r="A184" s="19">
        <v>242.0</v>
      </c>
      <c r="B184" s="19">
        <v>2248.0</v>
      </c>
      <c r="C184" s="19">
        <v>291.0</v>
      </c>
      <c r="D184" s="19">
        <v>40.1968</v>
      </c>
      <c r="E184" s="19">
        <v>-122.2224</v>
      </c>
      <c r="F184" s="20"/>
      <c r="G184" s="20"/>
      <c r="H184" s="19" t="s">
        <v>565</v>
      </c>
      <c r="I184" s="19" t="s">
        <v>18</v>
      </c>
      <c r="J184" s="19" t="s">
        <v>566</v>
      </c>
      <c r="K184" s="20"/>
      <c r="L184" s="19" t="s">
        <v>214</v>
      </c>
      <c r="M184" s="20"/>
      <c r="N184" s="20"/>
      <c r="O184" s="20"/>
      <c r="P184" s="19" t="s">
        <v>24</v>
      </c>
      <c r="Q184" s="19" t="s">
        <v>539</v>
      </c>
      <c r="R184" s="20"/>
      <c r="S184" s="20"/>
      <c r="T184" s="20"/>
      <c r="U184" s="20"/>
      <c r="V184" s="20"/>
    </row>
    <row r="185">
      <c r="A185" s="19" t="s">
        <v>567</v>
      </c>
      <c r="B185" s="19"/>
      <c r="C185" s="19"/>
      <c r="D185" s="19"/>
      <c r="E185" s="19"/>
      <c r="F185" s="20"/>
      <c r="G185" s="20"/>
      <c r="H185" s="19"/>
      <c r="I185" s="19"/>
      <c r="J185" s="19"/>
      <c r="K185" s="20"/>
      <c r="L185" s="19"/>
      <c r="M185" s="20"/>
      <c r="N185" s="20"/>
      <c r="O185" s="20"/>
      <c r="P185" s="19"/>
      <c r="Q185" s="19"/>
      <c r="R185" s="20"/>
      <c r="S185" s="20"/>
      <c r="T185" s="20"/>
      <c r="U185" s="20"/>
      <c r="V185" s="21">
        <f>SUM(B185:P185)/10</f>
        <v>0</v>
      </c>
    </row>
    <row r="186">
      <c r="A186" s="19">
        <v>243.0</v>
      </c>
      <c r="B186" s="19">
        <v>2248.0</v>
      </c>
      <c r="C186" s="19">
        <v>291.0</v>
      </c>
      <c r="D186" s="19">
        <v>38.5809</v>
      </c>
      <c r="E186" s="19">
        <v>-121.5045</v>
      </c>
      <c r="F186" s="20"/>
      <c r="G186" s="20"/>
      <c r="H186" s="19" t="s">
        <v>568</v>
      </c>
      <c r="I186" s="19" t="s">
        <v>18</v>
      </c>
      <c r="J186" s="19" t="s">
        <v>569</v>
      </c>
      <c r="K186" s="20"/>
      <c r="L186" s="19" t="s">
        <v>407</v>
      </c>
      <c r="M186" s="20"/>
      <c r="N186" s="20"/>
      <c r="O186" s="20"/>
      <c r="P186" s="19" t="s">
        <v>24</v>
      </c>
      <c r="Q186" s="19" t="s">
        <v>535</v>
      </c>
      <c r="R186" s="20"/>
      <c r="S186" s="20"/>
      <c r="T186" s="20"/>
      <c r="U186" s="20"/>
      <c r="V186" s="20"/>
    </row>
    <row r="187">
      <c r="A187" s="19" t="s">
        <v>570</v>
      </c>
      <c r="B187" s="19"/>
      <c r="C187" s="19"/>
      <c r="D187" s="19"/>
      <c r="E187" s="19"/>
      <c r="F187" s="20"/>
      <c r="G187" s="20"/>
      <c r="H187" s="19"/>
      <c r="I187" s="19"/>
      <c r="J187" s="19"/>
      <c r="K187" s="20"/>
      <c r="L187" s="19"/>
      <c r="M187" s="20"/>
      <c r="N187" s="20"/>
      <c r="O187" s="20"/>
      <c r="P187" s="19"/>
      <c r="Q187" s="19"/>
      <c r="R187" s="20"/>
      <c r="S187" s="20"/>
      <c r="T187" s="20"/>
      <c r="U187" s="20"/>
      <c r="V187" s="21">
        <f>SUM(B187:P187)/10</f>
        <v>0</v>
      </c>
    </row>
    <row r="188">
      <c r="A188" s="19">
        <v>244.0</v>
      </c>
      <c r="B188" s="19">
        <v>2248.0</v>
      </c>
      <c r="C188" s="19">
        <v>291.0</v>
      </c>
      <c r="D188" s="19">
        <v>35.3733</v>
      </c>
      <c r="E188" s="19">
        <v>-119.0187</v>
      </c>
      <c r="F188" s="20"/>
      <c r="G188" s="20"/>
      <c r="H188" s="19" t="s">
        <v>571</v>
      </c>
      <c r="I188" s="19" t="s">
        <v>18</v>
      </c>
      <c r="J188" s="19" t="s">
        <v>572</v>
      </c>
      <c r="K188" s="20"/>
      <c r="L188" s="19" t="s">
        <v>573</v>
      </c>
      <c r="M188" s="20"/>
      <c r="N188" s="20"/>
      <c r="O188" s="20"/>
      <c r="P188" s="19" t="s">
        <v>24</v>
      </c>
      <c r="Q188" s="19" t="s">
        <v>543</v>
      </c>
      <c r="R188" s="20"/>
      <c r="S188" s="20"/>
      <c r="T188" s="20"/>
      <c r="U188" s="20"/>
      <c r="V188" s="20"/>
    </row>
    <row r="189">
      <c r="A189" s="19" t="s">
        <v>574</v>
      </c>
      <c r="B189" s="19"/>
      <c r="C189" s="19"/>
      <c r="D189" s="19"/>
      <c r="E189" s="19"/>
      <c r="F189" s="20"/>
      <c r="G189" s="20"/>
      <c r="H189" s="19"/>
      <c r="I189" s="19"/>
      <c r="J189" s="19"/>
      <c r="K189" s="20"/>
      <c r="L189" s="19"/>
      <c r="M189" s="20"/>
      <c r="N189" s="20"/>
      <c r="O189" s="20"/>
      <c r="P189" s="19"/>
      <c r="Q189" s="19"/>
      <c r="R189" s="20"/>
      <c r="S189" s="20"/>
      <c r="T189" s="20"/>
      <c r="U189" s="20"/>
      <c r="V189" s="21">
        <f>SUM(B189:P189)/10</f>
        <v>0</v>
      </c>
    </row>
    <row r="190">
      <c r="A190" s="19">
        <v>245.0</v>
      </c>
      <c r="B190" s="19">
        <v>2248.0</v>
      </c>
      <c r="C190" s="19">
        <v>291.0</v>
      </c>
      <c r="D190" s="19">
        <v>38.5236</v>
      </c>
      <c r="E190" s="19">
        <v>-121.259</v>
      </c>
      <c r="F190" s="20"/>
      <c r="G190" s="20"/>
      <c r="H190" s="19" t="s">
        <v>575</v>
      </c>
      <c r="I190" s="19" t="s">
        <v>18</v>
      </c>
      <c r="J190" s="19" t="s">
        <v>576</v>
      </c>
      <c r="K190" s="20"/>
      <c r="L190" s="19" t="s">
        <v>407</v>
      </c>
      <c r="M190" s="20"/>
      <c r="N190" s="20"/>
      <c r="O190" s="20"/>
      <c r="P190" s="19" t="s">
        <v>24</v>
      </c>
      <c r="Q190" s="19" t="s">
        <v>539</v>
      </c>
      <c r="R190" s="20"/>
      <c r="S190" s="20"/>
      <c r="T190" s="20"/>
      <c r="U190" s="20"/>
      <c r="V190" s="20"/>
    </row>
    <row r="191">
      <c r="A191" s="19" t="s">
        <v>577</v>
      </c>
      <c r="B191" s="19"/>
      <c r="C191" s="19"/>
      <c r="D191" s="19"/>
      <c r="E191" s="19"/>
      <c r="F191" s="20"/>
      <c r="G191" s="20"/>
      <c r="H191" s="19"/>
      <c r="I191" s="19"/>
      <c r="J191" s="19"/>
      <c r="K191" s="20"/>
      <c r="L191" s="19"/>
      <c r="M191" s="20"/>
      <c r="N191" s="20"/>
      <c r="O191" s="20"/>
      <c r="P191" s="19"/>
      <c r="Q191" s="19"/>
      <c r="R191" s="20"/>
      <c r="S191" s="20"/>
      <c r="T191" s="20"/>
      <c r="U191" s="20"/>
      <c r="V191" s="21">
        <f>SUM(B191:P191)/10</f>
        <v>0</v>
      </c>
    </row>
    <row r="192">
      <c r="A192" s="19">
        <v>246.0</v>
      </c>
      <c r="B192" s="19">
        <v>2248.0</v>
      </c>
      <c r="C192" s="19">
        <v>291.0</v>
      </c>
      <c r="D192" s="19">
        <v>41.5894</v>
      </c>
      <c r="E192" s="19">
        <v>-122.2267</v>
      </c>
      <c r="F192" s="20"/>
      <c r="G192" s="20"/>
      <c r="H192" s="19" t="s">
        <v>578</v>
      </c>
      <c r="I192" s="19" t="s">
        <v>18</v>
      </c>
      <c r="J192" s="19" t="s">
        <v>579</v>
      </c>
      <c r="K192" s="20"/>
      <c r="L192" s="19" t="s">
        <v>107</v>
      </c>
      <c r="M192" s="20"/>
      <c r="N192" s="20"/>
      <c r="O192" s="20"/>
      <c r="P192" s="19" t="s">
        <v>24</v>
      </c>
      <c r="Q192" s="19" t="s">
        <v>543</v>
      </c>
      <c r="R192" s="20"/>
      <c r="S192" s="20"/>
      <c r="T192" s="20"/>
      <c r="U192" s="20"/>
      <c r="V192" s="20"/>
    </row>
    <row r="193">
      <c r="A193" s="19" t="s">
        <v>580</v>
      </c>
      <c r="B193" s="19"/>
      <c r="C193" s="19"/>
      <c r="D193" s="19"/>
      <c r="E193" s="19"/>
      <c r="F193" s="20"/>
      <c r="G193" s="20"/>
      <c r="H193" s="19"/>
      <c r="I193" s="19"/>
      <c r="J193" s="19"/>
      <c r="K193" s="20"/>
      <c r="L193" s="19"/>
      <c r="M193" s="20"/>
      <c r="N193" s="20"/>
      <c r="O193" s="20"/>
      <c r="P193" s="19"/>
      <c r="Q193" s="19"/>
      <c r="R193" s="20"/>
      <c r="S193" s="20"/>
      <c r="T193" s="20"/>
      <c r="U193" s="20"/>
      <c r="V193" s="21">
        <f>SUM(B193:P193)/10</f>
        <v>0</v>
      </c>
    </row>
    <row r="194">
      <c r="A194" s="2">
        <v>278.0</v>
      </c>
      <c r="B194" s="2">
        <v>2294.0</v>
      </c>
      <c r="C194" s="2">
        <v>265.0</v>
      </c>
      <c r="D194" s="1"/>
      <c r="E194" s="1"/>
      <c r="H194" s="3" t="s">
        <v>581</v>
      </c>
      <c r="I194" s="3" t="s">
        <v>582</v>
      </c>
      <c r="K194" s="3" t="s">
        <v>583</v>
      </c>
      <c r="L194" s="1"/>
      <c r="M194" s="3" t="s">
        <v>584</v>
      </c>
      <c r="O194" s="3" t="s">
        <v>231</v>
      </c>
      <c r="P194" s="3" t="s">
        <v>232</v>
      </c>
      <c r="Q194" s="2" t="s">
        <v>585</v>
      </c>
    </row>
    <row r="195">
      <c r="A195" s="2" t="s">
        <v>586</v>
      </c>
      <c r="B195" s="2"/>
      <c r="C195" s="2"/>
      <c r="D195" s="1"/>
      <c r="E195" s="1"/>
      <c r="F195" s="3">
        <v>1.0</v>
      </c>
      <c r="G195" s="3">
        <v>1.0</v>
      </c>
      <c r="H195" s="3">
        <v>0.0</v>
      </c>
      <c r="I195" s="3">
        <v>0.5</v>
      </c>
      <c r="J195" s="3">
        <v>0.5</v>
      </c>
      <c r="K195" s="3">
        <v>1.0</v>
      </c>
      <c r="L195" s="1"/>
      <c r="M195" s="3">
        <v>1.0</v>
      </c>
      <c r="N195" s="3">
        <v>0.5</v>
      </c>
      <c r="O195" s="3">
        <v>1.0</v>
      </c>
      <c r="P195" s="3">
        <v>1.0</v>
      </c>
      <c r="Q195" s="2"/>
      <c r="V195" s="5">
        <f>SUM(B195:P195)/10</f>
        <v>0.75</v>
      </c>
    </row>
    <row r="196">
      <c r="A196" s="2">
        <v>47.0</v>
      </c>
      <c r="B196" s="2">
        <v>2717.0</v>
      </c>
      <c r="C196" s="2">
        <v>45.0</v>
      </c>
      <c r="D196" s="2">
        <v>35.289</v>
      </c>
      <c r="E196" s="2">
        <v>-119.062</v>
      </c>
      <c r="H196" s="3" t="s">
        <v>587</v>
      </c>
      <c r="I196" s="3" t="s">
        <v>588</v>
      </c>
      <c r="J196" s="3" t="s">
        <v>589</v>
      </c>
      <c r="L196" s="2" t="s">
        <v>573</v>
      </c>
      <c r="M196" s="3" t="s">
        <v>590</v>
      </c>
      <c r="N196" s="3" t="s">
        <v>591</v>
      </c>
      <c r="O196" s="3" t="s">
        <v>224</v>
      </c>
      <c r="P196" s="3" t="s">
        <v>24</v>
      </c>
      <c r="Q196" s="2" t="s">
        <v>592</v>
      </c>
    </row>
    <row r="197">
      <c r="A197" s="2" t="s">
        <v>593</v>
      </c>
      <c r="B197" s="2"/>
      <c r="C197" s="2"/>
      <c r="D197" s="2"/>
      <c r="E197" s="2"/>
      <c r="F197" s="3">
        <v>1.0</v>
      </c>
      <c r="G197" s="3">
        <v>1.0</v>
      </c>
      <c r="H197" s="3">
        <v>1.0</v>
      </c>
      <c r="I197" s="3">
        <v>1.0</v>
      </c>
      <c r="J197" s="3">
        <v>1.0</v>
      </c>
      <c r="K197" s="3">
        <v>1.0</v>
      </c>
      <c r="L197" s="2"/>
      <c r="M197" s="3">
        <v>1.0</v>
      </c>
      <c r="N197" s="3">
        <v>1.0</v>
      </c>
      <c r="O197" s="3">
        <v>0.0</v>
      </c>
      <c r="P197" s="3">
        <v>1.0</v>
      </c>
      <c r="Q197" s="2"/>
      <c r="V197" s="5">
        <f>SUM(B197:P197)/10</f>
        <v>0.9</v>
      </c>
    </row>
    <row r="198">
      <c r="A198" s="2">
        <v>281.0</v>
      </c>
      <c r="B198" s="2">
        <v>2913.0</v>
      </c>
      <c r="C198" s="2">
        <v>280.0</v>
      </c>
      <c r="D198" s="1"/>
      <c r="E198" s="1"/>
      <c r="F198" s="3">
        <v>33.745</v>
      </c>
      <c r="G198" s="3">
        <v>-116.534722</v>
      </c>
      <c r="H198" s="3" t="s">
        <v>594</v>
      </c>
      <c r="I198" s="3" t="s">
        <v>595</v>
      </c>
      <c r="J198" s="3" t="s">
        <v>596</v>
      </c>
      <c r="K198" s="3" t="s">
        <v>207</v>
      </c>
      <c r="L198" s="1"/>
      <c r="M198" s="3" t="s">
        <v>597</v>
      </c>
      <c r="N198" s="3" t="s">
        <v>22</v>
      </c>
      <c r="O198" s="3" t="s">
        <v>598</v>
      </c>
      <c r="P198" s="3" t="s">
        <v>24</v>
      </c>
      <c r="Q198" s="2" t="s">
        <v>599</v>
      </c>
    </row>
    <row r="199">
      <c r="A199" s="2" t="s">
        <v>600</v>
      </c>
      <c r="B199" s="2"/>
      <c r="C199" s="2"/>
      <c r="D199" s="1"/>
      <c r="E199" s="1"/>
      <c r="F199" s="3">
        <v>1.0</v>
      </c>
      <c r="G199" s="3">
        <v>1.0</v>
      </c>
      <c r="H199" s="3">
        <v>1.0</v>
      </c>
      <c r="I199" s="3">
        <v>0.5</v>
      </c>
      <c r="J199" s="3">
        <v>1.0</v>
      </c>
      <c r="K199" s="3">
        <v>0.0</v>
      </c>
      <c r="L199" s="1"/>
      <c r="M199" s="3">
        <v>1.0</v>
      </c>
      <c r="N199" s="3">
        <v>1.0</v>
      </c>
      <c r="O199" s="3">
        <v>1.0</v>
      </c>
      <c r="P199" s="3">
        <v>1.0</v>
      </c>
      <c r="Q199" s="2"/>
      <c r="V199" s="5">
        <f>SUM(B199:P199)/10</f>
        <v>0.85</v>
      </c>
    </row>
    <row r="200">
      <c r="A200" s="2">
        <v>282.0</v>
      </c>
      <c r="B200" s="2">
        <v>2913.0</v>
      </c>
      <c r="C200" s="2">
        <v>280.0</v>
      </c>
      <c r="D200" s="1"/>
      <c r="E200" s="1"/>
      <c r="F200" s="3">
        <v>33.745</v>
      </c>
      <c r="G200" s="3">
        <v>-116.534722</v>
      </c>
      <c r="H200" s="3" t="s">
        <v>594</v>
      </c>
      <c r="I200" s="3" t="s">
        <v>601</v>
      </c>
      <c r="J200" s="3" t="s">
        <v>602</v>
      </c>
      <c r="K200" s="3" t="s">
        <v>207</v>
      </c>
      <c r="L200" s="1"/>
      <c r="M200" s="3" t="s">
        <v>603</v>
      </c>
      <c r="N200" s="3" t="s">
        <v>22</v>
      </c>
      <c r="O200" s="3" t="s">
        <v>598</v>
      </c>
      <c r="P200" s="3" t="s">
        <v>24</v>
      </c>
      <c r="Q200" s="2" t="s">
        <v>599</v>
      </c>
    </row>
    <row r="201">
      <c r="A201" s="2" t="s">
        <v>604</v>
      </c>
      <c r="B201" s="2"/>
      <c r="C201" s="2"/>
      <c r="D201" s="1"/>
      <c r="E201" s="1"/>
      <c r="F201" s="3">
        <v>1.0</v>
      </c>
      <c r="G201" s="3">
        <v>1.0</v>
      </c>
      <c r="H201" s="3">
        <v>1.0</v>
      </c>
      <c r="I201" s="3">
        <v>0.5</v>
      </c>
      <c r="J201" s="3">
        <v>1.0</v>
      </c>
      <c r="K201" s="3">
        <v>0.0</v>
      </c>
      <c r="L201" s="1"/>
      <c r="M201" s="3">
        <v>1.0</v>
      </c>
      <c r="N201" s="3">
        <v>1.0</v>
      </c>
      <c r="O201" s="3">
        <v>1.0</v>
      </c>
      <c r="P201" s="3">
        <v>1.0</v>
      </c>
      <c r="Q201" s="2"/>
      <c r="V201" s="5">
        <f>SUM(B201:P201)/10</f>
        <v>0.85</v>
      </c>
    </row>
    <row r="202">
      <c r="A202" s="2">
        <v>250.0</v>
      </c>
      <c r="B202" s="2">
        <v>2993.0</v>
      </c>
      <c r="C202" s="2">
        <v>57.0</v>
      </c>
      <c r="D202" s="2">
        <v>34.6667</v>
      </c>
      <c r="E202" s="2">
        <v>-120.0833</v>
      </c>
      <c r="H202" s="3" t="s">
        <v>605</v>
      </c>
      <c r="I202" s="3" t="s">
        <v>18</v>
      </c>
      <c r="J202" s="3" t="s">
        <v>606</v>
      </c>
      <c r="L202" s="2" t="s">
        <v>192</v>
      </c>
      <c r="M202" s="3" t="s">
        <v>607</v>
      </c>
      <c r="N202" s="3" t="s">
        <v>608</v>
      </c>
      <c r="O202" s="3" t="s">
        <v>609</v>
      </c>
      <c r="P202" s="3" t="s">
        <v>232</v>
      </c>
      <c r="Q202" s="2" t="s">
        <v>610</v>
      </c>
    </row>
    <row r="203">
      <c r="A203" s="2" t="s">
        <v>611</v>
      </c>
      <c r="B203" s="2"/>
      <c r="C203" s="2"/>
      <c r="D203" s="2"/>
      <c r="E203" s="2"/>
      <c r="F203" s="3">
        <v>1.0</v>
      </c>
      <c r="G203" s="3">
        <v>1.0</v>
      </c>
      <c r="H203" s="3">
        <v>1.0</v>
      </c>
      <c r="I203" s="3">
        <v>1.0</v>
      </c>
      <c r="J203" s="3">
        <v>1.0</v>
      </c>
      <c r="K203" s="3">
        <v>1.0</v>
      </c>
      <c r="L203" s="2"/>
      <c r="M203" s="3">
        <v>1.0</v>
      </c>
      <c r="N203" s="3">
        <v>1.0</v>
      </c>
      <c r="O203" s="3">
        <v>1.0</v>
      </c>
      <c r="P203" s="3">
        <v>1.0</v>
      </c>
      <c r="Q203" s="2"/>
      <c r="V203" s="5">
        <f>SUM(B203:P203)/10</f>
        <v>1</v>
      </c>
    </row>
    <row r="204">
      <c r="A204" s="2">
        <v>251.0</v>
      </c>
      <c r="B204" s="2">
        <v>2993.0</v>
      </c>
      <c r="C204" s="2">
        <v>57.0</v>
      </c>
      <c r="D204" s="2">
        <v>34.6667</v>
      </c>
      <c r="E204" s="2">
        <v>-120.0833</v>
      </c>
      <c r="H204" s="3" t="s">
        <v>605</v>
      </c>
      <c r="I204" s="3" t="s">
        <v>18</v>
      </c>
      <c r="J204" s="3" t="s">
        <v>528</v>
      </c>
      <c r="L204" s="2" t="s">
        <v>192</v>
      </c>
      <c r="M204" s="3" t="s">
        <v>612</v>
      </c>
      <c r="N204" s="3" t="s">
        <v>608</v>
      </c>
      <c r="O204" s="3" t="s">
        <v>613</v>
      </c>
      <c r="P204" s="3" t="s">
        <v>270</v>
      </c>
      <c r="Q204" s="2" t="s">
        <v>614</v>
      </c>
    </row>
    <row r="205">
      <c r="A205" s="2" t="s">
        <v>615</v>
      </c>
      <c r="B205" s="2"/>
      <c r="C205" s="2"/>
      <c r="D205" s="2"/>
      <c r="E205" s="2"/>
      <c r="F205" s="3">
        <v>1.0</v>
      </c>
      <c r="G205" s="3">
        <v>1.0</v>
      </c>
      <c r="H205" s="3">
        <v>1.0</v>
      </c>
      <c r="I205" s="3">
        <v>1.0</v>
      </c>
      <c r="J205" s="3">
        <v>1.0</v>
      </c>
      <c r="K205" s="3">
        <v>1.0</v>
      </c>
      <c r="L205" s="2"/>
      <c r="M205" s="3">
        <v>1.0</v>
      </c>
      <c r="N205" s="3">
        <v>1.0</v>
      </c>
      <c r="O205" s="3">
        <v>1.0</v>
      </c>
      <c r="P205" s="3">
        <v>1.0</v>
      </c>
      <c r="Q205" s="2"/>
      <c r="V205" s="5">
        <f>SUM(B205:P205)/10</f>
        <v>1</v>
      </c>
    </row>
    <row r="206">
      <c r="A206" s="2">
        <v>48.0</v>
      </c>
      <c r="B206" s="2">
        <v>3033.0</v>
      </c>
      <c r="C206" s="2">
        <v>212.0</v>
      </c>
      <c r="D206" s="1"/>
      <c r="E206" s="1"/>
      <c r="F206" s="3">
        <v>37.0666667</v>
      </c>
      <c r="G206" s="3">
        <v>-119.6472222</v>
      </c>
      <c r="H206" s="3" t="s">
        <v>616</v>
      </c>
      <c r="I206" s="3" t="s">
        <v>617</v>
      </c>
      <c r="J206" s="3" t="s">
        <v>152</v>
      </c>
      <c r="L206" s="2" t="s">
        <v>618</v>
      </c>
      <c r="M206" s="3" t="s">
        <v>619</v>
      </c>
      <c r="N206" s="3" t="s">
        <v>620</v>
      </c>
      <c r="O206" s="3" t="s">
        <v>621</v>
      </c>
      <c r="P206" s="3" t="s">
        <v>24</v>
      </c>
      <c r="Q206" s="2" t="s">
        <v>622</v>
      </c>
    </row>
    <row r="207">
      <c r="A207" s="2" t="s">
        <v>623</v>
      </c>
      <c r="B207" s="2"/>
      <c r="C207" s="2"/>
      <c r="D207" s="1"/>
      <c r="E207" s="1"/>
      <c r="F207" s="3">
        <v>1.0</v>
      </c>
      <c r="G207" s="3">
        <v>1.0</v>
      </c>
      <c r="H207" s="3">
        <v>0.0</v>
      </c>
      <c r="I207" s="3">
        <v>0.5</v>
      </c>
      <c r="J207" s="3">
        <v>1.0</v>
      </c>
      <c r="K207" s="3">
        <v>1.0</v>
      </c>
      <c r="L207" s="2"/>
      <c r="M207" s="3">
        <v>0.5</v>
      </c>
      <c r="N207" s="3">
        <v>1.0</v>
      </c>
      <c r="O207" s="3">
        <v>1.0</v>
      </c>
      <c r="P207" s="3"/>
      <c r="Q207" s="2"/>
      <c r="V207" s="5">
        <f>SUM(B207:P207)/10</f>
        <v>0.7</v>
      </c>
    </row>
    <row r="208">
      <c r="A208" s="2">
        <v>49.0</v>
      </c>
      <c r="B208" s="2">
        <v>3033.0</v>
      </c>
      <c r="C208" s="2">
        <v>212.0</v>
      </c>
      <c r="D208" s="1"/>
      <c r="E208" s="1"/>
      <c r="F208" s="3">
        <v>36.6188889</v>
      </c>
      <c r="G208" s="3">
        <v>-120.6727778</v>
      </c>
      <c r="H208" s="3" t="s">
        <v>624</v>
      </c>
      <c r="I208" s="3" t="s">
        <v>625</v>
      </c>
      <c r="J208" s="3" t="s">
        <v>626</v>
      </c>
      <c r="L208" s="2" t="s">
        <v>618</v>
      </c>
      <c r="M208" s="3">
        <v>1958.0</v>
      </c>
      <c r="N208" s="3" t="s">
        <v>627</v>
      </c>
      <c r="O208" s="3" t="s">
        <v>621</v>
      </c>
      <c r="P208" s="3" t="s">
        <v>24</v>
      </c>
      <c r="Q208" s="2" t="s">
        <v>628</v>
      </c>
    </row>
    <row r="209">
      <c r="A209" s="2" t="s">
        <v>629</v>
      </c>
      <c r="B209" s="2"/>
      <c r="C209" s="2"/>
      <c r="D209" s="1"/>
      <c r="E209" s="1"/>
      <c r="F209" s="3">
        <v>1.0</v>
      </c>
      <c r="G209" s="3">
        <v>1.0</v>
      </c>
      <c r="H209" s="3">
        <v>0.0</v>
      </c>
      <c r="I209" s="3">
        <v>0.5</v>
      </c>
      <c r="J209" s="3">
        <v>1.0</v>
      </c>
      <c r="K209" s="3">
        <v>1.0</v>
      </c>
      <c r="L209" s="2"/>
      <c r="M209" s="3">
        <v>1.0</v>
      </c>
      <c r="N209" s="3">
        <v>1.0</v>
      </c>
      <c r="O209" s="3">
        <v>1.0</v>
      </c>
      <c r="P209" s="3">
        <v>1.0</v>
      </c>
      <c r="Q209" s="2"/>
      <c r="V209" s="5">
        <f>SUM(B209:P209)/10</f>
        <v>0.85</v>
      </c>
    </row>
    <row r="210">
      <c r="A210" s="2">
        <v>230.0</v>
      </c>
      <c r="B210" s="2">
        <v>3089.0</v>
      </c>
      <c r="C210" s="2">
        <v>401.0</v>
      </c>
      <c r="D210" s="2">
        <v>39.3377</v>
      </c>
      <c r="E210" s="2">
        <v>-123.3719</v>
      </c>
      <c r="H210" s="3" t="s">
        <v>630</v>
      </c>
      <c r="I210" s="3" t="s">
        <v>18</v>
      </c>
      <c r="J210" s="3" t="s">
        <v>631</v>
      </c>
      <c r="K210" s="3" t="s">
        <v>319</v>
      </c>
      <c r="L210" s="2" t="s">
        <v>319</v>
      </c>
      <c r="M210" s="3" t="s">
        <v>395</v>
      </c>
      <c r="N210" s="3" t="s">
        <v>186</v>
      </c>
      <c r="O210" s="3" t="s">
        <v>420</v>
      </c>
      <c r="P210" s="3" t="s">
        <v>24</v>
      </c>
      <c r="Q210" s="2" t="s">
        <v>421</v>
      </c>
    </row>
    <row r="211">
      <c r="A211" s="2" t="s">
        <v>632</v>
      </c>
      <c r="B211" s="2"/>
      <c r="C211" s="2"/>
      <c r="D211" s="2"/>
      <c r="E211" s="2"/>
      <c r="F211" s="3">
        <v>1.0</v>
      </c>
      <c r="G211" s="3">
        <v>1.0</v>
      </c>
      <c r="H211" s="3">
        <v>1.0</v>
      </c>
      <c r="I211" s="3">
        <v>1.0</v>
      </c>
      <c r="J211" s="3">
        <v>1.0</v>
      </c>
      <c r="K211" s="3">
        <v>0.0</v>
      </c>
      <c r="L211" s="2"/>
      <c r="M211" s="3">
        <v>1.0</v>
      </c>
      <c r="N211" s="3">
        <v>1.0</v>
      </c>
      <c r="O211" s="3">
        <v>1.0</v>
      </c>
      <c r="P211" s="3">
        <v>1.0</v>
      </c>
      <c r="Q211" s="2"/>
      <c r="V211" s="5">
        <f>SUM(B211:P211)/10</f>
        <v>0.9</v>
      </c>
    </row>
    <row r="212">
      <c r="A212" s="2">
        <v>4.0</v>
      </c>
      <c r="B212" s="2">
        <v>3089.0</v>
      </c>
      <c r="C212" s="2">
        <v>402.0</v>
      </c>
      <c r="D212" s="1"/>
      <c r="E212" s="1"/>
      <c r="F212" s="3">
        <v>39.61806</v>
      </c>
      <c r="G212" s="3">
        <v>-123.35556</v>
      </c>
      <c r="H212" s="3" t="s">
        <v>633</v>
      </c>
      <c r="I212" s="3" t="s">
        <v>634</v>
      </c>
      <c r="J212" s="3" t="s">
        <v>635</v>
      </c>
      <c r="K212" s="3" t="s">
        <v>295</v>
      </c>
      <c r="L212" s="1"/>
      <c r="M212" s="3" t="s">
        <v>636</v>
      </c>
      <c r="N212" s="3" t="s">
        <v>637</v>
      </c>
      <c r="O212" s="3" t="s">
        <v>165</v>
      </c>
      <c r="P212" s="3" t="s">
        <v>24</v>
      </c>
      <c r="Q212" s="2" t="s">
        <v>141</v>
      </c>
    </row>
    <row r="213">
      <c r="A213" s="2" t="s">
        <v>638</v>
      </c>
      <c r="B213" s="2"/>
      <c r="C213" s="2"/>
      <c r="D213" s="1"/>
      <c r="E213" s="1"/>
      <c r="F213" s="3">
        <v>1.0</v>
      </c>
      <c r="G213" s="3">
        <v>1.0</v>
      </c>
      <c r="H213" s="3">
        <v>1.0</v>
      </c>
      <c r="I213" s="3">
        <v>0.5</v>
      </c>
      <c r="J213" s="3">
        <v>1.0</v>
      </c>
      <c r="K213" s="3">
        <v>0.0</v>
      </c>
      <c r="L213" s="1"/>
      <c r="M213" s="3">
        <v>1.0</v>
      </c>
      <c r="N213" s="3">
        <v>1.0</v>
      </c>
      <c r="O213" s="3">
        <v>1.0</v>
      </c>
      <c r="P213" s="3">
        <v>1.0</v>
      </c>
      <c r="Q213" s="2"/>
      <c r="V213" s="5">
        <f>SUM(B213:P213)/10</f>
        <v>0.85</v>
      </c>
    </row>
    <row r="214">
      <c r="A214" s="2">
        <v>127.0</v>
      </c>
      <c r="B214" s="2">
        <v>3090.0</v>
      </c>
      <c r="C214" s="2">
        <v>95.0</v>
      </c>
      <c r="D214" s="1"/>
      <c r="E214" s="1"/>
      <c r="F214" s="3">
        <v>40.514444</v>
      </c>
      <c r="G214" s="3">
        <v>-122.522222</v>
      </c>
      <c r="H214" s="3" t="s">
        <v>639</v>
      </c>
      <c r="I214" s="3" t="s">
        <v>640</v>
      </c>
      <c r="J214" s="3" t="s">
        <v>641</v>
      </c>
      <c r="K214" s="3" t="s">
        <v>642</v>
      </c>
      <c r="L214" s="1"/>
      <c r="M214" s="3" t="s">
        <v>643</v>
      </c>
      <c r="N214" s="3" t="s">
        <v>56</v>
      </c>
      <c r="O214" s="3" t="s">
        <v>644</v>
      </c>
      <c r="P214" s="3" t="s">
        <v>24</v>
      </c>
      <c r="Q214" s="2" t="s">
        <v>645</v>
      </c>
    </row>
    <row r="215">
      <c r="A215" s="2" t="s">
        <v>646</v>
      </c>
      <c r="B215" s="2"/>
      <c r="C215" s="2"/>
      <c r="D215" s="1"/>
      <c r="E215" s="1"/>
      <c r="F215" s="3">
        <v>1.0</v>
      </c>
      <c r="G215" s="3">
        <v>1.0</v>
      </c>
      <c r="H215" s="3">
        <v>1.0</v>
      </c>
      <c r="I215" s="3">
        <v>0.5</v>
      </c>
      <c r="J215" s="3">
        <v>1.0</v>
      </c>
      <c r="K215" s="3">
        <v>0.0</v>
      </c>
      <c r="L215" s="1"/>
      <c r="M215" s="3">
        <v>1.0</v>
      </c>
      <c r="N215" s="3">
        <v>0.0</v>
      </c>
      <c r="O215" s="3">
        <v>1.0</v>
      </c>
      <c r="P215" s="3">
        <v>1.0</v>
      </c>
      <c r="Q215" s="2"/>
      <c r="V215" s="5">
        <f>SUM(B215:P215)/10</f>
        <v>0.75</v>
      </c>
    </row>
    <row r="216">
      <c r="A216" s="2">
        <v>84.0</v>
      </c>
      <c r="B216" s="2">
        <v>3117.0</v>
      </c>
      <c r="C216" s="2">
        <v>697.0</v>
      </c>
      <c r="D216" s="2">
        <v>39.0321</v>
      </c>
      <c r="E216" s="2">
        <v>-122.8833</v>
      </c>
      <c r="F216" s="3">
        <v>39.0321</v>
      </c>
      <c r="G216" s="3">
        <v>-122.8833</v>
      </c>
      <c r="H216" s="3" t="s">
        <v>647</v>
      </c>
      <c r="I216" s="3" t="s">
        <v>18</v>
      </c>
      <c r="J216" s="3" t="s">
        <v>648</v>
      </c>
      <c r="K216" s="3" t="s">
        <v>116</v>
      </c>
      <c r="L216" s="2" t="s">
        <v>116</v>
      </c>
      <c r="M216" s="3" t="s">
        <v>649</v>
      </c>
      <c r="N216" s="3" t="s">
        <v>56</v>
      </c>
      <c r="O216" s="3" t="s">
        <v>650</v>
      </c>
      <c r="P216" s="3" t="s">
        <v>24</v>
      </c>
      <c r="Q216" s="2" t="s">
        <v>392</v>
      </c>
    </row>
    <row r="217">
      <c r="A217" s="2" t="s">
        <v>651</v>
      </c>
      <c r="B217" s="2"/>
      <c r="C217" s="2"/>
      <c r="D217" s="2"/>
      <c r="E217" s="2"/>
      <c r="F217" s="3">
        <v>0.0</v>
      </c>
      <c r="G217" s="3">
        <v>0.0</v>
      </c>
      <c r="H217" s="3">
        <v>1.0</v>
      </c>
      <c r="I217" s="3">
        <v>1.0</v>
      </c>
      <c r="J217" s="3">
        <v>1.0</v>
      </c>
      <c r="K217" s="3">
        <v>0.0</v>
      </c>
      <c r="L217" s="2"/>
      <c r="M217" s="3">
        <v>1.0</v>
      </c>
      <c r="N217" s="3">
        <v>1.0</v>
      </c>
      <c r="O217" s="3">
        <v>1.0</v>
      </c>
      <c r="P217" s="3">
        <v>1.0</v>
      </c>
      <c r="Q217" s="2"/>
      <c r="V217" s="5">
        <f>SUM(B217:P217)/10</f>
        <v>0.7</v>
      </c>
    </row>
    <row r="218">
      <c r="A218" s="2">
        <v>85.0</v>
      </c>
      <c r="B218" s="2">
        <v>3117.0</v>
      </c>
      <c r="C218" s="2">
        <v>697.0</v>
      </c>
      <c r="D218" s="2">
        <v>39.0321</v>
      </c>
      <c r="E218" s="2">
        <v>-122.8833</v>
      </c>
      <c r="F218" s="3">
        <v>39.0321</v>
      </c>
      <c r="G218" s="3">
        <v>-122.8833</v>
      </c>
      <c r="H218" s="3" t="s">
        <v>647</v>
      </c>
      <c r="I218" s="3" t="s">
        <v>18</v>
      </c>
      <c r="J218" s="3" t="s">
        <v>648</v>
      </c>
      <c r="K218" s="3" t="s">
        <v>116</v>
      </c>
      <c r="L218" s="2" t="s">
        <v>116</v>
      </c>
      <c r="M218" s="3" t="s">
        <v>652</v>
      </c>
      <c r="N218" s="3" t="s">
        <v>56</v>
      </c>
      <c r="O218" s="3" t="s">
        <v>650</v>
      </c>
      <c r="P218" s="3" t="s">
        <v>24</v>
      </c>
      <c r="Q218" s="2" t="s">
        <v>392</v>
      </c>
    </row>
    <row r="219">
      <c r="A219" s="2" t="s">
        <v>653</v>
      </c>
      <c r="B219" s="2"/>
      <c r="C219" s="2"/>
      <c r="D219" s="2"/>
      <c r="E219" s="2"/>
      <c r="F219" s="3">
        <v>0.0</v>
      </c>
      <c r="G219" s="3">
        <v>0.0</v>
      </c>
      <c r="H219" s="3">
        <v>1.0</v>
      </c>
      <c r="I219" s="3">
        <v>1.0</v>
      </c>
      <c r="J219" s="3">
        <v>1.0</v>
      </c>
      <c r="K219" s="3">
        <v>0.0</v>
      </c>
      <c r="L219" s="2"/>
      <c r="M219" s="3">
        <v>1.0</v>
      </c>
      <c r="N219" s="3">
        <v>1.0</v>
      </c>
      <c r="O219" s="3">
        <v>1.0</v>
      </c>
      <c r="P219" s="3">
        <v>1.0</v>
      </c>
      <c r="Q219" s="2"/>
      <c r="V219" s="5">
        <f>SUM(B219:P219)/10</f>
        <v>0.7</v>
      </c>
    </row>
    <row r="220">
      <c r="A220" s="2">
        <v>82.0</v>
      </c>
      <c r="B220" s="2">
        <v>3150.0</v>
      </c>
      <c r="C220" s="2">
        <v>342.0</v>
      </c>
      <c r="D220" s="1"/>
      <c r="E220" s="1"/>
      <c r="F220" s="3">
        <v>37.1305</v>
      </c>
      <c r="G220" s="3">
        <v>-121.7161</v>
      </c>
      <c r="H220" s="3" t="s">
        <v>654</v>
      </c>
      <c r="I220" s="3" t="s">
        <v>18</v>
      </c>
      <c r="J220" s="3" t="s">
        <v>655</v>
      </c>
      <c r="K220" s="3" t="s">
        <v>656</v>
      </c>
      <c r="L220" s="1"/>
      <c r="M220" s="3" t="s">
        <v>657</v>
      </c>
      <c r="N220" s="3" t="s">
        <v>56</v>
      </c>
      <c r="O220" s="3" t="s">
        <v>658</v>
      </c>
      <c r="P220" s="3" t="s">
        <v>24</v>
      </c>
      <c r="Q220" s="2" t="s">
        <v>659</v>
      </c>
    </row>
    <row r="221">
      <c r="A221" s="2" t="s">
        <v>660</v>
      </c>
      <c r="B221" s="2"/>
      <c r="C221" s="2"/>
      <c r="D221" s="1"/>
      <c r="E221" s="1"/>
      <c r="F221" s="3">
        <v>0.0</v>
      </c>
      <c r="G221" s="3">
        <v>0.0</v>
      </c>
      <c r="H221" s="3">
        <v>1.0</v>
      </c>
      <c r="I221" s="3">
        <v>1.0</v>
      </c>
      <c r="J221" s="3">
        <v>1.0</v>
      </c>
      <c r="K221" s="3">
        <v>0.0</v>
      </c>
      <c r="L221" s="1"/>
      <c r="M221" s="3">
        <v>1.0</v>
      </c>
      <c r="N221" s="3">
        <v>1.0</v>
      </c>
      <c r="O221" s="3">
        <v>1.0</v>
      </c>
      <c r="P221" s="3">
        <v>1.0</v>
      </c>
      <c r="Q221" s="2"/>
      <c r="V221" s="5">
        <f>SUM(B221:P221)/10</f>
        <v>0.7</v>
      </c>
    </row>
    <row r="222">
      <c r="A222" s="2">
        <v>277.0</v>
      </c>
      <c r="B222" s="2">
        <v>3150.0</v>
      </c>
      <c r="C222" s="2">
        <v>706.0</v>
      </c>
      <c r="D222" s="2">
        <v>40.1439</v>
      </c>
      <c r="E222" s="2">
        <v>-124.0326</v>
      </c>
      <c r="F222" s="3">
        <v>40.1439</v>
      </c>
      <c r="G222" s="3">
        <v>-124.0326</v>
      </c>
      <c r="H222" s="3" t="s">
        <v>661</v>
      </c>
      <c r="I222" s="3" t="s">
        <v>18</v>
      </c>
      <c r="J222" s="3" t="s">
        <v>662</v>
      </c>
      <c r="K222" s="3" t="s">
        <v>295</v>
      </c>
      <c r="L222" s="2" t="s">
        <v>295</v>
      </c>
      <c r="M222" s="3" t="s">
        <v>663</v>
      </c>
      <c r="N222" s="3" t="s">
        <v>664</v>
      </c>
      <c r="O222" s="3" t="s">
        <v>665</v>
      </c>
      <c r="P222" s="3" t="s">
        <v>24</v>
      </c>
      <c r="Q222" s="2" t="s">
        <v>666</v>
      </c>
    </row>
    <row r="223">
      <c r="A223" s="2" t="s">
        <v>667</v>
      </c>
      <c r="B223" s="2"/>
      <c r="C223" s="2"/>
      <c r="D223" s="2"/>
      <c r="E223" s="2"/>
      <c r="F223" s="3">
        <v>0.0</v>
      </c>
      <c r="G223" s="3">
        <v>0.0</v>
      </c>
      <c r="H223" s="3">
        <v>1.0</v>
      </c>
      <c r="I223" s="3">
        <v>1.0</v>
      </c>
      <c r="J223" s="3">
        <v>1.0</v>
      </c>
      <c r="K223" s="3">
        <v>0.0</v>
      </c>
      <c r="L223" s="2"/>
      <c r="M223" s="3">
        <v>1.0</v>
      </c>
      <c r="N223" s="3">
        <v>1.0</v>
      </c>
      <c r="O223" s="3">
        <v>1.0</v>
      </c>
      <c r="P223" s="3">
        <v>1.0</v>
      </c>
      <c r="Q223" s="2"/>
      <c r="V223" s="5">
        <f>SUM(B223:P223)/10</f>
        <v>0.7</v>
      </c>
    </row>
    <row r="224">
      <c r="A224" s="2">
        <v>40.0</v>
      </c>
      <c r="B224" s="2">
        <v>3174.0</v>
      </c>
      <c r="C224" s="2">
        <v>32.0</v>
      </c>
      <c r="D224" s="1"/>
      <c r="E224" s="1"/>
      <c r="H224" s="3" t="s">
        <v>405</v>
      </c>
      <c r="I224" s="3" t="s">
        <v>18</v>
      </c>
      <c r="J224" s="3" t="s">
        <v>668</v>
      </c>
      <c r="K224" s="3" t="s">
        <v>418</v>
      </c>
      <c r="L224" s="1"/>
      <c r="P224" s="3" t="s">
        <v>669</v>
      </c>
      <c r="Q224" s="2" t="s">
        <v>670</v>
      </c>
    </row>
    <row r="225">
      <c r="A225" s="2" t="s">
        <v>671</v>
      </c>
      <c r="B225" s="2"/>
      <c r="C225" s="2"/>
      <c r="D225" s="1"/>
      <c r="E225" s="1"/>
      <c r="H225" s="3"/>
      <c r="I225" s="3"/>
      <c r="J225" s="3"/>
      <c r="K225" s="3"/>
      <c r="L225" s="1"/>
      <c r="P225" s="3"/>
      <c r="Q225" s="2"/>
      <c r="V225" s="21">
        <f>SUM(B225:P225)/10</f>
        <v>0</v>
      </c>
    </row>
    <row r="226">
      <c r="A226" s="2">
        <v>41.0</v>
      </c>
      <c r="B226" s="2">
        <v>3174.0</v>
      </c>
      <c r="C226" s="2">
        <v>32.0</v>
      </c>
      <c r="D226" s="2">
        <v>36.5</v>
      </c>
      <c r="E226" s="2">
        <v>-119.6</v>
      </c>
      <c r="H226" s="3" t="s">
        <v>405</v>
      </c>
      <c r="I226" s="3" t="s">
        <v>18</v>
      </c>
      <c r="J226" s="3" t="s">
        <v>672</v>
      </c>
      <c r="K226" s="3" t="s">
        <v>618</v>
      </c>
      <c r="L226" s="1"/>
      <c r="P226" s="3" t="s">
        <v>669</v>
      </c>
      <c r="Q226" s="2" t="s">
        <v>673</v>
      </c>
      <c r="V226" s="20"/>
    </row>
    <row r="227">
      <c r="A227" s="2" t="s">
        <v>674</v>
      </c>
      <c r="B227" s="2"/>
      <c r="C227" s="2"/>
      <c r="D227" s="2"/>
      <c r="E227" s="2"/>
      <c r="H227" s="3"/>
      <c r="I227" s="3"/>
      <c r="J227" s="3"/>
      <c r="K227" s="3"/>
      <c r="L227" s="1"/>
      <c r="P227" s="3"/>
      <c r="Q227" s="2"/>
      <c r="V227" s="21">
        <f>SUM(B227:P227)/10</f>
        <v>0</v>
      </c>
    </row>
    <row r="228">
      <c r="A228" s="2">
        <v>42.0</v>
      </c>
      <c r="B228" s="2">
        <v>3174.0</v>
      </c>
      <c r="C228" s="2">
        <v>32.0</v>
      </c>
      <c r="D228" s="2">
        <v>34.05</v>
      </c>
      <c r="E228" s="2">
        <v>-118.25</v>
      </c>
      <c r="H228" s="3" t="s">
        <v>405</v>
      </c>
      <c r="I228" s="3" t="s">
        <v>18</v>
      </c>
      <c r="J228" s="3" t="s">
        <v>675</v>
      </c>
      <c r="K228" s="3" t="s">
        <v>130</v>
      </c>
      <c r="L228" s="1"/>
      <c r="P228" s="3" t="s">
        <v>669</v>
      </c>
      <c r="Q228" s="2" t="s">
        <v>670</v>
      </c>
      <c r="V228" s="20"/>
    </row>
    <row r="229">
      <c r="A229" s="2" t="s">
        <v>676</v>
      </c>
      <c r="B229" s="2"/>
      <c r="C229" s="2"/>
      <c r="D229" s="2"/>
      <c r="E229" s="2"/>
      <c r="H229" s="3"/>
      <c r="I229" s="3"/>
      <c r="J229" s="3"/>
      <c r="K229" s="3"/>
      <c r="L229" s="1"/>
      <c r="P229" s="3"/>
      <c r="Q229" s="2"/>
      <c r="V229" s="21">
        <f>SUM(B229:P229)/10</f>
        <v>0</v>
      </c>
    </row>
    <row r="230">
      <c r="A230" s="2">
        <v>43.0</v>
      </c>
      <c r="B230" s="2">
        <v>3174.0</v>
      </c>
      <c r="C230" s="2">
        <v>32.0</v>
      </c>
      <c r="D230" s="2">
        <v>36.97</v>
      </c>
      <c r="E230" s="2">
        <v>-122.03</v>
      </c>
      <c r="H230" s="3" t="s">
        <v>405</v>
      </c>
      <c r="I230" s="3" t="s">
        <v>18</v>
      </c>
      <c r="J230" s="3" t="s">
        <v>677</v>
      </c>
      <c r="K230" s="3" t="s">
        <v>678</v>
      </c>
      <c r="L230" s="1"/>
      <c r="P230" s="3" t="s">
        <v>669</v>
      </c>
      <c r="Q230" s="2" t="s">
        <v>679</v>
      </c>
      <c r="V230" s="20"/>
    </row>
    <row r="231">
      <c r="A231" s="2" t="s">
        <v>680</v>
      </c>
      <c r="B231" s="2"/>
      <c r="C231" s="2"/>
      <c r="D231" s="2"/>
      <c r="E231" s="2"/>
      <c r="H231" s="3"/>
      <c r="I231" s="3"/>
      <c r="J231" s="3"/>
      <c r="K231" s="3"/>
      <c r="L231" s="1"/>
      <c r="P231" s="3"/>
      <c r="Q231" s="2"/>
      <c r="V231" s="21">
        <f>SUM(B231:P231)/10</f>
        <v>0</v>
      </c>
    </row>
    <row r="232">
      <c r="A232" s="2">
        <v>44.0</v>
      </c>
      <c r="B232" s="2">
        <v>3174.0</v>
      </c>
      <c r="C232" s="2">
        <v>32.0</v>
      </c>
      <c r="D232" s="2">
        <v>39.5</v>
      </c>
      <c r="E232" s="2">
        <v>-120.5</v>
      </c>
      <c r="H232" s="3" t="s">
        <v>405</v>
      </c>
      <c r="I232" s="3" t="s">
        <v>18</v>
      </c>
      <c r="J232" s="3" t="s">
        <v>681</v>
      </c>
      <c r="L232" s="1"/>
      <c r="P232" s="3" t="s">
        <v>669</v>
      </c>
      <c r="Q232" s="2" t="s">
        <v>682</v>
      </c>
      <c r="V232" s="20"/>
    </row>
    <row r="233">
      <c r="A233" s="2" t="s">
        <v>683</v>
      </c>
      <c r="B233" s="2"/>
      <c r="C233" s="2"/>
      <c r="D233" s="2"/>
      <c r="E233" s="2"/>
      <c r="H233" s="3"/>
      <c r="I233" s="3"/>
      <c r="J233" s="3"/>
      <c r="L233" s="1"/>
      <c r="P233" s="3"/>
      <c r="Q233" s="2"/>
      <c r="V233" s="21">
        <f>SUM(B233:P233)/10</f>
        <v>0</v>
      </c>
    </row>
    <row r="234">
      <c r="A234" s="2">
        <v>45.0</v>
      </c>
      <c r="B234" s="2">
        <v>3174.0</v>
      </c>
      <c r="C234" s="2">
        <v>32.0</v>
      </c>
      <c r="D234" s="2">
        <v>34.05</v>
      </c>
      <c r="E234" s="2">
        <v>-118.25</v>
      </c>
      <c r="H234" s="3" t="s">
        <v>405</v>
      </c>
      <c r="I234" s="3" t="s">
        <v>18</v>
      </c>
      <c r="J234" s="3" t="s">
        <v>684</v>
      </c>
      <c r="L234" s="1"/>
      <c r="P234" s="3" t="s">
        <v>669</v>
      </c>
      <c r="Q234" s="2" t="s">
        <v>685</v>
      </c>
      <c r="V234" s="20"/>
    </row>
    <row r="235">
      <c r="A235" s="2" t="s">
        <v>686</v>
      </c>
      <c r="B235" s="2"/>
      <c r="C235" s="2"/>
      <c r="D235" s="2"/>
      <c r="E235" s="2"/>
      <c r="H235" s="3"/>
      <c r="I235" s="3"/>
      <c r="J235" s="3"/>
      <c r="L235" s="1"/>
      <c r="P235" s="3"/>
      <c r="Q235" s="2"/>
      <c r="V235" s="21">
        <f>SUM(B235:P235)/10</f>
        <v>0</v>
      </c>
    </row>
    <row r="236">
      <c r="A236" s="2">
        <v>46.0</v>
      </c>
      <c r="B236" s="2">
        <v>3174.0</v>
      </c>
      <c r="C236" s="2">
        <v>32.0</v>
      </c>
      <c r="D236" s="2">
        <v>39.1</v>
      </c>
      <c r="E236" s="2">
        <v>-121.63</v>
      </c>
      <c r="H236" s="3" t="s">
        <v>405</v>
      </c>
      <c r="I236" s="3" t="s">
        <v>18</v>
      </c>
      <c r="J236" s="3" t="s">
        <v>687</v>
      </c>
      <c r="K236" s="3" t="s">
        <v>688</v>
      </c>
      <c r="L236" s="1"/>
      <c r="P236" s="3" t="s">
        <v>669</v>
      </c>
      <c r="Q236" s="2" t="s">
        <v>689</v>
      </c>
      <c r="V236" s="20"/>
    </row>
    <row r="237">
      <c r="A237" s="2" t="s">
        <v>690</v>
      </c>
      <c r="B237" s="2"/>
      <c r="C237" s="2"/>
      <c r="D237" s="2"/>
      <c r="E237" s="2"/>
      <c r="H237" s="3"/>
      <c r="I237" s="3"/>
      <c r="J237" s="3"/>
      <c r="K237" s="3"/>
      <c r="L237" s="1"/>
      <c r="P237" s="3"/>
      <c r="Q237" s="2"/>
      <c r="V237" s="21">
        <f>SUM(B237:P237)/10</f>
        <v>0</v>
      </c>
    </row>
    <row r="238">
      <c r="A238" s="2">
        <v>170.0</v>
      </c>
      <c r="B238" s="2">
        <v>3174.0</v>
      </c>
      <c r="C238" s="2">
        <v>207.0</v>
      </c>
      <c r="D238" s="1"/>
      <c r="E238" s="1"/>
      <c r="F238" s="3">
        <v>40.398333</v>
      </c>
      <c r="G238" s="3">
        <v>-122.145278</v>
      </c>
      <c r="H238" s="3" t="s">
        <v>691</v>
      </c>
      <c r="I238" s="3" t="s">
        <v>692</v>
      </c>
      <c r="J238" s="3" t="s">
        <v>693</v>
      </c>
      <c r="K238" s="3" t="s">
        <v>642</v>
      </c>
      <c r="L238" s="1"/>
      <c r="M238" s="3" t="s">
        <v>694</v>
      </c>
      <c r="N238" s="3" t="s">
        <v>56</v>
      </c>
      <c r="O238" s="3" t="s">
        <v>695</v>
      </c>
      <c r="P238" s="3" t="s">
        <v>24</v>
      </c>
      <c r="Q238" s="2" t="s">
        <v>696</v>
      </c>
    </row>
    <row r="239">
      <c r="A239" s="2" t="s">
        <v>697</v>
      </c>
      <c r="B239" s="2"/>
      <c r="C239" s="2"/>
      <c r="D239" s="1"/>
      <c r="E239" s="1"/>
      <c r="F239" s="3">
        <v>1.0</v>
      </c>
      <c r="G239" s="3">
        <v>1.0</v>
      </c>
      <c r="H239" s="3">
        <v>1.0</v>
      </c>
      <c r="I239" s="3">
        <v>0.5</v>
      </c>
      <c r="J239" s="3">
        <v>1.0</v>
      </c>
      <c r="K239" s="3">
        <v>1.0</v>
      </c>
      <c r="L239" s="1"/>
      <c r="M239" s="3">
        <v>1.0</v>
      </c>
      <c r="N239" s="3">
        <v>1.0</v>
      </c>
      <c r="O239" s="3">
        <v>1.0</v>
      </c>
      <c r="P239" s="3">
        <v>1.0</v>
      </c>
      <c r="Q239" s="2"/>
      <c r="V239" s="5">
        <f>SUM(B239:P239)/10</f>
        <v>0.95</v>
      </c>
    </row>
    <row r="240">
      <c r="A240" s="2">
        <v>50.0</v>
      </c>
      <c r="B240" s="2">
        <v>3217.0</v>
      </c>
      <c r="C240" s="2">
        <v>306.0</v>
      </c>
      <c r="D240" s="2">
        <v>37.982</v>
      </c>
      <c r="E240" s="2">
        <v>-121.818</v>
      </c>
      <c r="F240" s="3">
        <v>37.982</v>
      </c>
      <c r="G240" s="3">
        <v>-121.818</v>
      </c>
      <c r="H240" s="3" t="s">
        <v>698</v>
      </c>
      <c r="I240" s="3" t="s">
        <v>332</v>
      </c>
      <c r="J240" s="3" t="s">
        <v>699</v>
      </c>
      <c r="K240" s="3" t="s">
        <v>700</v>
      </c>
      <c r="L240" s="2" t="s">
        <v>700</v>
      </c>
      <c r="M240" s="3" t="s">
        <v>701</v>
      </c>
      <c r="N240" s="3" t="s">
        <v>22</v>
      </c>
      <c r="O240" s="3" t="s">
        <v>702</v>
      </c>
      <c r="P240" s="3" t="s">
        <v>24</v>
      </c>
      <c r="Q240" s="2" t="s">
        <v>703</v>
      </c>
    </row>
    <row r="241">
      <c r="A241" s="2" t="s">
        <v>704</v>
      </c>
      <c r="B241" s="2"/>
      <c r="C241" s="2"/>
      <c r="D241" s="2"/>
      <c r="E241" s="2"/>
      <c r="F241" s="3">
        <v>0.0</v>
      </c>
      <c r="G241" s="3">
        <v>0.0</v>
      </c>
      <c r="H241" s="3">
        <v>1.0</v>
      </c>
      <c r="I241" s="3">
        <v>1.0</v>
      </c>
      <c r="J241" s="3">
        <v>1.0</v>
      </c>
      <c r="K241" s="3">
        <v>0.0</v>
      </c>
      <c r="L241" s="2"/>
      <c r="M241" s="3">
        <v>1.0</v>
      </c>
      <c r="N241" s="3">
        <v>1.0</v>
      </c>
      <c r="O241" s="3">
        <v>1.0</v>
      </c>
      <c r="P241" s="3">
        <v>1.0</v>
      </c>
      <c r="Q241" s="2"/>
      <c r="V241" s="5">
        <f>SUM(B241:P241)/10</f>
        <v>0.7</v>
      </c>
    </row>
    <row r="242">
      <c r="A242" s="2">
        <v>5.0</v>
      </c>
      <c r="B242" s="2">
        <v>4316.0</v>
      </c>
      <c r="C242" s="2">
        <v>36.0</v>
      </c>
      <c r="D242" s="2">
        <v>43.6194</v>
      </c>
      <c r="E242" s="2">
        <v>-118.9603</v>
      </c>
      <c r="H242" s="3" t="s">
        <v>705</v>
      </c>
      <c r="I242" s="3" t="s">
        <v>18</v>
      </c>
      <c r="J242" s="3" t="s">
        <v>706</v>
      </c>
      <c r="L242" s="2" t="s">
        <v>707</v>
      </c>
      <c r="M242" s="3" t="s">
        <v>708</v>
      </c>
      <c r="N242" s="3" t="s">
        <v>709</v>
      </c>
      <c r="P242" s="3" t="s">
        <v>24</v>
      </c>
      <c r="Q242" s="2" t="s">
        <v>710</v>
      </c>
    </row>
    <row r="243">
      <c r="A243" s="2" t="s">
        <v>711</v>
      </c>
      <c r="B243" s="2"/>
      <c r="C243" s="2"/>
      <c r="D243" s="2"/>
      <c r="E243" s="2"/>
      <c r="F243" s="3">
        <v>1.0</v>
      </c>
      <c r="G243" s="3">
        <v>1.0</v>
      </c>
      <c r="H243" s="3">
        <v>1.0</v>
      </c>
      <c r="I243" s="3">
        <v>1.0</v>
      </c>
      <c r="J243" s="3">
        <v>1.0</v>
      </c>
      <c r="K243" s="3">
        <v>1.0</v>
      </c>
      <c r="L243" s="2"/>
      <c r="M243" s="3">
        <v>1.0</v>
      </c>
      <c r="N243" s="3">
        <v>1.0</v>
      </c>
      <c r="O243" s="3">
        <v>1.0</v>
      </c>
      <c r="P243" s="3">
        <v>1.0</v>
      </c>
      <c r="Q243" s="2"/>
      <c r="V243" s="5">
        <f>SUM(B243:P243)/10</f>
        <v>1</v>
      </c>
    </row>
    <row r="244">
      <c r="A244" s="2">
        <v>6.0</v>
      </c>
      <c r="B244" s="2">
        <v>4316.0</v>
      </c>
      <c r="C244" s="2">
        <v>36.0</v>
      </c>
      <c r="D244" s="2">
        <v>43.6194</v>
      </c>
      <c r="E244" s="2">
        <v>-118.9603</v>
      </c>
      <c r="H244" s="3" t="s">
        <v>705</v>
      </c>
      <c r="I244" s="3" t="s">
        <v>18</v>
      </c>
      <c r="J244" s="3" t="s">
        <v>712</v>
      </c>
      <c r="L244" s="2" t="s">
        <v>707</v>
      </c>
      <c r="M244" s="3" t="s">
        <v>713</v>
      </c>
      <c r="N244" s="3" t="s">
        <v>714</v>
      </c>
      <c r="P244" s="3" t="s">
        <v>24</v>
      </c>
      <c r="Q244" s="2" t="s">
        <v>715</v>
      </c>
    </row>
    <row r="245">
      <c r="A245" s="2" t="s">
        <v>716</v>
      </c>
      <c r="B245" s="2"/>
      <c r="C245" s="2"/>
      <c r="D245" s="2"/>
      <c r="E245" s="2"/>
      <c r="F245" s="3">
        <v>1.0</v>
      </c>
      <c r="G245" s="3">
        <v>1.0</v>
      </c>
      <c r="H245" s="3"/>
      <c r="I245" s="3">
        <v>1.0</v>
      </c>
      <c r="J245" s="3">
        <v>1.0</v>
      </c>
      <c r="K245" s="3">
        <v>1.0</v>
      </c>
      <c r="L245" s="2"/>
      <c r="M245" s="3">
        <v>1.0</v>
      </c>
      <c r="N245" s="3">
        <v>1.0</v>
      </c>
      <c r="O245" s="3">
        <v>1.0</v>
      </c>
      <c r="P245" s="3">
        <v>1.0</v>
      </c>
      <c r="Q245" s="2"/>
      <c r="V245" s="5">
        <f>SUM(B245:P245)/10</f>
        <v>0.9</v>
      </c>
    </row>
    <row r="246">
      <c r="A246" s="2">
        <v>7.0</v>
      </c>
      <c r="B246" s="2">
        <v>4316.0</v>
      </c>
      <c r="C246" s="2">
        <v>36.0</v>
      </c>
      <c r="D246" s="2">
        <v>43.6194</v>
      </c>
      <c r="E246" s="2">
        <v>-118.9603</v>
      </c>
      <c r="H246" s="3" t="s">
        <v>705</v>
      </c>
      <c r="I246" s="3" t="s">
        <v>18</v>
      </c>
      <c r="J246" s="3" t="s">
        <v>717</v>
      </c>
      <c r="L246" s="2" t="s">
        <v>707</v>
      </c>
      <c r="M246" s="3" t="s">
        <v>718</v>
      </c>
      <c r="N246" s="3" t="s">
        <v>719</v>
      </c>
      <c r="P246" s="3" t="s">
        <v>24</v>
      </c>
      <c r="Q246" s="2" t="s">
        <v>715</v>
      </c>
    </row>
    <row r="247">
      <c r="A247" s="2" t="s">
        <v>720</v>
      </c>
      <c r="B247" s="2"/>
      <c r="C247" s="2"/>
      <c r="D247" s="2"/>
      <c r="E247" s="2"/>
      <c r="F247" s="3">
        <v>1.0</v>
      </c>
      <c r="G247" s="3">
        <v>1.0</v>
      </c>
      <c r="H247" s="3">
        <v>1.0</v>
      </c>
      <c r="I247" s="3">
        <v>1.0</v>
      </c>
      <c r="J247" s="3">
        <v>1.0</v>
      </c>
      <c r="K247" s="3">
        <v>1.0</v>
      </c>
      <c r="L247" s="2"/>
      <c r="M247" s="3">
        <v>1.0</v>
      </c>
      <c r="N247" s="3">
        <v>1.0</v>
      </c>
      <c r="O247" s="3">
        <v>1.0</v>
      </c>
      <c r="P247" s="3">
        <v>1.0</v>
      </c>
      <c r="Q247" s="2"/>
      <c r="V247" s="5">
        <f>SUM(B247:P247)/10</f>
        <v>1</v>
      </c>
    </row>
    <row r="248">
      <c r="A248" s="2">
        <v>8.0</v>
      </c>
      <c r="B248" s="2">
        <v>4316.0</v>
      </c>
      <c r="C248" s="2">
        <v>36.0</v>
      </c>
      <c r="D248" s="2">
        <v>43.6953</v>
      </c>
      <c r="E248" s="2">
        <v>-118.9001</v>
      </c>
      <c r="H248" s="3" t="s">
        <v>721</v>
      </c>
      <c r="I248" s="3" t="s">
        <v>18</v>
      </c>
      <c r="J248" s="3" t="s">
        <v>722</v>
      </c>
      <c r="L248" s="2" t="s">
        <v>707</v>
      </c>
      <c r="M248" s="3" t="s">
        <v>723</v>
      </c>
      <c r="N248" s="3" t="s">
        <v>724</v>
      </c>
      <c r="P248" s="3" t="s">
        <v>24</v>
      </c>
      <c r="Q248" s="2" t="s">
        <v>715</v>
      </c>
    </row>
    <row r="249">
      <c r="A249" s="2" t="s">
        <v>725</v>
      </c>
      <c r="B249" s="2"/>
      <c r="C249" s="2"/>
      <c r="D249" s="2"/>
      <c r="E249" s="2"/>
      <c r="F249" s="3">
        <v>1.0</v>
      </c>
      <c r="G249" s="3">
        <v>1.0</v>
      </c>
      <c r="H249" s="3">
        <v>1.0</v>
      </c>
      <c r="I249" s="3">
        <v>1.0</v>
      </c>
      <c r="J249" s="3">
        <v>1.0</v>
      </c>
      <c r="K249" s="3">
        <v>1.0</v>
      </c>
      <c r="L249" s="2"/>
      <c r="M249" s="3">
        <v>1.0</v>
      </c>
      <c r="N249" s="3">
        <v>1.0</v>
      </c>
      <c r="O249" s="3">
        <v>1.0</v>
      </c>
      <c r="P249" s="3">
        <v>1.0</v>
      </c>
      <c r="Q249" s="2"/>
      <c r="V249" s="5">
        <f>SUM(B249:P249)/10</f>
        <v>1</v>
      </c>
    </row>
    <row r="250">
      <c r="A250" s="2">
        <v>9.0</v>
      </c>
      <c r="B250" s="2">
        <v>4316.0</v>
      </c>
      <c r="C250" s="2">
        <v>36.0</v>
      </c>
      <c r="D250" s="2">
        <v>43.6194</v>
      </c>
      <c r="E250" s="2">
        <v>-118.9603</v>
      </c>
      <c r="H250" s="3" t="s">
        <v>705</v>
      </c>
      <c r="I250" s="3" t="s">
        <v>18</v>
      </c>
      <c r="J250" s="3" t="s">
        <v>726</v>
      </c>
      <c r="L250" s="2" t="s">
        <v>707</v>
      </c>
      <c r="M250" s="3" t="s">
        <v>727</v>
      </c>
      <c r="N250" s="3" t="s">
        <v>728</v>
      </c>
      <c r="P250" s="3" t="s">
        <v>24</v>
      </c>
      <c r="Q250" s="2" t="s">
        <v>710</v>
      </c>
    </row>
    <row r="251">
      <c r="A251" s="2" t="s">
        <v>729</v>
      </c>
      <c r="B251" s="2"/>
      <c r="C251" s="2"/>
      <c r="D251" s="2"/>
      <c r="E251" s="2"/>
      <c r="F251" s="3">
        <v>1.0</v>
      </c>
      <c r="G251" s="3">
        <v>1.0</v>
      </c>
      <c r="H251" s="3">
        <v>1.0</v>
      </c>
      <c r="I251" s="3">
        <v>1.0</v>
      </c>
      <c r="J251" s="3">
        <v>1.0</v>
      </c>
      <c r="K251" s="3">
        <v>1.0</v>
      </c>
      <c r="L251" s="2"/>
      <c r="M251" s="3">
        <v>1.0</v>
      </c>
      <c r="N251" s="3">
        <v>1.0</v>
      </c>
      <c r="O251" s="3">
        <v>1.0</v>
      </c>
      <c r="P251" s="3">
        <v>1.0</v>
      </c>
      <c r="Q251" s="2"/>
      <c r="V251" s="5">
        <f>SUM(B251:P251)/10</f>
        <v>1</v>
      </c>
    </row>
    <row r="252">
      <c r="A252" s="2">
        <v>10.0</v>
      </c>
      <c r="B252" s="2">
        <v>4316.0</v>
      </c>
      <c r="C252" s="2">
        <v>36.0</v>
      </c>
      <c r="D252" s="2">
        <v>43.6953</v>
      </c>
      <c r="E252" s="2">
        <v>-118.9001</v>
      </c>
      <c r="H252" s="3" t="s">
        <v>721</v>
      </c>
      <c r="I252" s="3" t="s">
        <v>18</v>
      </c>
      <c r="J252" s="3" t="s">
        <v>730</v>
      </c>
      <c r="L252" s="2" t="s">
        <v>707</v>
      </c>
      <c r="M252" s="3" t="s">
        <v>731</v>
      </c>
      <c r="N252" s="3" t="s">
        <v>732</v>
      </c>
      <c r="P252" s="3" t="s">
        <v>24</v>
      </c>
      <c r="Q252" s="2" t="s">
        <v>715</v>
      </c>
    </row>
    <row r="253">
      <c r="A253" s="2" t="s">
        <v>733</v>
      </c>
      <c r="B253" s="2"/>
      <c r="C253" s="2"/>
      <c r="D253" s="2"/>
      <c r="E253" s="2"/>
      <c r="F253" s="3">
        <v>1.0</v>
      </c>
      <c r="G253" s="3">
        <v>1.0</v>
      </c>
      <c r="H253" s="3">
        <v>1.0</v>
      </c>
      <c r="I253" s="3">
        <v>1.0</v>
      </c>
      <c r="J253" s="3">
        <v>1.0</v>
      </c>
      <c r="K253" s="3">
        <v>1.0</v>
      </c>
      <c r="L253" s="2"/>
      <c r="M253" s="3">
        <v>1.0</v>
      </c>
      <c r="N253" s="3">
        <v>1.0</v>
      </c>
      <c r="O253" s="3">
        <v>1.0</v>
      </c>
      <c r="P253" s="3">
        <v>1.0</v>
      </c>
      <c r="Q253" s="2"/>
      <c r="V253" s="5">
        <f>SUM(B253:P253)/10</f>
        <v>1</v>
      </c>
    </row>
    <row r="254">
      <c r="A254" s="2">
        <v>11.0</v>
      </c>
      <c r="B254" s="2">
        <v>4316.0</v>
      </c>
      <c r="C254" s="2">
        <v>36.0</v>
      </c>
      <c r="D254" s="2">
        <v>43.7743</v>
      </c>
      <c r="E254" s="2">
        <v>-118.8014</v>
      </c>
      <c r="H254" s="3" t="s">
        <v>734</v>
      </c>
      <c r="I254" s="3" t="s">
        <v>18</v>
      </c>
      <c r="J254" s="3" t="s">
        <v>735</v>
      </c>
      <c r="L254" s="2" t="s">
        <v>707</v>
      </c>
      <c r="M254" s="3" t="s">
        <v>736</v>
      </c>
      <c r="N254" s="3" t="s">
        <v>737</v>
      </c>
      <c r="P254" s="3" t="s">
        <v>24</v>
      </c>
      <c r="Q254" s="2" t="s">
        <v>715</v>
      </c>
    </row>
    <row r="255">
      <c r="A255" s="2" t="s">
        <v>738</v>
      </c>
      <c r="B255" s="2"/>
      <c r="C255" s="2"/>
      <c r="D255" s="2"/>
      <c r="E255" s="2"/>
      <c r="F255" s="3">
        <v>1.0</v>
      </c>
      <c r="G255" s="3">
        <v>1.0</v>
      </c>
      <c r="H255" s="3">
        <v>1.0</v>
      </c>
      <c r="I255" s="3">
        <v>1.0</v>
      </c>
      <c r="J255" s="3">
        <v>1.0</v>
      </c>
      <c r="K255" s="3">
        <v>1.0</v>
      </c>
      <c r="L255" s="2"/>
      <c r="M255" s="3">
        <v>1.0</v>
      </c>
      <c r="N255" s="3">
        <v>1.0</v>
      </c>
      <c r="O255" s="3">
        <v>1.0</v>
      </c>
      <c r="P255" s="3">
        <v>1.0</v>
      </c>
      <c r="Q255" s="2"/>
      <c r="V255" s="5">
        <f>SUM(B255:P255)/10</f>
        <v>1</v>
      </c>
    </row>
    <row r="256">
      <c r="A256" s="2">
        <v>12.0</v>
      </c>
      <c r="B256" s="2">
        <v>4316.0</v>
      </c>
      <c r="C256" s="2">
        <v>36.0</v>
      </c>
      <c r="D256" s="2">
        <v>43.7743</v>
      </c>
      <c r="E256" s="2">
        <v>-118.8014</v>
      </c>
      <c r="H256" s="3" t="s">
        <v>734</v>
      </c>
      <c r="I256" s="3" t="s">
        <v>18</v>
      </c>
      <c r="J256" s="3" t="s">
        <v>739</v>
      </c>
      <c r="L256" s="2" t="s">
        <v>707</v>
      </c>
      <c r="M256" s="3" t="s">
        <v>740</v>
      </c>
      <c r="N256" s="3" t="s">
        <v>741</v>
      </c>
      <c r="P256" s="3" t="s">
        <v>24</v>
      </c>
      <c r="Q256" s="2" t="s">
        <v>715</v>
      </c>
    </row>
    <row r="257">
      <c r="A257" s="2" t="s">
        <v>742</v>
      </c>
      <c r="B257" s="2"/>
      <c r="C257" s="2"/>
      <c r="D257" s="2"/>
      <c r="E257" s="2"/>
      <c r="F257" s="3">
        <v>1.0</v>
      </c>
      <c r="G257" s="3">
        <v>1.0</v>
      </c>
      <c r="H257" s="3">
        <v>1.0</v>
      </c>
      <c r="I257" s="3">
        <v>1.0</v>
      </c>
      <c r="J257" s="3">
        <v>1.0</v>
      </c>
      <c r="K257" s="3">
        <v>1.0</v>
      </c>
      <c r="L257" s="2"/>
      <c r="M257" s="3">
        <v>1.0</v>
      </c>
      <c r="N257" s="3">
        <v>1.0</v>
      </c>
      <c r="O257" s="3">
        <v>1.0</v>
      </c>
      <c r="P257" s="3">
        <v>1.0</v>
      </c>
      <c r="Q257" s="2"/>
      <c r="V257" s="5">
        <f>SUM(B257:P257)/10</f>
        <v>1</v>
      </c>
    </row>
    <row r="258">
      <c r="A258" s="2">
        <v>13.0</v>
      </c>
      <c r="B258" s="2">
        <v>4316.0</v>
      </c>
      <c r="C258" s="2">
        <v>36.0</v>
      </c>
      <c r="D258" s="2">
        <v>43.7743</v>
      </c>
      <c r="E258" s="2">
        <v>-118.8014</v>
      </c>
      <c r="H258" s="3" t="s">
        <v>734</v>
      </c>
      <c r="I258" s="3" t="s">
        <v>18</v>
      </c>
      <c r="J258" s="3" t="s">
        <v>743</v>
      </c>
      <c r="L258" s="2" t="s">
        <v>707</v>
      </c>
      <c r="M258" s="3" t="s">
        <v>744</v>
      </c>
      <c r="N258" s="3" t="s">
        <v>745</v>
      </c>
      <c r="P258" s="3" t="s">
        <v>24</v>
      </c>
      <c r="Q258" s="2" t="s">
        <v>715</v>
      </c>
    </row>
    <row r="259">
      <c r="A259" s="2" t="s">
        <v>746</v>
      </c>
      <c r="B259" s="2"/>
      <c r="C259" s="2"/>
      <c r="D259" s="2"/>
      <c r="E259" s="2"/>
      <c r="F259" s="3">
        <v>1.0</v>
      </c>
      <c r="G259" s="3">
        <v>1.0</v>
      </c>
      <c r="H259" s="3">
        <v>1.0</v>
      </c>
      <c r="I259" s="3">
        <v>1.0</v>
      </c>
      <c r="J259" s="3">
        <v>1.0</v>
      </c>
      <c r="K259" s="3">
        <v>1.0</v>
      </c>
      <c r="L259" s="2"/>
      <c r="M259" s="3">
        <v>1.0</v>
      </c>
      <c r="N259" s="3">
        <v>1.0</v>
      </c>
      <c r="O259" s="3">
        <v>1.0</v>
      </c>
      <c r="P259" s="3">
        <v>1.0</v>
      </c>
      <c r="Q259" s="2"/>
      <c r="V259" s="5">
        <f>SUM(B259:P259)/10</f>
        <v>1</v>
      </c>
    </row>
    <row r="260">
      <c r="A260" s="2">
        <v>14.0</v>
      </c>
      <c r="B260" s="2">
        <v>4316.0</v>
      </c>
      <c r="C260" s="2">
        <v>36.0</v>
      </c>
      <c r="D260" s="2">
        <v>43.7743</v>
      </c>
      <c r="E260" s="2">
        <v>-118.8014</v>
      </c>
      <c r="H260" s="3" t="s">
        <v>734</v>
      </c>
      <c r="I260" s="3" t="s">
        <v>18</v>
      </c>
      <c r="J260" s="3" t="s">
        <v>747</v>
      </c>
      <c r="L260" s="2" t="s">
        <v>707</v>
      </c>
      <c r="M260" s="3" t="s">
        <v>748</v>
      </c>
      <c r="N260" s="3" t="s">
        <v>749</v>
      </c>
      <c r="P260" s="3" t="s">
        <v>24</v>
      </c>
      <c r="Q260" s="2" t="s">
        <v>715</v>
      </c>
    </row>
    <row r="261">
      <c r="A261" s="2" t="s">
        <v>750</v>
      </c>
      <c r="B261" s="2"/>
      <c r="C261" s="2"/>
      <c r="D261" s="2"/>
      <c r="E261" s="2"/>
      <c r="F261" s="3">
        <v>1.0</v>
      </c>
      <c r="G261" s="3">
        <v>1.0</v>
      </c>
      <c r="H261" s="3">
        <v>1.0</v>
      </c>
      <c r="I261" s="3">
        <v>1.0</v>
      </c>
      <c r="J261" s="3">
        <v>1.0</v>
      </c>
      <c r="K261" s="3">
        <v>1.0</v>
      </c>
      <c r="L261" s="2"/>
      <c r="M261" s="3">
        <v>1.0</v>
      </c>
      <c r="N261" s="3">
        <v>1.0</v>
      </c>
      <c r="O261" s="3">
        <v>1.0</v>
      </c>
      <c r="P261" s="3">
        <v>1.0</v>
      </c>
      <c r="Q261" s="2"/>
      <c r="V261" s="5">
        <f>SUM(B261:P261)/10</f>
        <v>1</v>
      </c>
    </row>
    <row r="262">
      <c r="A262" s="2">
        <v>15.0</v>
      </c>
      <c r="B262" s="2">
        <v>4316.0</v>
      </c>
      <c r="C262" s="2">
        <v>36.0</v>
      </c>
      <c r="D262" s="2">
        <v>43.6831</v>
      </c>
      <c r="E262" s="2">
        <v>-119.0487</v>
      </c>
      <c r="H262" s="3" t="s">
        <v>751</v>
      </c>
      <c r="I262" s="3" t="s">
        <v>18</v>
      </c>
      <c r="J262" s="3" t="s">
        <v>752</v>
      </c>
      <c r="L262" s="2" t="s">
        <v>707</v>
      </c>
      <c r="M262" s="3" t="s">
        <v>753</v>
      </c>
      <c r="N262" s="3" t="s">
        <v>754</v>
      </c>
      <c r="P262" s="3" t="s">
        <v>24</v>
      </c>
      <c r="Q262" s="2" t="s">
        <v>715</v>
      </c>
    </row>
    <row r="263">
      <c r="A263" s="2" t="s">
        <v>755</v>
      </c>
      <c r="B263" s="2"/>
      <c r="C263" s="2"/>
      <c r="D263" s="2"/>
      <c r="E263" s="2"/>
      <c r="F263" s="3">
        <v>1.0</v>
      </c>
      <c r="G263" s="3">
        <v>1.0</v>
      </c>
      <c r="H263" s="3">
        <v>1.0</v>
      </c>
      <c r="I263" s="3">
        <v>1.0</v>
      </c>
      <c r="J263" s="3">
        <v>1.0</v>
      </c>
      <c r="K263" s="3">
        <v>1.0</v>
      </c>
      <c r="L263" s="2"/>
      <c r="M263" s="3">
        <v>1.0</v>
      </c>
      <c r="N263" s="3">
        <v>1.0</v>
      </c>
      <c r="O263" s="3">
        <v>1.0</v>
      </c>
      <c r="P263" s="3">
        <v>1.0</v>
      </c>
      <c r="Q263" s="2"/>
      <c r="V263" s="5">
        <f>SUM(B263:P263)/10</f>
        <v>1</v>
      </c>
    </row>
    <row r="264">
      <c r="A264" s="2">
        <v>16.0</v>
      </c>
      <c r="B264" s="2">
        <v>4316.0</v>
      </c>
      <c r="C264" s="2">
        <v>36.0</v>
      </c>
      <c r="D264" s="2">
        <v>43.6831</v>
      </c>
      <c r="E264" s="2">
        <v>-119.0487</v>
      </c>
      <c r="H264" s="3" t="s">
        <v>751</v>
      </c>
      <c r="I264" s="3" t="s">
        <v>18</v>
      </c>
      <c r="J264" s="3" t="s">
        <v>756</v>
      </c>
      <c r="L264" s="2" t="s">
        <v>707</v>
      </c>
      <c r="M264" s="3" t="s">
        <v>753</v>
      </c>
      <c r="N264" s="3" t="s">
        <v>754</v>
      </c>
      <c r="P264" s="3" t="s">
        <v>24</v>
      </c>
      <c r="Q264" s="2" t="s">
        <v>715</v>
      </c>
    </row>
    <row r="265">
      <c r="A265" s="2" t="s">
        <v>757</v>
      </c>
      <c r="B265" s="2"/>
      <c r="C265" s="2"/>
      <c r="D265" s="2"/>
      <c r="E265" s="2"/>
      <c r="F265" s="3">
        <v>1.0</v>
      </c>
      <c r="G265" s="3">
        <v>1.0</v>
      </c>
      <c r="H265" s="3">
        <v>1.0</v>
      </c>
      <c r="I265" s="3">
        <v>1.0</v>
      </c>
      <c r="J265" s="3">
        <v>1.0</v>
      </c>
      <c r="K265" s="3">
        <v>1.0</v>
      </c>
      <c r="L265" s="2"/>
      <c r="M265" s="3">
        <v>1.0</v>
      </c>
      <c r="N265" s="3">
        <v>1.0</v>
      </c>
      <c r="O265" s="3">
        <v>1.0</v>
      </c>
      <c r="P265" s="3">
        <v>1.0</v>
      </c>
      <c r="Q265" s="2"/>
      <c r="V265" s="5">
        <f>SUM(B265:P265)/10</f>
        <v>1</v>
      </c>
    </row>
    <row r="266">
      <c r="A266" s="2">
        <v>17.0</v>
      </c>
      <c r="B266" s="2">
        <v>4316.0</v>
      </c>
      <c r="C266" s="2">
        <v>36.0</v>
      </c>
      <c r="D266" s="2">
        <v>43.7743</v>
      </c>
      <c r="E266" s="2">
        <v>-118.8014</v>
      </c>
      <c r="H266" s="3" t="s">
        <v>734</v>
      </c>
      <c r="I266" s="3" t="s">
        <v>18</v>
      </c>
      <c r="J266" s="3" t="s">
        <v>758</v>
      </c>
      <c r="L266" s="2" t="s">
        <v>707</v>
      </c>
      <c r="M266" s="3" t="s">
        <v>759</v>
      </c>
      <c r="N266" s="3" t="s">
        <v>760</v>
      </c>
      <c r="P266" s="3" t="s">
        <v>24</v>
      </c>
      <c r="Q266" s="2" t="s">
        <v>715</v>
      </c>
    </row>
    <row r="267">
      <c r="A267" s="2" t="s">
        <v>761</v>
      </c>
      <c r="B267" s="2"/>
      <c r="C267" s="2"/>
      <c r="D267" s="2"/>
      <c r="E267" s="2"/>
      <c r="F267" s="3">
        <v>1.0</v>
      </c>
      <c r="G267" s="3">
        <v>1.0</v>
      </c>
      <c r="H267" s="3">
        <v>1.0</v>
      </c>
      <c r="I267" s="3">
        <v>1.0</v>
      </c>
      <c r="J267" s="3">
        <v>1.0</v>
      </c>
      <c r="K267" s="3">
        <v>1.0</v>
      </c>
      <c r="L267" s="2"/>
      <c r="M267" s="3">
        <v>1.0</v>
      </c>
      <c r="N267" s="3">
        <v>1.0</v>
      </c>
      <c r="O267" s="3">
        <v>1.0</v>
      </c>
      <c r="P267" s="3">
        <v>1.0</v>
      </c>
      <c r="Q267" s="2"/>
      <c r="V267" s="5">
        <f>SUM(B267:P267)/10</f>
        <v>1</v>
      </c>
    </row>
    <row r="268">
      <c r="A268" s="2">
        <v>18.0</v>
      </c>
      <c r="B268" s="2">
        <v>4316.0</v>
      </c>
      <c r="C268" s="2">
        <v>36.0</v>
      </c>
      <c r="D268" s="2">
        <v>43.7743</v>
      </c>
      <c r="E268" s="2">
        <v>-118.8014</v>
      </c>
      <c r="H268" s="3" t="s">
        <v>734</v>
      </c>
      <c r="I268" s="3" t="s">
        <v>18</v>
      </c>
      <c r="J268" s="3" t="s">
        <v>762</v>
      </c>
      <c r="L268" s="2" t="s">
        <v>707</v>
      </c>
      <c r="M268" s="3" t="s">
        <v>763</v>
      </c>
      <c r="N268" s="3" t="s">
        <v>764</v>
      </c>
      <c r="P268" s="3" t="s">
        <v>24</v>
      </c>
      <c r="Q268" s="2" t="s">
        <v>715</v>
      </c>
    </row>
    <row r="269">
      <c r="A269" s="2" t="s">
        <v>765</v>
      </c>
      <c r="B269" s="2"/>
      <c r="C269" s="2"/>
      <c r="D269" s="2"/>
      <c r="E269" s="2"/>
      <c r="F269" s="3">
        <v>1.0</v>
      </c>
      <c r="G269" s="3">
        <v>1.0</v>
      </c>
      <c r="H269" s="3">
        <v>1.0</v>
      </c>
      <c r="I269" s="3">
        <v>1.0</v>
      </c>
      <c r="J269" s="3">
        <v>1.0</v>
      </c>
      <c r="K269" s="3">
        <v>1.0</v>
      </c>
      <c r="L269" s="2"/>
      <c r="M269" s="3">
        <v>1.0</v>
      </c>
      <c r="N269" s="3">
        <v>0.0</v>
      </c>
      <c r="O269" s="3">
        <v>1.0</v>
      </c>
      <c r="P269" s="3">
        <v>1.0</v>
      </c>
      <c r="Q269" s="2"/>
      <c r="V269" s="5">
        <f>SUM(B269:P269)/10</f>
        <v>0.9</v>
      </c>
    </row>
    <row r="270">
      <c r="A270" s="2">
        <v>19.0</v>
      </c>
      <c r="B270" s="2">
        <v>4316.0</v>
      </c>
      <c r="C270" s="2">
        <v>36.0</v>
      </c>
      <c r="D270" s="2">
        <v>44.1694</v>
      </c>
      <c r="E270" s="2">
        <v>-117.2267</v>
      </c>
      <c r="H270" s="3" t="s">
        <v>766</v>
      </c>
      <c r="I270" s="3" t="s">
        <v>18</v>
      </c>
      <c r="J270" s="3" t="s">
        <v>767</v>
      </c>
      <c r="L270" s="2" t="s">
        <v>768</v>
      </c>
      <c r="M270" s="3">
        <v>1911.0</v>
      </c>
      <c r="N270" s="3" t="s">
        <v>769</v>
      </c>
      <c r="P270" s="3" t="s">
        <v>24</v>
      </c>
      <c r="Q270" s="2" t="s">
        <v>715</v>
      </c>
    </row>
    <row r="271">
      <c r="A271" s="2" t="s">
        <v>770</v>
      </c>
      <c r="B271" s="2"/>
      <c r="C271" s="2"/>
      <c r="D271" s="2"/>
      <c r="E271" s="2"/>
      <c r="F271" s="3">
        <v>1.0</v>
      </c>
      <c r="G271" s="3">
        <v>1.0</v>
      </c>
      <c r="H271" s="3">
        <v>1.0</v>
      </c>
      <c r="I271" s="3">
        <v>1.0</v>
      </c>
      <c r="J271" s="3">
        <v>1.0</v>
      </c>
      <c r="K271" s="3">
        <v>1.0</v>
      </c>
      <c r="L271" s="2"/>
      <c r="M271" s="3">
        <v>1.0</v>
      </c>
      <c r="N271" s="3">
        <v>1.0</v>
      </c>
      <c r="O271" s="3">
        <v>1.0</v>
      </c>
      <c r="P271" s="3">
        <v>1.0</v>
      </c>
      <c r="Q271" s="2"/>
      <c r="V271" s="5">
        <f>SUM(B271:P271)/10</f>
        <v>1</v>
      </c>
    </row>
    <row r="272">
      <c r="A272" s="2">
        <v>20.0</v>
      </c>
      <c r="B272" s="2">
        <v>4316.0</v>
      </c>
      <c r="C272" s="2">
        <v>36.0</v>
      </c>
      <c r="D272" s="2">
        <v>43.7743</v>
      </c>
      <c r="E272" s="2">
        <v>-118.8014</v>
      </c>
      <c r="H272" s="3" t="s">
        <v>734</v>
      </c>
      <c r="I272" s="3" t="s">
        <v>18</v>
      </c>
      <c r="J272" s="3" t="s">
        <v>771</v>
      </c>
      <c r="L272" s="2" t="s">
        <v>707</v>
      </c>
      <c r="M272" s="3" t="s">
        <v>772</v>
      </c>
      <c r="N272" s="3" t="s">
        <v>773</v>
      </c>
      <c r="P272" s="3" t="s">
        <v>24</v>
      </c>
      <c r="Q272" s="2" t="s">
        <v>715</v>
      </c>
    </row>
    <row r="273">
      <c r="A273" s="2" t="s">
        <v>774</v>
      </c>
      <c r="B273" s="2"/>
      <c r="C273" s="2"/>
      <c r="D273" s="2"/>
      <c r="E273" s="2"/>
      <c r="F273" s="3">
        <v>1.0</v>
      </c>
      <c r="G273" s="3">
        <v>1.0</v>
      </c>
      <c r="H273" s="3">
        <v>1.0</v>
      </c>
      <c r="I273" s="3">
        <v>1.0</v>
      </c>
      <c r="J273" s="3">
        <v>1.0</v>
      </c>
      <c r="K273" s="3">
        <v>1.0</v>
      </c>
      <c r="L273" s="2"/>
      <c r="M273" s="3">
        <v>1.0</v>
      </c>
      <c r="N273" s="3">
        <v>1.0</v>
      </c>
      <c r="O273" s="3">
        <v>1.0</v>
      </c>
      <c r="P273" s="3">
        <v>1.0</v>
      </c>
      <c r="Q273" s="2"/>
      <c r="V273" s="5">
        <f>SUM(B273:P273)/10</f>
        <v>1</v>
      </c>
    </row>
    <row r="274">
      <c r="A274" s="2">
        <v>21.0</v>
      </c>
      <c r="B274" s="2">
        <v>4316.0</v>
      </c>
      <c r="C274" s="2">
        <v>36.0</v>
      </c>
      <c r="D274" s="2">
        <v>43.775</v>
      </c>
      <c r="E274" s="2">
        <v>-119.05</v>
      </c>
      <c r="H274" s="3" t="s">
        <v>775</v>
      </c>
      <c r="I274" s="3" t="s">
        <v>18</v>
      </c>
      <c r="J274" s="3" t="s">
        <v>776</v>
      </c>
      <c r="L274" s="2" t="s">
        <v>707</v>
      </c>
      <c r="M274" s="3" t="s">
        <v>777</v>
      </c>
      <c r="N274" s="3" t="s">
        <v>778</v>
      </c>
      <c r="P274" s="3" t="s">
        <v>24</v>
      </c>
      <c r="Q274" s="2" t="s">
        <v>715</v>
      </c>
    </row>
    <row r="275">
      <c r="A275" s="2" t="s">
        <v>779</v>
      </c>
      <c r="B275" s="2"/>
      <c r="C275" s="2"/>
      <c r="D275" s="2"/>
      <c r="E275" s="2"/>
      <c r="F275" s="3">
        <v>1.0</v>
      </c>
      <c r="G275" s="3">
        <v>1.0</v>
      </c>
      <c r="H275" s="3">
        <v>1.0</v>
      </c>
      <c r="I275" s="3">
        <v>1.0</v>
      </c>
      <c r="J275" s="3">
        <v>1.0</v>
      </c>
      <c r="K275" s="3">
        <v>1.0</v>
      </c>
      <c r="L275" s="2"/>
      <c r="M275" s="3">
        <v>1.0</v>
      </c>
      <c r="N275" s="3">
        <v>1.0</v>
      </c>
      <c r="O275" s="3">
        <v>1.0</v>
      </c>
      <c r="P275" s="3">
        <v>1.0</v>
      </c>
      <c r="Q275" s="2"/>
      <c r="V275" s="5">
        <f>SUM(B275:P275)/10</f>
        <v>1</v>
      </c>
    </row>
    <row r="276">
      <c r="A276" s="2">
        <v>22.0</v>
      </c>
      <c r="B276" s="2">
        <v>4316.0</v>
      </c>
      <c r="C276" s="2">
        <v>36.0</v>
      </c>
      <c r="D276" s="2">
        <v>43.6838</v>
      </c>
      <c r="E276" s="2">
        <v>-119.0602</v>
      </c>
      <c r="H276" s="3" t="s">
        <v>780</v>
      </c>
      <c r="I276" s="3" t="s">
        <v>18</v>
      </c>
      <c r="J276" s="3" t="s">
        <v>781</v>
      </c>
      <c r="L276" s="2" t="s">
        <v>707</v>
      </c>
      <c r="M276" s="3" t="s">
        <v>782</v>
      </c>
      <c r="N276" s="3" t="s">
        <v>783</v>
      </c>
      <c r="P276" s="3" t="s">
        <v>74</v>
      </c>
      <c r="Q276" s="2" t="s">
        <v>784</v>
      </c>
    </row>
    <row r="277">
      <c r="A277" s="2" t="s">
        <v>785</v>
      </c>
      <c r="B277" s="2"/>
      <c r="C277" s="2"/>
      <c r="D277" s="2"/>
      <c r="E277" s="2"/>
      <c r="F277" s="3">
        <v>1.0</v>
      </c>
      <c r="G277" s="3">
        <v>1.0</v>
      </c>
      <c r="H277" s="3">
        <v>1.0</v>
      </c>
      <c r="I277" s="3">
        <v>1.0</v>
      </c>
      <c r="J277" s="3">
        <v>1.0</v>
      </c>
      <c r="K277" s="3">
        <v>1.0</v>
      </c>
      <c r="L277" s="2"/>
      <c r="M277" s="3">
        <v>1.0</v>
      </c>
      <c r="N277" s="3">
        <v>0.0</v>
      </c>
      <c r="O277" s="3">
        <v>1.0</v>
      </c>
      <c r="P277" s="3">
        <v>1.0</v>
      </c>
      <c r="Q277" s="2"/>
      <c r="V277" s="5">
        <f>SUM(B277:P277)/10</f>
        <v>0.9</v>
      </c>
    </row>
    <row r="278">
      <c r="A278" s="2">
        <v>23.0</v>
      </c>
      <c r="B278" s="2">
        <v>4316.0</v>
      </c>
      <c r="C278" s="2">
        <v>36.0</v>
      </c>
      <c r="D278" s="2">
        <v>43.6838</v>
      </c>
      <c r="E278" s="2">
        <v>-119.0602</v>
      </c>
      <c r="H278" s="3" t="s">
        <v>751</v>
      </c>
      <c r="I278" s="3" t="s">
        <v>18</v>
      </c>
      <c r="J278" s="3" t="s">
        <v>786</v>
      </c>
      <c r="L278" s="2" t="s">
        <v>707</v>
      </c>
      <c r="M278" s="3" t="s">
        <v>787</v>
      </c>
      <c r="N278" s="3" t="s">
        <v>788</v>
      </c>
      <c r="P278" s="3" t="s">
        <v>24</v>
      </c>
      <c r="Q278" s="2" t="s">
        <v>715</v>
      </c>
    </row>
    <row r="279">
      <c r="A279" s="2" t="s">
        <v>789</v>
      </c>
      <c r="B279" s="2"/>
      <c r="C279" s="2"/>
      <c r="D279" s="2"/>
      <c r="E279" s="2"/>
      <c r="F279" s="3">
        <v>1.0</v>
      </c>
      <c r="G279" s="3">
        <v>1.0</v>
      </c>
      <c r="H279" s="3">
        <v>1.0</v>
      </c>
      <c r="I279" s="3">
        <v>1.0</v>
      </c>
      <c r="J279" s="3">
        <v>1.0</v>
      </c>
      <c r="K279" s="3">
        <v>1.0</v>
      </c>
      <c r="L279" s="2"/>
      <c r="M279" s="3">
        <v>1.0</v>
      </c>
      <c r="N279" s="3">
        <v>1.0</v>
      </c>
      <c r="O279" s="3">
        <v>1.0</v>
      </c>
      <c r="P279" s="3">
        <v>1.0</v>
      </c>
      <c r="Q279" s="2"/>
      <c r="V279" s="5">
        <f>SUM(B279:P279)/10</f>
        <v>1</v>
      </c>
    </row>
    <row r="280">
      <c r="A280" s="2">
        <v>24.0</v>
      </c>
      <c r="B280" s="2">
        <v>4316.0</v>
      </c>
      <c r="C280" s="2">
        <v>36.0</v>
      </c>
      <c r="D280" s="2">
        <v>44.1542</v>
      </c>
      <c r="E280" s="2">
        <v>-117.1983</v>
      </c>
      <c r="H280" s="3" t="s">
        <v>790</v>
      </c>
      <c r="I280" s="3" t="s">
        <v>18</v>
      </c>
      <c r="J280" s="3" t="s">
        <v>791</v>
      </c>
      <c r="L280" s="2" t="s">
        <v>768</v>
      </c>
      <c r="M280" s="3" t="s">
        <v>792</v>
      </c>
      <c r="N280" s="3" t="s">
        <v>793</v>
      </c>
      <c r="P280" s="3" t="s">
        <v>24</v>
      </c>
      <c r="Q280" s="2" t="s">
        <v>715</v>
      </c>
    </row>
    <row r="281">
      <c r="A281" s="2" t="s">
        <v>794</v>
      </c>
      <c r="B281" s="2"/>
      <c r="C281" s="2"/>
      <c r="D281" s="2"/>
      <c r="E281" s="2"/>
      <c r="F281" s="3">
        <v>1.0</v>
      </c>
      <c r="G281" s="3">
        <v>1.0</v>
      </c>
      <c r="H281" s="3">
        <v>1.0</v>
      </c>
      <c r="I281" s="3">
        <v>1.0</v>
      </c>
      <c r="J281" s="3">
        <v>1.0</v>
      </c>
      <c r="K281" s="3">
        <v>1.0</v>
      </c>
      <c r="L281" s="2"/>
      <c r="M281" s="3">
        <v>1.0</v>
      </c>
      <c r="N281" s="3">
        <v>1.0</v>
      </c>
      <c r="O281" s="3">
        <v>1.0</v>
      </c>
      <c r="P281" s="3">
        <v>1.0</v>
      </c>
      <c r="Q281" s="2"/>
      <c r="V281" s="5">
        <f>SUM(B281:P281)/10</f>
        <v>1</v>
      </c>
    </row>
    <row r="282">
      <c r="A282" s="2">
        <v>25.0</v>
      </c>
      <c r="B282" s="2">
        <v>4316.0</v>
      </c>
      <c r="C282" s="2">
        <v>36.0</v>
      </c>
      <c r="D282" s="2">
        <v>44.1542</v>
      </c>
      <c r="E282" s="2">
        <v>-117.1983</v>
      </c>
      <c r="H282" s="3" t="s">
        <v>795</v>
      </c>
      <c r="I282" s="3" t="s">
        <v>18</v>
      </c>
      <c r="J282" s="3" t="s">
        <v>796</v>
      </c>
      <c r="L282" s="2" t="s">
        <v>768</v>
      </c>
      <c r="M282" s="3" t="s">
        <v>797</v>
      </c>
      <c r="N282" s="3" t="s">
        <v>798</v>
      </c>
      <c r="P282" s="3" t="s">
        <v>24</v>
      </c>
      <c r="Q282" s="2" t="s">
        <v>715</v>
      </c>
    </row>
    <row r="283">
      <c r="A283" s="2" t="s">
        <v>799</v>
      </c>
      <c r="B283" s="2"/>
      <c r="C283" s="2"/>
      <c r="D283" s="2"/>
      <c r="E283" s="2"/>
      <c r="F283" s="3">
        <v>1.0</v>
      </c>
      <c r="G283" s="3">
        <v>1.0</v>
      </c>
      <c r="H283" s="3">
        <v>1.0</v>
      </c>
      <c r="I283" s="3">
        <v>1.0</v>
      </c>
      <c r="J283" s="3">
        <v>1.0</v>
      </c>
      <c r="K283" s="3">
        <v>1.0</v>
      </c>
      <c r="L283" s="2"/>
      <c r="M283" s="3">
        <v>0.5</v>
      </c>
      <c r="N283" s="3">
        <v>1.0</v>
      </c>
      <c r="O283" s="3">
        <v>1.0</v>
      </c>
      <c r="P283" s="3">
        <v>1.0</v>
      </c>
      <c r="Q283" s="2"/>
      <c r="V283" s="5">
        <f>SUM(B283:P283)/10</f>
        <v>0.95</v>
      </c>
    </row>
    <row r="284">
      <c r="A284" s="2">
        <v>26.0</v>
      </c>
      <c r="B284" s="2">
        <v>4316.0</v>
      </c>
      <c r="C284" s="2">
        <v>36.0</v>
      </c>
      <c r="D284" s="2">
        <v>44.1542</v>
      </c>
      <c r="E284" s="2">
        <v>-117.1983</v>
      </c>
      <c r="H284" s="3" t="s">
        <v>800</v>
      </c>
      <c r="I284" s="3" t="s">
        <v>18</v>
      </c>
      <c r="J284" s="3" t="s">
        <v>801</v>
      </c>
      <c r="L284" s="2" t="s">
        <v>768</v>
      </c>
      <c r="M284" s="3" t="s">
        <v>802</v>
      </c>
      <c r="N284" s="3" t="s">
        <v>803</v>
      </c>
      <c r="P284" s="3" t="s">
        <v>24</v>
      </c>
      <c r="Q284" s="2" t="s">
        <v>715</v>
      </c>
    </row>
    <row r="285">
      <c r="A285" s="2" t="s">
        <v>804</v>
      </c>
      <c r="B285" s="2"/>
      <c r="C285" s="2"/>
      <c r="D285" s="2"/>
      <c r="E285" s="2"/>
      <c r="F285" s="3">
        <v>1.0</v>
      </c>
      <c r="G285" s="3">
        <v>1.0</v>
      </c>
      <c r="H285" s="3">
        <v>1.0</v>
      </c>
      <c r="I285" s="3">
        <v>1.0</v>
      </c>
      <c r="J285" s="3">
        <v>1.0</v>
      </c>
      <c r="K285" s="3">
        <v>1.0</v>
      </c>
      <c r="L285" s="2"/>
      <c r="M285" s="3">
        <v>1.0</v>
      </c>
      <c r="N285" s="3">
        <v>1.0</v>
      </c>
      <c r="O285" s="3">
        <v>1.0</v>
      </c>
      <c r="P285" s="3">
        <v>1.0</v>
      </c>
      <c r="Q285" s="2"/>
      <c r="V285" s="5">
        <f>SUM(B285:P285)/10</f>
        <v>1</v>
      </c>
    </row>
    <row r="286">
      <c r="A286" s="2">
        <v>27.0</v>
      </c>
      <c r="B286" s="2">
        <v>4316.0</v>
      </c>
      <c r="C286" s="2">
        <v>36.0</v>
      </c>
      <c r="D286" s="2">
        <v>44.1542</v>
      </c>
      <c r="E286" s="2">
        <v>-117.1983</v>
      </c>
      <c r="H286" s="3" t="s">
        <v>805</v>
      </c>
      <c r="I286" s="3" t="s">
        <v>18</v>
      </c>
      <c r="J286" s="3" t="s">
        <v>806</v>
      </c>
      <c r="L286" s="2" t="s">
        <v>768</v>
      </c>
      <c r="M286" s="3" t="s">
        <v>807</v>
      </c>
      <c r="N286" s="3" t="s">
        <v>808</v>
      </c>
      <c r="P286" s="3" t="s">
        <v>24</v>
      </c>
      <c r="Q286" s="2" t="s">
        <v>715</v>
      </c>
    </row>
    <row r="287">
      <c r="A287" s="2" t="s">
        <v>809</v>
      </c>
      <c r="B287" s="2"/>
      <c r="C287" s="2"/>
      <c r="D287" s="2"/>
      <c r="E287" s="2"/>
      <c r="F287" s="3">
        <v>1.0</v>
      </c>
      <c r="G287" s="3">
        <v>1.0</v>
      </c>
      <c r="H287" s="3">
        <v>1.0</v>
      </c>
      <c r="I287" s="3">
        <v>1.0</v>
      </c>
      <c r="J287" s="3">
        <v>1.0</v>
      </c>
      <c r="K287" s="3">
        <v>1.0</v>
      </c>
      <c r="L287" s="2"/>
      <c r="M287" s="3">
        <v>1.0</v>
      </c>
      <c r="N287" s="3">
        <v>1.0</v>
      </c>
      <c r="O287" s="3">
        <v>1.0</v>
      </c>
      <c r="P287" s="3">
        <v>1.0</v>
      </c>
      <c r="Q287" s="2"/>
      <c r="V287" s="5">
        <f>SUM(B287:P287)/10</f>
        <v>1</v>
      </c>
    </row>
    <row r="288">
      <c r="A288" s="2">
        <v>28.0</v>
      </c>
      <c r="B288" s="2">
        <v>4316.0</v>
      </c>
      <c r="C288" s="2">
        <v>36.0</v>
      </c>
      <c r="D288" s="2">
        <v>44.1542</v>
      </c>
      <c r="E288" s="2">
        <v>-117.1983</v>
      </c>
      <c r="H288" s="3" t="s">
        <v>810</v>
      </c>
      <c r="I288" s="3" t="s">
        <v>18</v>
      </c>
      <c r="J288" s="3" t="s">
        <v>811</v>
      </c>
      <c r="L288" s="2" t="s">
        <v>768</v>
      </c>
      <c r="M288" s="3" t="s">
        <v>812</v>
      </c>
      <c r="N288" s="3" t="s">
        <v>813</v>
      </c>
      <c r="P288" s="3" t="s">
        <v>24</v>
      </c>
      <c r="Q288" s="2" t="s">
        <v>715</v>
      </c>
    </row>
    <row r="289">
      <c r="A289" s="2" t="s">
        <v>814</v>
      </c>
      <c r="B289" s="2"/>
      <c r="C289" s="2"/>
      <c r="D289" s="2"/>
      <c r="E289" s="2"/>
      <c r="F289" s="3">
        <v>1.0</v>
      </c>
      <c r="G289" s="3">
        <v>1.0</v>
      </c>
      <c r="H289" s="3">
        <v>1.0</v>
      </c>
      <c r="I289" s="3">
        <v>1.0</v>
      </c>
      <c r="J289" s="3">
        <v>1.0</v>
      </c>
      <c r="K289" s="3">
        <v>1.0</v>
      </c>
      <c r="L289" s="2"/>
      <c r="M289" s="3">
        <v>1.0</v>
      </c>
      <c r="N289" s="3">
        <v>1.0</v>
      </c>
      <c r="O289" s="3">
        <v>1.0</v>
      </c>
      <c r="P289" s="3">
        <v>1.0</v>
      </c>
      <c r="Q289" s="2"/>
      <c r="V289" s="5">
        <f>SUM(B289:P289)/10</f>
        <v>1</v>
      </c>
    </row>
    <row r="290">
      <c r="A290" s="2">
        <v>29.0</v>
      </c>
      <c r="B290" s="2">
        <v>4316.0</v>
      </c>
      <c r="C290" s="2">
        <v>36.0</v>
      </c>
      <c r="D290" s="2">
        <v>43.6831</v>
      </c>
      <c r="E290" s="2">
        <v>-119.0487</v>
      </c>
      <c r="H290" s="3" t="s">
        <v>751</v>
      </c>
      <c r="I290" s="3" t="s">
        <v>18</v>
      </c>
      <c r="J290" s="3" t="s">
        <v>815</v>
      </c>
      <c r="L290" s="2" t="s">
        <v>707</v>
      </c>
      <c r="M290" s="3">
        <v>1917.0</v>
      </c>
      <c r="N290" s="3" t="s">
        <v>816</v>
      </c>
      <c r="P290" s="3" t="s">
        <v>270</v>
      </c>
      <c r="Q290" s="2" t="s">
        <v>715</v>
      </c>
    </row>
    <row r="291">
      <c r="A291" s="2" t="s">
        <v>817</v>
      </c>
      <c r="B291" s="2"/>
      <c r="C291" s="2"/>
      <c r="D291" s="2"/>
      <c r="E291" s="2"/>
      <c r="F291" s="3">
        <v>1.0</v>
      </c>
      <c r="G291" s="3">
        <v>1.0</v>
      </c>
      <c r="H291" s="3">
        <v>1.0</v>
      </c>
      <c r="I291" s="3">
        <v>1.0</v>
      </c>
      <c r="J291" s="3">
        <v>1.0</v>
      </c>
      <c r="K291" s="3">
        <v>1.0</v>
      </c>
      <c r="L291" s="2"/>
      <c r="M291" s="3">
        <v>1.0</v>
      </c>
      <c r="N291" s="3">
        <v>1.0</v>
      </c>
      <c r="O291" s="3">
        <v>1.0</v>
      </c>
      <c r="P291" s="3">
        <v>0.0</v>
      </c>
      <c r="Q291" s="2"/>
      <c r="V291" s="5">
        <f>SUM(B291:P291)/10</f>
        <v>0.9</v>
      </c>
    </row>
    <row r="292">
      <c r="A292" s="2">
        <v>30.0</v>
      </c>
      <c r="B292" s="2">
        <v>4316.0</v>
      </c>
      <c r="C292" s="2">
        <v>36.0</v>
      </c>
      <c r="D292" s="2">
        <v>43.6831</v>
      </c>
      <c r="E292" s="2">
        <v>-119.0487</v>
      </c>
      <c r="H292" s="3" t="s">
        <v>751</v>
      </c>
      <c r="I292" s="3" t="s">
        <v>18</v>
      </c>
      <c r="J292" s="3" t="s">
        <v>818</v>
      </c>
      <c r="L292" s="2" t="s">
        <v>707</v>
      </c>
      <c r="M292" s="3" t="s">
        <v>819</v>
      </c>
      <c r="N292" s="3" t="s">
        <v>820</v>
      </c>
      <c r="P292" s="3" t="s">
        <v>24</v>
      </c>
      <c r="Q292" s="2" t="s">
        <v>715</v>
      </c>
    </row>
    <row r="293">
      <c r="A293" s="2" t="s">
        <v>821</v>
      </c>
      <c r="B293" s="2"/>
      <c r="C293" s="2"/>
      <c r="D293" s="2"/>
      <c r="E293" s="2"/>
      <c r="F293" s="3">
        <v>1.0</v>
      </c>
      <c r="G293" s="3">
        <v>1.0</v>
      </c>
      <c r="H293" s="3">
        <v>1.0</v>
      </c>
      <c r="I293" s="3">
        <v>1.0</v>
      </c>
      <c r="J293" s="3">
        <v>1.0</v>
      </c>
      <c r="K293" s="3">
        <v>1.0</v>
      </c>
      <c r="L293" s="2"/>
      <c r="M293" s="3">
        <v>1.0</v>
      </c>
      <c r="N293" s="3">
        <v>1.0</v>
      </c>
      <c r="O293" s="3">
        <v>1.0</v>
      </c>
      <c r="P293" s="3">
        <v>1.0</v>
      </c>
      <c r="Q293" s="2"/>
      <c r="V293" s="5">
        <f>SUM(B293:P293)/10</f>
        <v>1</v>
      </c>
    </row>
    <row r="294">
      <c r="A294" s="2">
        <v>31.0</v>
      </c>
      <c r="B294" s="2">
        <v>4316.0</v>
      </c>
      <c r="C294" s="2">
        <v>36.0</v>
      </c>
      <c r="D294" s="2">
        <v>43.6831</v>
      </c>
      <c r="E294" s="2">
        <v>-119.0487</v>
      </c>
      <c r="H294" s="3" t="s">
        <v>751</v>
      </c>
      <c r="I294" s="3" t="s">
        <v>18</v>
      </c>
      <c r="J294" s="3" t="s">
        <v>822</v>
      </c>
      <c r="L294" s="2" t="s">
        <v>707</v>
      </c>
      <c r="M294" s="3" t="s">
        <v>823</v>
      </c>
      <c r="N294" s="3" t="s">
        <v>824</v>
      </c>
      <c r="P294" s="3" t="s">
        <v>24</v>
      </c>
      <c r="Q294" s="2" t="s">
        <v>715</v>
      </c>
    </row>
    <row r="295">
      <c r="A295" s="2" t="s">
        <v>825</v>
      </c>
      <c r="B295" s="2"/>
      <c r="C295" s="2"/>
      <c r="D295" s="2"/>
      <c r="E295" s="2"/>
      <c r="F295" s="3">
        <v>1.0</v>
      </c>
      <c r="G295" s="3">
        <v>1.0</v>
      </c>
      <c r="H295" s="3">
        <v>1.0</v>
      </c>
      <c r="I295" s="3">
        <v>1.0</v>
      </c>
      <c r="J295" s="3">
        <v>1.0</v>
      </c>
      <c r="K295" s="3">
        <v>1.0</v>
      </c>
      <c r="L295" s="2"/>
      <c r="M295" s="3">
        <v>1.0</v>
      </c>
      <c r="N295" s="3">
        <v>1.0</v>
      </c>
      <c r="O295" s="3">
        <v>1.0</v>
      </c>
      <c r="P295" s="3">
        <v>1.0</v>
      </c>
      <c r="Q295" s="2"/>
      <c r="V295" s="5">
        <f>SUM(B295:P295)/10</f>
        <v>1</v>
      </c>
    </row>
    <row r="296">
      <c r="A296" s="2">
        <v>32.0</v>
      </c>
      <c r="B296" s="2">
        <v>4316.0</v>
      </c>
      <c r="C296" s="2">
        <v>36.0</v>
      </c>
      <c r="D296" s="2">
        <v>43.9167</v>
      </c>
      <c r="E296" s="2">
        <v>-117.9167</v>
      </c>
      <c r="H296" s="3" t="s">
        <v>826</v>
      </c>
      <c r="I296" s="3" t="s">
        <v>18</v>
      </c>
      <c r="J296" s="3" t="s">
        <v>827</v>
      </c>
      <c r="L296" s="2" t="s">
        <v>768</v>
      </c>
      <c r="M296" s="3" t="s">
        <v>828</v>
      </c>
      <c r="N296" s="3" t="s">
        <v>829</v>
      </c>
      <c r="P296" s="3" t="s">
        <v>24</v>
      </c>
      <c r="Q296" s="2" t="s">
        <v>715</v>
      </c>
    </row>
    <row r="297">
      <c r="A297" s="2" t="s">
        <v>830</v>
      </c>
      <c r="B297" s="2"/>
      <c r="C297" s="2"/>
      <c r="D297" s="2"/>
      <c r="E297" s="2"/>
      <c r="F297" s="3">
        <v>1.0</v>
      </c>
      <c r="G297" s="3">
        <v>1.0</v>
      </c>
      <c r="H297" s="3">
        <v>1.0</v>
      </c>
      <c r="I297" s="3">
        <v>1.0</v>
      </c>
      <c r="J297" s="3">
        <v>1.0</v>
      </c>
      <c r="K297" s="3">
        <v>1.0</v>
      </c>
      <c r="L297" s="2"/>
      <c r="M297" s="3">
        <v>0.5</v>
      </c>
      <c r="N297" s="3">
        <v>0.0</v>
      </c>
      <c r="O297" s="3">
        <v>1.0</v>
      </c>
      <c r="P297" s="3">
        <v>1.0</v>
      </c>
      <c r="Q297" s="2"/>
      <c r="V297" s="5">
        <f>SUM(B297:P297)/10</f>
        <v>0.85</v>
      </c>
    </row>
    <row r="298">
      <c r="A298" s="2">
        <v>33.0</v>
      </c>
      <c r="B298" s="2">
        <v>4316.0</v>
      </c>
      <c r="C298" s="2">
        <v>36.0</v>
      </c>
      <c r="D298" s="2">
        <v>43.9167</v>
      </c>
      <c r="E298" s="2">
        <v>-117.9167</v>
      </c>
      <c r="H298" s="3" t="s">
        <v>831</v>
      </c>
      <c r="I298" s="3" t="s">
        <v>18</v>
      </c>
      <c r="J298" s="3" t="s">
        <v>832</v>
      </c>
      <c r="L298" s="2" t="s">
        <v>768</v>
      </c>
      <c r="M298" s="22">
        <v>4353.0</v>
      </c>
      <c r="N298" s="3" t="s">
        <v>833</v>
      </c>
      <c r="P298" s="3" t="s">
        <v>24</v>
      </c>
      <c r="Q298" s="2" t="s">
        <v>715</v>
      </c>
    </row>
    <row r="299">
      <c r="A299" s="2" t="s">
        <v>834</v>
      </c>
      <c r="B299" s="2"/>
      <c r="C299" s="2"/>
      <c r="D299" s="2"/>
      <c r="E299" s="2"/>
      <c r="F299" s="3">
        <v>1.0</v>
      </c>
      <c r="G299" s="3">
        <v>1.0</v>
      </c>
      <c r="H299" s="3">
        <v>1.0</v>
      </c>
      <c r="I299" s="3">
        <v>1.0</v>
      </c>
      <c r="J299" s="3">
        <v>1.0</v>
      </c>
      <c r="K299" s="3">
        <v>1.0</v>
      </c>
      <c r="L299" s="2"/>
      <c r="M299" s="3">
        <v>1.0</v>
      </c>
      <c r="N299" s="3">
        <v>1.0</v>
      </c>
      <c r="O299" s="3">
        <v>1.0</v>
      </c>
      <c r="P299" s="3">
        <v>1.0</v>
      </c>
      <c r="Q299" s="2"/>
      <c r="V299" s="5">
        <f>SUM(B299:P299)/10</f>
        <v>1</v>
      </c>
    </row>
    <row r="300">
      <c r="A300" s="2">
        <v>34.0</v>
      </c>
      <c r="B300" s="2">
        <v>4316.0</v>
      </c>
      <c r="C300" s="2">
        <v>36.0</v>
      </c>
      <c r="D300" s="2">
        <v>43.9167</v>
      </c>
      <c r="E300" s="2">
        <v>-117.9167</v>
      </c>
      <c r="H300" s="3" t="s">
        <v>826</v>
      </c>
      <c r="I300" s="3" t="s">
        <v>18</v>
      </c>
      <c r="J300" s="3" t="s">
        <v>835</v>
      </c>
      <c r="L300" s="2" t="s">
        <v>768</v>
      </c>
      <c r="M300" s="3" t="s">
        <v>836</v>
      </c>
      <c r="N300" s="3" t="s">
        <v>837</v>
      </c>
      <c r="P300" s="3" t="s">
        <v>74</v>
      </c>
      <c r="Q300" s="2" t="s">
        <v>710</v>
      </c>
    </row>
    <row r="301">
      <c r="A301" s="2" t="s">
        <v>838</v>
      </c>
      <c r="B301" s="2"/>
      <c r="C301" s="2"/>
      <c r="D301" s="2"/>
      <c r="E301" s="2"/>
      <c r="F301" s="3">
        <v>1.0</v>
      </c>
      <c r="G301" s="3">
        <v>1.0</v>
      </c>
      <c r="H301" s="3">
        <v>1.0</v>
      </c>
      <c r="I301" s="3">
        <v>1.0</v>
      </c>
      <c r="J301" s="3">
        <v>1.0</v>
      </c>
      <c r="K301" s="3">
        <v>1.0</v>
      </c>
      <c r="L301" s="2"/>
      <c r="M301" s="3">
        <v>1.0</v>
      </c>
      <c r="N301" s="3">
        <v>1.0</v>
      </c>
      <c r="O301" s="3">
        <v>1.0</v>
      </c>
      <c r="P301" s="3">
        <v>1.0</v>
      </c>
      <c r="Q301" s="2"/>
      <c r="V301" s="5">
        <f>SUM(B301:P301)/10</f>
        <v>1</v>
      </c>
    </row>
    <row r="302">
      <c r="A302" s="2">
        <v>35.0</v>
      </c>
      <c r="B302" s="2">
        <v>4316.0</v>
      </c>
      <c r="C302" s="2">
        <v>36.0</v>
      </c>
      <c r="D302" s="2">
        <v>43.9167</v>
      </c>
      <c r="E302" s="2">
        <v>-117.9167</v>
      </c>
      <c r="H302" s="3" t="s">
        <v>831</v>
      </c>
      <c r="I302" s="3" t="s">
        <v>18</v>
      </c>
      <c r="J302" s="3" t="s">
        <v>839</v>
      </c>
      <c r="L302" s="2" t="s">
        <v>768</v>
      </c>
      <c r="M302" s="3">
        <v>1911.0</v>
      </c>
      <c r="N302" s="3" t="s">
        <v>840</v>
      </c>
      <c r="P302" s="3" t="s">
        <v>24</v>
      </c>
      <c r="Q302" s="2" t="s">
        <v>715</v>
      </c>
    </row>
    <row r="303">
      <c r="A303" s="2" t="s">
        <v>841</v>
      </c>
      <c r="B303" s="2"/>
      <c r="C303" s="2"/>
      <c r="D303" s="2"/>
      <c r="E303" s="2"/>
      <c r="F303" s="3">
        <v>1.0</v>
      </c>
      <c r="G303" s="3">
        <v>1.0</v>
      </c>
      <c r="H303" s="3">
        <v>1.0</v>
      </c>
      <c r="I303" s="3">
        <v>1.0</v>
      </c>
      <c r="J303" s="3">
        <v>1.0</v>
      </c>
      <c r="K303" s="3">
        <v>1.0</v>
      </c>
      <c r="L303" s="2"/>
      <c r="M303" s="3">
        <v>1.0</v>
      </c>
      <c r="N303" s="3">
        <v>1.0</v>
      </c>
      <c r="O303" s="3">
        <v>1.0</v>
      </c>
      <c r="P303" s="3">
        <v>1.0</v>
      </c>
      <c r="Q303" s="2"/>
      <c r="V303" s="5">
        <f>SUM(B303:P303)/10</f>
        <v>1</v>
      </c>
    </row>
    <row r="304">
      <c r="A304" s="2">
        <v>173.0</v>
      </c>
      <c r="B304" s="2">
        <v>4561.0</v>
      </c>
      <c r="C304" s="2">
        <v>309.0</v>
      </c>
      <c r="D304" s="2">
        <v>39.4648</v>
      </c>
      <c r="E304" s="2">
        <v>-123.3513</v>
      </c>
      <c r="H304" s="3" t="s">
        <v>842</v>
      </c>
      <c r="I304" s="3" t="s">
        <v>18</v>
      </c>
      <c r="J304" s="3" t="s">
        <v>843</v>
      </c>
      <c r="L304" s="2" t="s">
        <v>844</v>
      </c>
      <c r="M304" s="3" t="s">
        <v>845</v>
      </c>
      <c r="N304" s="3" t="s">
        <v>846</v>
      </c>
      <c r="O304" s="3" t="s">
        <v>847</v>
      </c>
      <c r="P304" s="3" t="s">
        <v>24</v>
      </c>
      <c r="Q304" s="2" t="s">
        <v>848</v>
      </c>
    </row>
    <row r="305">
      <c r="A305" s="2" t="s">
        <v>849</v>
      </c>
      <c r="B305" s="2"/>
      <c r="C305" s="2"/>
      <c r="D305" s="2"/>
      <c r="E305" s="2"/>
      <c r="F305" s="3">
        <v>1.0</v>
      </c>
      <c r="G305" s="3">
        <v>1.0</v>
      </c>
      <c r="H305" s="3">
        <v>1.0</v>
      </c>
      <c r="I305" s="3">
        <v>1.0</v>
      </c>
      <c r="J305" s="3">
        <v>1.0</v>
      </c>
      <c r="K305" s="3">
        <v>1.0</v>
      </c>
      <c r="L305" s="2"/>
      <c r="M305" s="3">
        <v>1.0</v>
      </c>
      <c r="N305" s="3">
        <v>1.0</v>
      </c>
      <c r="O305" s="3">
        <v>1.0</v>
      </c>
      <c r="P305" s="3">
        <v>1.0</v>
      </c>
      <c r="Q305" s="2"/>
      <c r="V305" s="5">
        <f>SUM(B305:P305)/10</f>
        <v>1</v>
      </c>
    </row>
    <row r="306">
      <c r="A306" s="2">
        <v>174.0</v>
      </c>
      <c r="B306" s="2">
        <v>4561.0</v>
      </c>
      <c r="C306" s="2">
        <v>309.0</v>
      </c>
      <c r="D306" s="2">
        <v>40.0115</v>
      </c>
      <c r="E306" s="2">
        <v>-123.8581</v>
      </c>
      <c r="H306" s="3" t="s">
        <v>850</v>
      </c>
      <c r="I306" s="3" t="s">
        <v>18</v>
      </c>
      <c r="J306" s="3" t="s">
        <v>851</v>
      </c>
      <c r="L306" s="2" t="s">
        <v>844</v>
      </c>
      <c r="M306" s="3" t="s">
        <v>852</v>
      </c>
      <c r="N306" s="3" t="s">
        <v>853</v>
      </c>
      <c r="O306" s="3" t="s">
        <v>847</v>
      </c>
      <c r="P306" s="3" t="s">
        <v>24</v>
      </c>
      <c r="Q306" s="2" t="s">
        <v>854</v>
      </c>
      <c r="V306" s="5"/>
    </row>
    <row r="307">
      <c r="A307" s="2" t="s">
        <v>855</v>
      </c>
      <c r="B307" s="2"/>
      <c r="C307" s="2"/>
      <c r="D307" s="2"/>
      <c r="E307" s="2"/>
      <c r="F307" s="3">
        <v>1.0</v>
      </c>
      <c r="G307" s="3">
        <v>1.0</v>
      </c>
      <c r="H307" s="3">
        <v>1.0</v>
      </c>
      <c r="I307" s="3">
        <v>1.0</v>
      </c>
      <c r="J307" s="3">
        <v>1.0</v>
      </c>
      <c r="K307" s="3">
        <v>1.0</v>
      </c>
      <c r="L307" s="2"/>
      <c r="M307" s="3">
        <v>1.0</v>
      </c>
      <c r="N307" s="3">
        <v>1.0</v>
      </c>
      <c r="O307" s="3">
        <v>1.0</v>
      </c>
      <c r="P307" s="3">
        <v>1.0</v>
      </c>
      <c r="Q307" s="2"/>
      <c r="V307" s="5">
        <f>SUM(B307:P307)/10</f>
        <v>1</v>
      </c>
    </row>
    <row r="308">
      <c r="A308" s="2">
        <v>175.0</v>
      </c>
      <c r="B308" s="2">
        <v>4561.0</v>
      </c>
      <c r="C308" s="2">
        <v>309.0</v>
      </c>
      <c r="D308" s="2">
        <v>40.5731</v>
      </c>
      <c r="E308" s="2">
        <v>-123.7973</v>
      </c>
      <c r="H308" s="3" t="s">
        <v>856</v>
      </c>
      <c r="I308" s="3" t="s">
        <v>18</v>
      </c>
      <c r="J308" s="3" t="s">
        <v>857</v>
      </c>
      <c r="L308" s="2" t="s">
        <v>844</v>
      </c>
      <c r="M308" s="3" t="s">
        <v>858</v>
      </c>
      <c r="N308" s="3" t="s">
        <v>859</v>
      </c>
      <c r="O308" s="3" t="s">
        <v>847</v>
      </c>
      <c r="P308" s="3" t="s">
        <v>24</v>
      </c>
      <c r="Q308" s="2" t="s">
        <v>848</v>
      </c>
    </row>
    <row r="309">
      <c r="A309" s="2" t="s">
        <v>860</v>
      </c>
      <c r="B309" s="2"/>
      <c r="C309" s="2"/>
      <c r="D309" s="2"/>
      <c r="E309" s="2"/>
      <c r="F309" s="3">
        <v>1.0</v>
      </c>
      <c r="G309" s="3">
        <v>1.0</v>
      </c>
      <c r="H309" s="3">
        <v>1.0</v>
      </c>
      <c r="I309" s="3">
        <v>1.0</v>
      </c>
      <c r="J309" s="3">
        <v>1.0</v>
      </c>
      <c r="K309" s="3">
        <v>1.0</v>
      </c>
      <c r="L309" s="2"/>
      <c r="M309" s="3">
        <v>1.0</v>
      </c>
      <c r="N309" s="3">
        <v>1.0</v>
      </c>
      <c r="O309" s="3">
        <v>1.0</v>
      </c>
      <c r="P309" s="3">
        <v>1.0</v>
      </c>
      <c r="Q309" s="2"/>
      <c r="V309" s="5">
        <f>SUM(B309:P309)/10</f>
        <v>1</v>
      </c>
    </row>
    <row r="310">
      <c r="A310" s="2">
        <v>176.0</v>
      </c>
      <c r="B310" s="2">
        <v>4561.0</v>
      </c>
      <c r="C310" s="2">
        <v>309.0</v>
      </c>
      <c r="D310" s="2">
        <v>42.5789</v>
      </c>
      <c r="E310" s="2">
        <v>-121.7543</v>
      </c>
      <c r="H310" s="3" t="s">
        <v>861</v>
      </c>
      <c r="I310" s="3" t="s">
        <v>862</v>
      </c>
      <c r="J310" s="3" t="s">
        <v>863</v>
      </c>
      <c r="L310" s="2" t="s">
        <v>864</v>
      </c>
      <c r="M310" s="3" t="s">
        <v>865</v>
      </c>
      <c r="N310" s="3" t="s">
        <v>866</v>
      </c>
      <c r="O310" s="3" t="s">
        <v>847</v>
      </c>
      <c r="P310" s="3" t="s">
        <v>24</v>
      </c>
      <c r="Q310" s="2" t="s">
        <v>867</v>
      </c>
    </row>
    <row r="311">
      <c r="A311" s="2" t="s">
        <v>868</v>
      </c>
      <c r="B311" s="2"/>
      <c r="C311" s="2"/>
      <c r="D311" s="2"/>
      <c r="E311" s="2"/>
      <c r="F311" s="3">
        <v>1.0</v>
      </c>
      <c r="G311" s="3">
        <v>1.0</v>
      </c>
      <c r="H311" s="3">
        <v>1.0</v>
      </c>
      <c r="I311" s="3">
        <v>1.0</v>
      </c>
      <c r="J311" s="3">
        <v>1.0</v>
      </c>
      <c r="K311" s="3">
        <v>1.0</v>
      </c>
      <c r="L311" s="2"/>
      <c r="M311" s="3">
        <v>1.0</v>
      </c>
      <c r="N311" s="3">
        <v>1.0</v>
      </c>
      <c r="O311" s="3">
        <v>1.0</v>
      </c>
      <c r="P311" s="3">
        <v>1.0</v>
      </c>
      <c r="Q311" s="2"/>
      <c r="V311" s="5">
        <f>SUM(B311:P311)/10</f>
        <v>1</v>
      </c>
    </row>
    <row r="312">
      <c r="A312" s="2">
        <v>177.0</v>
      </c>
      <c r="B312" s="2">
        <v>4561.0</v>
      </c>
      <c r="C312" s="2">
        <v>309.0</v>
      </c>
      <c r="D312" s="2">
        <v>42.5983</v>
      </c>
      <c r="E312" s="2">
        <v>-121.7426</v>
      </c>
      <c r="H312" s="3" t="s">
        <v>869</v>
      </c>
      <c r="I312" s="3" t="s">
        <v>18</v>
      </c>
      <c r="J312" s="3" t="s">
        <v>870</v>
      </c>
      <c r="L312" s="2" t="s">
        <v>864</v>
      </c>
      <c r="M312" s="3" t="s">
        <v>865</v>
      </c>
      <c r="N312" s="3" t="s">
        <v>866</v>
      </c>
      <c r="O312" s="3" t="s">
        <v>847</v>
      </c>
      <c r="P312" s="3" t="s">
        <v>24</v>
      </c>
      <c r="Q312" s="2" t="s">
        <v>867</v>
      </c>
    </row>
    <row r="313">
      <c r="A313" s="2" t="s">
        <v>871</v>
      </c>
      <c r="B313" s="2"/>
      <c r="C313" s="2"/>
      <c r="D313" s="2"/>
      <c r="E313" s="2"/>
      <c r="F313" s="3">
        <v>1.0</v>
      </c>
      <c r="G313" s="3">
        <v>1.0</v>
      </c>
      <c r="H313" s="3">
        <v>1.0</v>
      </c>
      <c r="I313" s="3">
        <v>1.0</v>
      </c>
      <c r="J313" s="3">
        <v>1.0</v>
      </c>
      <c r="K313" s="3">
        <v>1.0</v>
      </c>
      <c r="L313" s="2"/>
      <c r="M313" s="3">
        <v>1.0</v>
      </c>
      <c r="N313" s="3">
        <v>1.0</v>
      </c>
      <c r="O313" s="3">
        <v>1.0</v>
      </c>
      <c r="P313" s="3">
        <v>1.0</v>
      </c>
      <c r="Q313" s="2"/>
      <c r="V313" s="5">
        <f>SUM(B313:P313)/10</f>
        <v>1</v>
      </c>
    </row>
    <row r="314">
      <c r="A314" s="2">
        <v>178.0</v>
      </c>
      <c r="B314" s="2">
        <v>4561.0</v>
      </c>
      <c r="C314" s="2">
        <v>309.0</v>
      </c>
      <c r="D314" s="2">
        <v>42.3336</v>
      </c>
      <c r="E314" s="2">
        <v>-123.0024</v>
      </c>
      <c r="H314" s="3" t="s">
        <v>872</v>
      </c>
      <c r="I314" s="3" t="s">
        <v>18</v>
      </c>
      <c r="J314" s="3" t="s">
        <v>873</v>
      </c>
      <c r="L314" s="2" t="s">
        <v>874</v>
      </c>
      <c r="M314" s="3" t="s">
        <v>875</v>
      </c>
      <c r="N314" s="3" t="s">
        <v>853</v>
      </c>
      <c r="O314" s="3" t="s">
        <v>847</v>
      </c>
      <c r="P314" s="3" t="s">
        <v>24</v>
      </c>
      <c r="Q314" s="2" t="s">
        <v>876</v>
      </c>
    </row>
    <row r="315">
      <c r="A315" s="2" t="s">
        <v>877</v>
      </c>
      <c r="B315" s="2"/>
      <c r="C315" s="2"/>
      <c r="D315" s="2"/>
      <c r="E315" s="2"/>
      <c r="F315" s="3">
        <v>1.0</v>
      </c>
      <c r="G315" s="3">
        <v>1.0</v>
      </c>
      <c r="H315" s="3">
        <v>1.0</v>
      </c>
      <c r="I315" s="3">
        <v>1.0</v>
      </c>
      <c r="J315" s="3">
        <v>1.0</v>
      </c>
      <c r="K315" s="3">
        <v>1.0</v>
      </c>
      <c r="L315" s="2"/>
      <c r="M315" s="3">
        <v>0.5</v>
      </c>
      <c r="N315" s="3">
        <v>0.0</v>
      </c>
      <c r="O315" s="3">
        <v>1.0</v>
      </c>
      <c r="P315" s="3">
        <v>1.0</v>
      </c>
      <c r="Q315" s="2"/>
      <c r="V315" s="5">
        <f>SUM(B315:P315)/10</f>
        <v>0.85</v>
      </c>
    </row>
    <row r="316">
      <c r="A316" s="2">
        <v>179.0</v>
      </c>
      <c r="B316" s="2">
        <v>4561.0</v>
      </c>
      <c r="C316" s="2">
        <v>309.0</v>
      </c>
      <c r="D316" s="2">
        <v>42.3542</v>
      </c>
      <c r="E316" s="2">
        <v>-122.9007</v>
      </c>
      <c r="H316" s="3" t="s">
        <v>878</v>
      </c>
      <c r="I316" s="3" t="s">
        <v>18</v>
      </c>
      <c r="J316" s="3" t="s">
        <v>879</v>
      </c>
      <c r="L316" s="2" t="s">
        <v>874</v>
      </c>
      <c r="M316" s="3" t="s">
        <v>880</v>
      </c>
      <c r="N316" s="3" t="s">
        <v>866</v>
      </c>
      <c r="O316" s="3" t="s">
        <v>847</v>
      </c>
      <c r="P316" s="3" t="s">
        <v>24</v>
      </c>
      <c r="Q316" s="2" t="s">
        <v>876</v>
      </c>
    </row>
    <row r="317">
      <c r="A317" s="2" t="s">
        <v>881</v>
      </c>
      <c r="B317" s="2"/>
      <c r="C317" s="2"/>
      <c r="D317" s="2"/>
      <c r="E317" s="2"/>
      <c r="F317" s="3">
        <v>1.0</v>
      </c>
      <c r="G317" s="3">
        <v>1.0</v>
      </c>
      <c r="H317" s="3">
        <v>1.0</v>
      </c>
      <c r="I317" s="3">
        <v>1.0</v>
      </c>
      <c r="J317" s="3">
        <v>1.0</v>
      </c>
      <c r="K317" s="3">
        <v>1.0</v>
      </c>
      <c r="L317" s="2"/>
      <c r="M317" s="3">
        <v>0.5</v>
      </c>
      <c r="N317" s="3">
        <v>0.0</v>
      </c>
      <c r="O317" s="3">
        <v>1.0</v>
      </c>
      <c r="P317" s="3">
        <v>1.0</v>
      </c>
      <c r="Q317" s="2"/>
      <c r="V317" s="5">
        <f>SUM(B317:P317)/10</f>
        <v>0.85</v>
      </c>
    </row>
    <row r="318">
      <c r="A318" s="2">
        <v>180.0</v>
      </c>
      <c r="B318" s="2">
        <v>4561.0</v>
      </c>
      <c r="C318" s="2">
        <v>309.0</v>
      </c>
      <c r="D318" s="2">
        <v>44.7957</v>
      </c>
      <c r="E318" s="2">
        <v>-117.7223</v>
      </c>
      <c r="H318" s="3" t="s">
        <v>882</v>
      </c>
      <c r="I318" s="3" t="s">
        <v>883</v>
      </c>
      <c r="J318" s="3" t="s">
        <v>884</v>
      </c>
      <c r="L318" s="2" t="s">
        <v>885</v>
      </c>
      <c r="M318" s="3" t="s">
        <v>886</v>
      </c>
      <c r="N318" s="3" t="s">
        <v>887</v>
      </c>
      <c r="O318" s="3" t="s">
        <v>847</v>
      </c>
      <c r="P318" s="3" t="s">
        <v>24</v>
      </c>
      <c r="Q318" s="2" t="s">
        <v>888</v>
      </c>
    </row>
    <row r="319">
      <c r="A319" s="2" t="s">
        <v>889</v>
      </c>
      <c r="B319" s="2"/>
      <c r="C319" s="2"/>
      <c r="D319" s="2"/>
      <c r="E319" s="2"/>
      <c r="F319" s="3">
        <v>1.0</v>
      </c>
      <c r="G319" s="3">
        <v>1.0</v>
      </c>
      <c r="H319" s="3">
        <v>1.0</v>
      </c>
      <c r="I319" s="3">
        <v>1.0</v>
      </c>
      <c r="J319" s="3">
        <v>1.0</v>
      </c>
      <c r="K319" s="3">
        <v>1.0</v>
      </c>
      <c r="L319" s="2"/>
      <c r="M319" s="3">
        <v>1.0</v>
      </c>
      <c r="N319" s="3">
        <v>1.0</v>
      </c>
      <c r="O319" s="3">
        <v>1.0</v>
      </c>
      <c r="P319" s="3">
        <v>1.0</v>
      </c>
      <c r="Q319" s="2"/>
      <c r="V319" s="5">
        <f>SUM(B319:P319)/10</f>
        <v>1</v>
      </c>
    </row>
    <row r="320">
      <c r="A320" s="2">
        <v>181.0</v>
      </c>
      <c r="B320" s="2">
        <v>4561.0</v>
      </c>
      <c r="C320" s="2">
        <v>309.0</v>
      </c>
      <c r="D320" s="2">
        <v>42.7364</v>
      </c>
      <c r="E320" s="2">
        <v>-121.8027</v>
      </c>
      <c r="H320" s="3" t="s">
        <v>890</v>
      </c>
      <c r="I320" s="3" t="s">
        <v>891</v>
      </c>
      <c r="J320" s="3" t="s">
        <v>892</v>
      </c>
      <c r="L320" s="2" t="s">
        <v>864</v>
      </c>
      <c r="M320" s="3" t="s">
        <v>893</v>
      </c>
      <c r="N320" s="3" t="s">
        <v>887</v>
      </c>
      <c r="O320" s="3" t="s">
        <v>847</v>
      </c>
      <c r="P320" s="3" t="s">
        <v>24</v>
      </c>
      <c r="Q320" s="2" t="s">
        <v>894</v>
      </c>
    </row>
    <row r="321">
      <c r="A321" s="2" t="s">
        <v>895</v>
      </c>
      <c r="B321" s="2"/>
      <c r="C321" s="2"/>
      <c r="D321" s="2"/>
      <c r="E321" s="2"/>
      <c r="F321" s="3">
        <v>1.0</v>
      </c>
      <c r="G321" s="3">
        <v>1.0</v>
      </c>
      <c r="H321" s="3">
        <v>1.0</v>
      </c>
      <c r="I321" s="3">
        <v>1.0</v>
      </c>
      <c r="J321" s="3">
        <v>1.0</v>
      </c>
      <c r="K321" s="3">
        <v>1.0</v>
      </c>
      <c r="L321" s="2"/>
      <c r="M321" s="3">
        <v>0.5</v>
      </c>
      <c r="N321" s="3">
        <v>0.5</v>
      </c>
      <c r="O321" s="3">
        <v>1.0</v>
      </c>
      <c r="P321" s="3">
        <v>1.0</v>
      </c>
      <c r="Q321" s="2"/>
      <c r="V321" s="5">
        <f>SUM(B321:P321)/10</f>
        <v>0.9</v>
      </c>
    </row>
    <row r="322">
      <c r="A322" s="2">
        <v>182.0</v>
      </c>
      <c r="B322" s="2">
        <v>4561.0</v>
      </c>
      <c r="C322" s="2">
        <v>309.0</v>
      </c>
      <c r="D322" s="2">
        <v>42.6777</v>
      </c>
      <c r="E322" s="2">
        <v>-121.7365</v>
      </c>
      <c r="H322" s="3" t="s">
        <v>896</v>
      </c>
      <c r="I322" s="3" t="s">
        <v>897</v>
      </c>
      <c r="J322" s="3" t="s">
        <v>898</v>
      </c>
      <c r="L322" s="2" t="s">
        <v>864</v>
      </c>
      <c r="M322" s="3" t="s">
        <v>893</v>
      </c>
      <c r="N322" s="3" t="s">
        <v>887</v>
      </c>
      <c r="O322" s="3" t="s">
        <v>847</v>
      </c>
      <c r="P322" s="3" t="s">
        <v>24</v>
      </c>
      <c r="Q322" s="2" t="s">
        <v>894</v>
      </c>
    </row>
    <row r="323">
      <c r="A323" s="2" t="s">
        <v>899</v>
      </c>
      <c r="B323" s="2"/>
      <c r="C323" s="2"/>
      <c r="D323" s="2"/>
      <c r="E323" s="2"/>
      <c r="F323" s="3">
        <v>1.0</v>
      </c>
      <c r="G323" s="3">
        <v>1.0</v>
      </c>
      <c r="H323" s="3">
        <v>1.0</v>
      </c>
      <c r="I323" s="3">
        <v>1.0</v>
      </c>
      <c r="J323" s="3">
        <v>1.0</v>
      </c>
      <c r="K323" s="3">
        <v>1.0</v>
      </c>
      <c r="L323" s="2"/>
      <c r="M323" s="3">
        <v>0.5</v>
      </c>
      <c r="N323" s="3">
        <v>0.0</v>
      </c>
      <c r="O323" s="3">
        <v>1.0</v>
      </c>
      <c r="P323" s="3">
        <v>1.0</v>
      </c>
      <c r="Q323" s="2"/>
      <c r="V323" s="5">
        <f>SUM(B323:P323)/10</f>
        <v>0.85</v>
      </c>
    </row>
    <row r="324">
      <c r="A324" s="2">
        <v>183.0</v>
      </c>
      <c r="B324" s="2">
        <v>4561.0</v>
      </c>
      <c r="C324" s="2">
        <v>309.0</v>
      </c>
      <c r="D324" s="2">
        <v>42.6792</v>
      </c>
      <c r="E324" s="2">
        <v>-121.7438</v>
      </c>
      <c r="H324" s="3" t="s">
        <v>900</v>
      </c>
      <c r="I324" s="3" t="s">
        <v>18</v>
      </c>
      <c r="J324" s="3" t="s">
        <v>901</v>
      </c>
      <c r="L324" s="2" t="s">
        <v>864</v>
      </c>
      <c r="M324" s="3" t="s">
        <v>902</v>
      </c>
      <c r="N324" s="3" t="s">
        <v>887</v>
      </c>
      <c r="O324" s="3" t="s">
        <v>847</v>
      </c>
      <c r="P324" s="3" t="s">
        <v>24</v>
      </c>
      <c r="Q324" s="2" t="s">
        <v>903</v>
      </c>
    </row>
    <row r="325">
      <c r="A325" s="2" t="s">
        <v>904</v>
      </c>
      <c r="B325" s="2"/>
      <c r="C325" s="2"/>
      <c r="D325" s="2"/>
      <c r="E325" s="2"/>
      <c r="F325" s="3">
        <v>1.0</v>
      </c>
      <c r="G325" s="3">
        <v>1.0</v>
      </c>
      <c r="H325" s="3">
        <v>1.0</v>
      </c>
      <c r="I325" s="3">
        <v>1.0</v>
      </c>
      <c r="J325" s="3">
        <v>1.0</v>
      </c>
      <c r="K325" s="3">
        <v>1.0</v>
      </c>
      <c r="L325" s="2"/>
      <c r="M325" s="3">
        <v>1.0</v>
      </c>
      <c r="N325" s="3">
        <v>1.0</v>
      </c>
      <c r="O325" s="3">
        <v>1.0</v>
      </c>
      <c r="P325" s="3">
        <v>1.0</v>
      </c>
      <c r="Q325" s="2"/>
      <c r="V325" s="5">
        <f>SUM(B325:P325)/10</f>
        <v>1</v>
      </c>
    </row>
    <row r="326">
      <c r="A326" s="2">
        <v>184.0</v>
      </c>
      <c r="B326" s="2">
        <v>4561.0</v>
      </c>
      <c r="C326" s="2">
        <v>309.0</v>
      </c>
      <c r="D326" s="2">
        <v>41.6666</v>
      </c>
      <c r="E326" s="2">
        <v>-122.1667</v>
      </c>
      <c r="H326" s="3" t="s">
        <v>905</v>
      </c>
      <c r="I326" s="3" t="s">
        <v>906</v>
      </c>
      <c r="J326" s="3" t="s">
        <v>907</v>
      </c>
      <c r="L326" s="2" t="s">
        <v>908</v>
      </c>
      <c r="M326" s="3" t="s">
        <v>909</v>
      </c>
      <c r="N326" s="3" t="s">
        <v>853</v>
      </c>
      <c r="O326" s="3" t="s">
        <v>847</v>
      </c>
      <c r="P326" s="3" t="s">
        <v>24</v>
      </c>
      <c r="Q326" s="2" t="s">
        <v>903</v>
      </c>
    </row>
    <row r="327">
      <c r="A327" s="2" t="s">
        <v>910</v>
      </c>
      <c r="B327" s="2"/>
      <c r="C327" s="2"/>
      <c r="D327" s="2"/>
      <c r="E327" s="2"/>
      <c r="F327" s="3">
        <v>1.0</v>
      </c>
      <c r="G327" s="3">
        <v>1.0</v>
      </c>
      <c r="H327" s="3">
        <v>1.0</v>
      </c>
      <c r="I327" s="3">
        <v>1.0</v>
      </c>
      <c r="J327" s="3">
        <v>1.0</v>
      </c>
      <c r="K327" s="3">
        <v>1.0</v>
      </c>
      <c r="L327" s="2"/>
      <c r="M327" s="3">
        <v>1.0</v>
      </c>
      <c r="N327" s="3">
        <v>0.0</v>
      </c>
      <c r="O327" s="3">
        <v>1.0</v>
      </c>
      <c r="P327" s="3">
        <v>1.0</v>
      </c>
      <c r="Q327" s="2"/>
      <c r="V327" s="5">
        <f>SUM(B327:P327)/10</f>
        <v>0.9</v>
      </c>
    </row>
    <row r="328">
      <c r="A328" s="2">
        <v>185.0</v>
      </c>
      <c r="B328" s="2">
        <v>4561.0</v>
      </c>
      <c r="C328" s="2">
        <v>309.0</v>
      </c>
      <c r="D328" s="2">
        <v>41.7333</v>
      </c>
      <c r="E328" s="2">
        <v>-122.8333</v>
      </c>
      <c r="H328" s="3" t="s">
        <v>911</v>
      </c>
      <c r="I328" s="3" t="s">
        <v>18</v>
      </c>
      <c r="J328" s="3" t="s">
        <v>912</v>
      </c>
      <c r="L328" s="2" t="s">
        <v>908</v>
      </c>
      <c r="M328" s="3" t="s">
        <v>913</v>
      </c>
      <c r="N328" s="3" t="s">
        <v>866</v>
      </c>
      <c r="O328" s="3" t="s">
        <v>847</v>
      </c>
      <c r="P328" s="3" t="s">
        <v>24</v>
      </c>
      <c r="Q328" s="2" t="s">
        <v>903</v>
      </c>
    </row>
    <row r="329">
      <c r="A329" s="2" t="s">
        <v>914</v>
      </c>
      <c r="B329" s="2"/>
      <c r="C329" s="2"/>
      <c r="D329" s="2"/>
      <c r="E329" s="2"/>
      <c r="F329" s="3">
        <v>1.0</v>
      </c>
      <c r="G329" s="3">
        <v>1.0</v>
      </c>
      <c r="H329" s="3">
        <v>1.0</v>
      </c>
      <c r="I329" s="3">
        <v>1.0</v>
      </c>
      <c r="J329" s="3">
        <v>1.0</v>
      </c>
      <c r="K329" s="3">
        <v>1.0</v>
      </c>
      <c r="L329" s="2"/>
      <c r="M329" s="3">
        <v>0.5</v>
      </c>
      <c r="N329" s="3">
        <v>0.0</v>
      </c>
      <c r="O329" s="3">
        <v>1.0</v>
      </c>
      <c r="P329" s="3">
        <v>1.0</v>
      </c>
      <c r="Q329" s="2"/>
      <c r="V329" s="5">
        <f>SUM(B329:P329)/10</f>
        <v>0.85</v>
      </c>
    </row>
    <row r="330">
      <c r="A330" s="2">
        <v>186.0</v>
      </c>
      <c r="B330" s="2">
        <v>4561.0</v>
      </c>
      <c r="C330" s="2">
        <v>309.0</v>
      </c>
      <c r="D330" s="2">
        <v>41.7333</v>
      </c>
      <c r="E330" s="2">
        <v>-122.8333</v>
      </c>
      <c r="H330" s="3" t="s">
        <v>911</v>
      </c>
      <c r="I330" s="3" t="s">
        <v>18</v>
      </c>
      <c r="J330" s="3" t="s">
        <v>915</v>
      </c>
      <c r="L330" s="2" t="s">
        <v>908</v>
      </c>
      <c r="M330" s="23">
        <v>6414.0</v>
      </c>
      <c r="N330" s="3" t="s">
        <v>859</v>
      </c>
      <c r="O330" s="3" t="s">
        <v>847</v>
      </c>
      <c r="P330" s="3" t="s">
        <v>24</v>
      </c>
      <c r="Q330" s="2" t="s">
        <v>916</v>
      </c>
    </row>
    <row r="331">
      <c r="A331" s="2" t="s">
        <v>917</v>
      </c>
      <c r="B331" s="2"/>
      <c r="C331" s="2"/>
      <c r="D331" s="2"/>
      <c r="E331" s="2"/>
      <c r="F331" s="3">
        <v>1.0</v>
      </c>
      <c r="G331" s="3">
        <v>1.0</v>
      </c>
      <c r="H331" s="3">
        <v>0.0</v>
      </c>
      <c r="I331" s="3">
        <v>1.0</v>
      </c>
      <c r="J331" s="3">
        <v>1.0</v>
      </c>
      <c r="K331" s="3">
        <v>1.0</v>
      </c>
      <c r="L331" s="2"/>
      <c r="M331" s="3">
        <v>1.0</v>
      </c>
      <c r="N331" s="3">
        <v>0.0</v>
      </c>
      <c r="O331" s="3">
        <v>1.0</v>
      </c>
      <c r="P331" s="3">
        <v>1.0</v>
      </c>
      <c r="Q331" s="2"/>
      <c r="V331" s="5">
        <f>SUM(B331:P331)/10</f>
        <v>0.8</v>
      </c>
    </row>
    <row r="332">
      <c r="A332" s="2">
        <v>187.0</v>
      </c>
      <c r="B332" s="2">
        <v>4561.0</v>
      </c>
      <c r="C332" s="2">
        <v>309.0</v>
      </c>
      <c r="D332" s="2">
        <v>41.7333</v>
      </c>
      <c r="E332" s="2">
        <v>-122.8333</v>
      </c>
      <c r="H332" s="3" t="s">
        <v>911</v>
      </c>
      <c r="I332" s="3" t="s">
        <v>18</v>
      </c>
      <c r="J332" s="3" t="s">
        <v>918</v>
      </c>
      <c r="L332" s="2" t="s">
        <v>908</v>
      </c>
      <c r="M332" s="23">
        <v>6414.0</v>
      </c>
      <c r="N332" s="3" t="s">
        <v>859</v>
      </c>
      <c r="O332" s="3" t="s">
        <v>847</v>
      </c>
      <c r="P332" s="3" t="s">
        <v>24</v>
      </c>
      <c r="Q332" s="2" t="s">
        <v>916</v>
      </c>
    </row>
    <row r="333">
      <c r="A333" s="2" t="s">
        <v>919</v>
      </c>
      <c r="B333" s="2"/>
      <c r="C333" s="2"/>
      <c r="D333" s="2"/>
      <c r="E333" s="2"/>
      <c r="F333" s="3">
        <v>1.0</v>
      </c>
      <c r="G333" s="3">
        <v>1.0</v>
      </c>
      <c r="H333" s="3">
        <v>0.0</v>
      </c>
      <c r="I333" s="3">
        <v>1.0</v>
      </c>
      <c r="J333" s="3">
        <v>1.0</v>
      </c>
      <c r="K333" s="3">
        <v>1.0</v>
      </c>
      <c r="L333" s="2"/>
      <c r="M333" s="3">
        <v>1.0</v>
      </c>
      <c r="N333" s="3">
        <v>0.0</v>
      </c>
      <c r="O333" s="3">
        <v>1.0</v>
      </c>
      <c r="P333" s="3">
        <v>1.0</v>
      </c>
      <c r="Q333" s="2"/>
      <c r="V333" s="5">
        <f>SUM(B333:P333)/10</f>
        <v>0.8</v>
      </c>
    </row>
    <row r="334">
      <c r="A334" s="2">
        <v>188.0</v>
      </c>
      <c r="B334" s="2">
        <v>4561.0</v>
      </c>
      <c r="C334" s="2">
        <v>309.0</v>
      </c>
      <c r="D334" s="2">
        <v>41.0337</v>
      </c>
      <c r="E334" s="2">
        <v>-123.7064</v>
      </c>
      <c r="H334" s="3" t="s">
        <v>920</v>
      </c>
      <c r="I334" s="3" t="s">
        <v>18</v>
      </c>
      <c r="J334" s="3" t="s">
        <v>921</v>
      </c>
      <c r="L334" s="2" t="s">
        <v>844</v>
      </c>
      <c r="M334" s="3" t="s">
        <v>922</v>
      </c>
      <c r="N334" s="3" t="s">
        <v>866</v>
      </c>
      <c r="O334" s="3" t="s">
        <v>847</v>
      </c>
      <c r="P334" s="3" t="s">
        <v>24</v>
      </c>
      <c r="Q334" s="2" t="s">
        <v>923</v>
      </c>
    </row>
    <row r="335">
      <c r="A335" s="2" t="s">
        <v>924</v>
      </c>
      <c r="B335" s="2"/>
      <c r="C335" s="2"/>
      <c r="D335" s="2"/>
      <c r="E335" s="2"/>
      <c r="F335" s="3">
        <v>1.0</v>
      </c>
      <c r="G335" s="3">
        <v>1.0</v>
      </c>
      <c r="H335" s="3">
        <v>1.0</v>
      </c>
      <c r="I335" s="3">
        <v>1.0</v>
      </c>
      <c r="J335" s="3">
        <v>1.0</v>
      </c>
      <c r="K335" s="3">
        <v>1.0</v>
      </c>
      <c r="L335" s="2"/>
      <c r="M335" s="3">
        <v>0.5</v>
      </c>
      <c r="N335" s="3">
        <v>0.0</v>
      </c>
      <c r="O335" s="3">
        <v>1.0</v>
      </c>
      <c r="P335" s="3">
        <v>1.0</v>
      </c>
      <c r="Q335" s="2"/>
      <c r="V335" s="5">
        <f>SUM(B335:P335)/10</f>
        <v>0.85</v>
      </c>
    </row>
    <row r="336">
      <c r="A336" s="2">
        <v>99.0</v>
      </c>
      <c r="B336" s="2">
        <v>4792.0</v>
      </c>
      <c r="C336" s="2">
        <v>10.0</v>
      </c>
      <c r="D336" s="1"/>
      <c r="E336" s="1"/>
      <c r="F336" s="3">
        <v>34.0489</v>
      </c>
      <c r="G336" s="3">
        <v>-116.9833</v>
      </c>
      <c r="H336" s="3" t="s">
        <v>925</v>
      </c>
      <c r="I336" s="3" t="s">
        <v>18</v>
      </c>
      <c r="J336" s="3" t="s">
        <v>926</v>
      </c>
      <c r="K336" s="3" t="s">
        <v>222</v>
      </c>
      <c r="L336" s="1"/>
      <c r="M336" s="3" t="s">
        <v>927</v>
      </c>
      <c r="N336" s="3" t="s">
        <v>22</v>
      </c>
      <c r="O336" s="3" t="s">
        <v>928</v>
      </c>
      <c r="P336" s="3" t="s">
        <v>929</v>
      </c>
      <c r="Q336" s="2" t="s">
        <v>930</v>
      </c>
    </row>
    <row r="337">
      <c r="A337" s="2" t="s">
        <v>931</v>
      </c>
      <c r="B337" s="2"/>
      <c r="C337" s="2"/>
      <c r="D337" s="1"/>
      <c r="E337" s="1"/>
      <c r="F337" s="3">
        <v>0.0</v>
      </c>
      <c r="G337" s="3">
        <v>0.0</v>
      </c>
      <c r="H337" s="3">
        <v>1.0</v>
      </c>
      <c r="I337" s="3">
        <v>1.0</v>
      </c>
      <c r="J337" s="3">
        <v>1.0</v>
      </c>
      <c r="K337" s="3">
        <v>0.0</v>
      </c>
      <c r="L337" s="1"/>
      <c r="M337" s="3">
        <v>1.0</v>
      </c>
      <c r="N337" s="3">
        <v>1.0</v>
      </c>
      <c r="O337" s="3">
        <v>1.0</v>
      </c>
      <c r="P337" s="3">
        <v>1.0</v>
      </c>
      <c r="Q337" s="2"/>
      <c r="V337" s="5">
        <f>SUM(B337:P337)/10</f>
        <v>0.7</v>
      </c>
    </row>
    <row r="338">
      <c r="A338" s="2">
        <v>284.0</v>
      </c>
      <c r="B338" s="2">
        <v>8375.0</v>
      </c>
      <c r="C338" s="2">
        <v>44.0</v>
      </c>
      <c r="D338" s="2">
        <v>37.7</v>
      </c>
      <c r="E338" s="2">
        <v>-122.5</v>
      </c>
      <c r="H338" s="3" t="s">
        <v>932</v>
      </c>
      <c r="I338" s="3" t="s">
        <v>18</v>
      </c>
      <c r="J338" s="3" t="s">
        <v>932</v>
      </c>
      <c r="K338" s="3" t="s">
        <v>933</v>
      </c>
      <c r="L338" s="2" t="s">
        <v>934</v>
      </c>
      <c r="M338" s="3" t="s">
        <v>935</v>
      </c>
      <c r="N338" s="3" t="s">
        <v>936</v>
      </c>
      <c r="O338" s="3" t="s">
        <v>937</v>
      </c>
      <c r="P338" s="3" t="s">
        <v>24</v>
      </c>
      <c r="Q338" s="2" t="s">
        <v>938</v>
      </c>
    </row>
    <row r="339">
      <c r="A339" s="2" t="s">
        <v>939</v>
      </c>
      <c r="B339" s="2"/>
      <c r="C339" s="2"/>
      <c r="D339" s="2"/>
      <c r="E339" s="2"/>
      <c r="F339" s="3">
        <v>1.0</v>
      </c>
      <c r="G339" s="3">
        <v>1.0</v>
      </c>
      <c r="H339" s="3">
        <v>1.0</v>
      </c>
      <c r="I339" s="3">
        <v>1.0</v>
      </c>
      <c r="J339" s="3">
        <v>1.0</v>
      </c>
      <c r="K339" s="3">
        <v>1.0</v>
      </c>
      <c r="L339" s="2"/>
      <c r="M339" s="3">
        <v>1.0</v>
      </c>
      <c r="N339" s="3">
        <v>1.0</v>
      </c>
      <c r="O339" s="3">
        <v>1.0</v>
      </c>
      <c r="P339" s="3">
        <v>1.0</v>
      </c>
      <c r="Q339" s="2"/>
      <c r="V339" s="5">
        <f>SUM(B339:P339)/10</f>
        <v>1</v>
      </c>
    </row>
    <row r="340">
      <c r="A340" s="2">
        <v>160.0</v>
      </c>
      <c r="B340" s="2">
        <v>24284.0</v>
      </c>
      <c r="C340" s="2">
        <v>136.0</v>
      </c>
      <c r="D340" s="1"/>
      <c r="E340" s="1"/>
      <c r="F340" s="3">
        <v>34.518611</v>
      </c>
      <c r="G340" s="3">
        <v>-119.947222</v>
      </c>
      <c r="H340" s="3" t="s">
        <v>940</v>
      </c>
      <c r="I340" s="3" t="s">
        <v>941</v>
      </c>
      <c r="J340" s="3" t="s">
        <v>942</v>
      </c>
      <c r="K340" s="3" t="s">
        <v>192</v>
      </c>
      <c r="L340" s="2" t="s">
        <v>192</v>
      </c>
      <c r="M340" s="3" t="s">
        <v>943</v>
      </c>
      <c r="N340" s="3" t="s">
        <v>944</v>
      </c>
      <c r="O340" s="3" t="s">
        <v>945</v>
      </c>
      <c r="P340" s="3" t="s">
        <v>232</v>
      </c>
      <c r="Q340" s="2" t="s">
        <v>946</v>
      </c>
    </row>
    <row r="341">
      <c r="A341" s="2" t="s">
        <v>947</v>
      </c>
      <c r="B341" s="2"/>
      <c r="C341" s="2"/>
      <c r="D341" s="1"/>
      <c r="E341" s="1"/>
      <c r="F341" s="3">
        <v>1.0</v>
      </c>
      <c r="G341" s="3">
        <v>1.0</v>
      </c>
      <c r="H341" s="3">
        <v>1.0</v>
      </c>
      <c r="I341" s="3">
        <v>1.0</v>
      </c>
      <c r="J341" s="3">
        <v>1.0</v>
      </c>
      <c r="K341" s="3">
        <v>0.0</v>
      </c>
      <c r="L341" s="2"/>
      <c r="M341" s="3">
        <v>0.5</v>
      </c>
      <c r="N341" s="3">
        <v>1.0</v>
      </c>
      <c r="O341" s="3">
        <v>1.0</v>
      </c>
      <c r="P341" s="3">
        <v>1.0</v>
      </c>
      <c r="Q341" s="2"/>
      <c r="V341" s="5">
        <f>SUM(B341:P341)/10</f>
        <v>0.85</v>
      </c>
    </row>
    <row r="342">
      <c r="A342" s="2">
        <v>275.0</v>
      </c>
      <c r="B342" s="2">
        <v>25073.0</v>
      </c>
      <c r="C342" s="2">
        <v>11.0</v>
      </c>
      <c r="D342" s="1"/>
      <c r="E342" s="1"/>
      <c r="F342" s="3">
        <v>34.7323</v>
      </c>
      <c r="G342" s="3">
        <v>-114.5722</v>
      </c>
      <c r="H342" s="3" t="s">
        <v>948</v>
      </c>
      <c r="I342" s="3" t="s">
        <v>18</v>
      </c>
      <c r="J342" s="3" t="s">
        <v>949</v>
      </c>
      <c r="L342" s="2" t="s">
        <v>950</v>
      </c>
      <c r="M342" s="3" t="s">
        <v>951</v>
      </c>
      <c r="N342" s="3" t="s">
        <v>952</v>
      </c>
      <c r="O342" s="3" t="s">
        <v>953</v>
      </c>
      <c r="P342" s="3" t="s">
        <v>24</v>
      </c>
      <c r="Q342" s="2" t="s">
        <v>954</v>
      </c>
    </row>
    <row r="343">
      <c r="A343" s="2" t="s">
        <v>955</v>
      </c>
      <c r="B343" s="2"/>
      <c r="C343" s="2"/>
      <c r="D343" s="1"/>
      <c r="E343" s="1"/>
      <c r="F343" s="3">
        <v>0.0</v>
      </c>
      <c r="G343" s="3">
        <v>0.0</v>
      </c>
      <c r="H343" s="3">
        <v>1.0</v>
      </c>
      <c r="I343" s="3">
        <v>1.0</v>
      </c>
      <c r="J343" s="3">
        <v>1.0</v>
      </c>
      <c r="K343" s="3">
        <v>0.0</v>
      </c>
      <c r="L343" s="2"/>
      <c r="M343" s="3">
        <v>1.0</v>
      </c>
      <c r="N343" s="3">
        <v>1.0</v>
      </c>
      <c r="O343" s="3">
        <v>0.0</v>
      </c>
      <c r="P343" s="3">
        <v>1.0</v>
      </c>
      <c r="Q343" s="2"/>
      <c r="V343" s="5">
        <f>SUM(B343:P343)/10</f>
        <v>0.6</v>
      </c>
    </row>
    <row r="344">
      <c r="A344" s="2">
        <v>129.0</v>
      </c>
      <c r="B344" s="2">
        <v>27847.0</v>
      </c>
      <c r="C344" s="2">
        <v>2.0</v>
      </c>
      <c r="D344" s="2">
        <v>40.5</v>
      </c>
      <c r="E344" s="2">
        <v>-123.9</v>
      </c>
      <c r="H344" s="3" t="s">
        <v>405</v>
      </c>
      <c r="I344" s="3" t="s">
        <v>18</v>
      </c>
      <c r="J344" s="3" t="s">
        <v>843</v>
      </c>
      <c r="L344" s="2" t="s">
        <v>844</v>
      </c>
      <c r="M344" s="3" t="s">
        <v>956</v>
      </c>
      <c r="N344" s="3" t="s">
        <v>957</v>
      </c>
      <c r="O344" s="3" t="s">
        <v>958</v>
      </c>
      <c r="P344" s="3" t="s">
        <v>24</v>
      </c>
      <c r="Q344" s="2" t="s">
        <v>959</v>
      </c>
    </row>
    <row r="345">
      <c r="A345" s="2" t="s">
        <v>960</v>
      </c>
      <c r="B345" s="2"/>
      <c r="C345" s="2"/>
      <c r="D345" s="2"/>
      <c r="E345" s="2"/>
      <c r="F345" s="3">
        <v>1.0</v>
      </c>
      <c r="G345" s="3">
        <v>1.0</v>
      </c>
      <c r="H345" s="3">
        <v>1.0</v>
      </c>
      <c r="I345" s="3">
        <v>1.0</v>
      </c>
      <c r="J345" s="3">
        <v>1.0</v>
      </c>
      <c r="K345" s="3">
        <v>1.0</v>
      </c>
      <c r="L345" s="2"/>
      <c r="M345" s="3">
        <v>1.0</v>
      </c>
      <c r="N345" s="3">
        <v>1.0</v>
      </c>
      <c r="O345" s="3">
        <v>1.0</v>
      </c>
      <c r="P345" s="3">
        <v>1.0</v>
      </c>
      <c r="Q345" s="2"/>
      <c r="V345" s="5">
        <f>SUM(B345:P345)/10</f>
        <v>1</v>
      </c>
    </row>
    <row r="346">
      <c r="A346" s="2">
        <v>163.0</v>
      </c>
      <c r="B346" s="2">
        <v>28057.0</v>
      </c>
      <c r="C346" s="2">
        <v>10.0</v>
      </c>
      <c r="D346" s="2">
        <v>32.8</v>
      </c>
      <c r="E346" s="2">
        <v>-115.5</v>
      </c>
      <c r="H346" s="3" t="s">
        <v>961</v>
      </c>
      <c r="I346" s="3" t="s">
        <v>18</v>
      </c>
      <c r="J346" s="3" t="s">
        <v>962</v>
      </c>
      <c r="L346" s="2" t="s">
        <v>334</v>
      </c>
      <c r="N346" s="3" t="s">
        <v>963</v>
      </c>
      <c r="O346" s="3" t="s">
        <v>964</v>
      </c>
      <c r="P346" s="3" t="s">
        <v>24</v>
      </c>
      <c r="Q346" s="2" t="s">
        <v>965</v>
      </c>
    </row>
    <row r="347">
      <c r="A347" s="2" t="s">
        <v>966</v>
      </c>
      <c r="B347" s="2"/>
      <c r="C347" s="2"/>
      <c r="D347" s="2"/>
      <c r="E347" s="2"/>
      <c r="H347" s="3"/>
      <c r="I347" s="3"/>
      <c r="J347" s="3"/>
      <c r="L347" s="2"/>
      <c r="N347" s="3"/>
      <c r="O347" s="3"/>
      <c r="P347" s="3"/>
      <c r="Q347" s="2"/>
      <c r="V347" s="21">
        <f>SUM(B347:P347)/10</f>
        <v>0</v>
      </c>
    </row>
    <row r="348">
      <c r="A348" s="2">
        <v>164.0</v>
      </c>
      <c r="B348" s="2">
        <v>28057.0</v>
      </c>
      <c r="C348" s="2">
        <v>10.0</v>
      </c>
      <c r="D348" s="2">
        <v>32.8</v>
      </c>
      <c r="E348" s="2">
        <v>-115.5</v>
      </c>
      <c r="H348" s="3" t="s">
        <v>967</v>
      </c>
      <c r="I348" s="3" t="s">
        <v>18</v>
      </c>
      <c r="J348" s="3" t="s">
        <v>968</v>
      </c>
      <c r="L348" s="2" t="s">
        <v>334</v>
      </c>
      <c r="N348" s="3" t="s">
        <v>963</v>
      </c>
      <c r="O348" s="3" t="s">
        <v>964</v>
      </c>
      <c r="P348" s="3" t="s">
        <v>24</v>
      </c>
      <c r="Q348" s="2" t="s">
        <v>965</v>
      </c>
      <c r="V348" s="20"/>
    </row>
    <row r="349">
      <c r="A349" s="2" t="s">
        <v>969</v>
      </c>
      <c r="B349" s="2"/>
      <c r="C349" s="2"/>
      <c r="D349" s="2"/>
      <c r="E349" s="2"/>
      <c r="H349" s="3"/>
      <c r="I349" s="3"/>
      <c r="J349" s="3"/>
      <c r="L349" s="2"/>
      <c r="N349" s="3"/>
      <c r="O349" s="3"/>
      <c r="P349" s="3"/>
      <c r="Q349" s="2"/>
      <c r="V349" s="21">
        <f>SUM(B349:P349)/10</f>
        <v>0</v>
      </c>
    </row>
    <row r="350">
      <c r="A350" s="2">
        <v>165.0</v>
      </c>
      <c r="B350" s="2">
        <v>28057.0</v>
      </c>
      <c r="C350" s="2">
        <v>10.0</v>
      </c>
      <c r="D350" s="2">
        <v>32.8</v>
      </c>
      <c r="E350" s="2">
        <v>-115.5</v>
      </c>
      <c r="H350" s="3" t="s">
        <v>970</v>
      </c>
      <c r="I350" s="3" t="s">
        <v>18</v>
      </c>
      <c r="J350" s="3" t="s">
        <v>971</v>
      </c>
      <c r="L350" s="2" t="s">
        <v>334</v>
      </c>
      <c r="N350" s="3" t="s">
        <v>963</v>
      </c>
      <c r="O350" s="3" t="s">
        <v>964</v>
      </c>
      <c r="P350" s="3" t="s">
        <v>24</v>
      </c>
      <c r="Q350" s="2" t="s">
        <v>965</v>
      </c>
      <c r="V350" s="20"/>
    </row>
    <row r="351">
      <c r="A351" s="2" t="s">
        <v>972</v>
      </c>
      <c r="B351" s="2"/>
      <c r="C351" s="2"/>
      <c r="D351" s="2"/>
      <c r="E351" s="2"/>
      <c r="H351" s="3"/>
      <c r="I351" s="3"/>
      <c r="J351" s="3"/>
      <c r="L351" s="2"/>
      <c r="N351" s="3"/>
      <c r="O351" s="3"/>
      <c r="P351" s="3"/>
      <c r="Q351" s="2"/>
      <c r="V351" s="21">
        <f>SUM(B351:P351)/10</f>
        <v>0</v>
      </c>
    </row>
    <row r="352">
      <c r="A352" s="2">
        <v>166.0</v>
      </c>
      <c r="B352" s="2">
        <v>28057.0</v>
      </c>
      <c r="C352" s="2">
        <v>10.0</v>
      </c>
      <c r="D352" s="2">
        <v>32.8</v>
      </c>
      <c r="E352" s="2">
        <v>-115.5</v>
      </c>
      <c r="H352" s="3" t="s">
        <v>973</v>
      </c>
      <c r="I352" s="3" t="s">
        <v>18</v>
      </c>
      <c r="J352" s="3" t="s">
        <v>974</v>
      </c>
      <c r="L352" s="2" t="s">
        <v>334</v>
      </c>
      <c r="N352" s="3" t="s">
        <v>963</v>
      </c>
      <c r="O352" s="3" t="s">
        <v>964</v>
      </c>
      <c r="P352" s="3" t="s">
        <v>24</v>
      </c>
      <c r="Q352" s="2" t="s">
        <v>965</v>
      </c>
      <c r="V352" s="20"/>
    </row>
    <row r="353">
      <c r="A353" s="2" t="s">
        <v>975</v>
      </c>
      <c r="B353" s="2"/>
      <c r="C353" s="2"/>
      <c r="D353" s="2"/>
      <c r="E353" s="2"/>
      <c r="H353" s="3"/>
      <c r="I353" s="3"/>
      <c r="J353" s="3"/>
      <c r="L353" s="2"/>
      <c r="N353" s="3"/>
      <c r="O353" s="3"/>
      <c r="P353" s="3"/>
      <c r="Q353" s="2"/>
      <c r="V353" s="21">
        <f>SUM(B353:P353)/10</f>
        <v>0</v>
      </c>
    </row>
    <row r="354">
      <c r="A354" s="2">
        <v>167.0</v>
      </c>
      <c r="B354" s="2">
        <v>28057.0</v>
      </c>
      <c r="C354" s="2">
        <v>10.0</v>
      </c>
      <c r="D354" s="2">
        <v>32.8</v>
      </c>
      <c r="E354" s="2">
        <v>-115.5</v>
      </c>
      <c r="H354" s="3" t="s">
        <v>976</v>
      </c>
      <c r="I354" s="3" t="s">
        <v>18</v>
      </c>
      <c r="J354" s="3" t="s">
        <v>977</v>
      </c>
      <c r="L354" s="2" t="s">
        <v>334</v>
      </c>
      <c r="N354" s="3" t="s">
        <v>963</v>
      </c>
      <c r="O354" s="3" t="s">
        <v>964</v>
      </c>
      <c r="P354" s="3" t="s">
        <v>24</v>
      </c>
      <c r="Q354" s="2" t="s">
        <v>965</v>
      </c>
      <c r="V354" s="20"/>
    </row>
    <row r="355">
      <c r="A355" s="2" t="s">
        <v>978</v>
      </c>
      <c r="B355" s="2"/>
      <c r="C355" s="2"/>
      <c r="D355" s="2"/>
      <c r="E355" s="2"/>
      <c r="H355" s="3"/>
      <c r="I355" s="3"/>
      <c r="J355" s="3"/>
      <c r="L355" s="2"/>
      <c r="N355" s="3"/>
      <c r="O355" s="3"/>
      <c r="P355" s="3"/>
      <c r="Q355" s="2"/>
      <c r="V355" s="21">
        <f>SUM(B355:P355)/10</f>
        <v>0</v>
      </c>
    </row>
    <row r="356">
      <c r="A356" s="2">
        <v>253.0</v>
      </c>
      <c r="B356" s="2">
        <v>28370.0</v>
      </c>
      <c r="C356" s="2">
        <v>32.0</v>
      </c>
      <c r="D356" s="2">
        <v>41.1667</v>
      </c>
      <c r="E356" s="2">
        <v>-123.75</v>
      </c>
      <c r="H356" s="3" t="s">
        <v>979</v>
      </c>
      <c r="I356" s="3" t="s">
        <v>18</v>
      </c>
      <c r="J356" s="3" t="s">
        <v>980</v>
      </c>
      <c r="K356" s="3" t="s">
        <v>295</v>
      </c>
      <c r="L356" s="2" t="s">
        <v>295</v>
      </c>
      <c r="M356" s="3" t="s">
        <v>981</v>
      </c>
      <c r="N356" s="3" t="s">
        <v>608</v>
      </c>
      <c r="P356" s="3" t="s">
        <v>24</v>
      </c>
      <c r="Q356" s="2" t="s">
        <v>982</v>
      </c>
    </row>
    <row r="357">
      <c r="A357" s="2" t="s">
        <v>983</v>
      </c>
      <c r="B357" s="2"/>
      <c r="C357" s="2"/>
      <c r="D357" s="2"/>
      <c r="E357" s="2"/>
      <c r="F357" s="3">
        <v>1.0</v>
      </c>
      <c r="G357" s="3">
        <v>1.0</v>
      </c>
      <c r="H357" s="3">
        <v>1.0</v>
      </c>
      <c r="I357" s="3">
        <v>1.0</v>
      </c>
      <c r="J357" s="3">
        <v>1.0</v>
      </c>
      <c r="K357" s="3">
        <v>0.0</v>
      </c>
      <c r="L357" s="2"/>
      <c r="M357" s="3">
        <v>1.0</v>
      </c>
      <c r="N357" s="3">
        <v>1.0</v>
      </c>
      <c r="O357" s="3">
        <v>1.0</v>
      </c>
      <c r="P357" s="3">
        <v>1.0</v>
      </c>
      <c r="Q357" s="2"/>
      <c r="V357" s="5">
        <f>SUM(B357:P357)/10</f>
        <v>0.9</v>
      </c>
    </row>
    <row r="358">
      <c r="A358" s="2">
        <v>254.0</v>
      </c>
      <c r="B358" s="2">
        <v>28370.0</v>
      </c>
      <c r="C358" s="2">
        <v>32.0</v>
      </c>
      <c r="D358" s="2">
        <v>41.6667</v>
      </c>
      <c r="E358" s="2">
        <v>-122.6333</v>
      </c>
      <c r="H358" s="3" t="s">
        <v>984</v>
      </c>
      <c r="I358" s="3" t="s">
        <v>18</v>
      </c>
      <c r="J358" s="3" t="s">
        <v>985</v>
      </c>
      <c r="K358" s="3" t="s">
        <v>107</v>
      </c>
      <c r="L358" s="2" t="s">
        <v>107</v>
      </c>
      <c r="M358" s="3" t="s">
        <v>986</v>
      </c>
      <c r="N358" s="3" t="s">
        <v>608</v>
      </c>
      <c r="P358" s="3" t="s">
        <v>24</v>
      </c>
      <c r="Q358" s="2" t="s">
        <v>987</v>
      </c>
    </row>
    <row r="359">
      <c r="A359" s="2" t="s">
        <v>988</v>
      </c>
      <c r="B359" s="2"/>
      <c r="C359" s="2"/>
      <c r="D359" s="2"/>
      <c r="E359" s="2"/>
      <c r="F359" s="3">
        <v>1.0</v>
      </c>
      <c r="G359" s="3">
        <v>1.0</v>
      </c>
      <c r="H359" s="3">
        <v>1.0</v>
      </c>
      <c r="I359" s="3">
        <v>1.0</v>
      </c>
      <c r="J359" s="3">
        <v>1.0</v>
      </c>
      <c r="K359" s="3">
        <v>0.0</v>
      </c>
      <c r="L359" s="2"/>
      <c r="M359" s="3">
        <v>0.5</v>
      </c>
      <c r="N359" s="3">
        <v>1.0</v>
      </c>
      <c r="O359" s="3">
        <v>1.0</v>
      </c>
      <c r="P359" s="3">
        <v>1.0</v>
      </c>
      <c r="Q359" s="2"/>
      <c r="V359" s="5">
        <f>SUM(B359:P359)/10</f>
        <v>0.85</v>
      </c>
    </row>
    <row r="360">
      <c r="A360" s="2">
        <v>255.0</v>
      </c>
      <c r="B360" s="2">
        <v>28370.0</v>
      </c>
      <c r="C360" s="2">
        <v>32.0</v>
      </c>
      <c r="D360" s="2">
        <v>41.95</v>
      </c>
      <c r="E360" s="2">
        <v>-123.1833</v>
      </c>
      <c r="H360" s="3" t="s">
        <v>989</v>
      </c>
      <c r="I360" s="3" t="s">
        <v>18</v>
      </c>
      <c r="J360" s="3" t="s">
        <v>990</v>
      </c>
      <c r="K360" s="3" t="s">
        <v>107</v>
      </c>
      <c r="L360" s="2" t="s">
        <v>107</v>
      </c>
      <c r="M360" s="3" t="s">
        <v>991</v>
      </c>
      <c r="N360" s="3" t="s">
        <v>608</v>
      </c>
      <c r="P360" s="3" t="s">
        <v>24</v>
      </c>
      <c r="Q360" s="2" t="s">
        <v>987</v>
      </c>
    </row>
    <row r="361">
      <c r="A361" s="2" t="s">
        <v>992</v>
      </c>
      <c r="B361" s="2"/>
      <c r="C361" s="2"/>
      <c r="D361" s="2"/>
      <c r="E361" s="2"/>
      <c r="F361" s="3">
        <v>1.0</v>
      </c>
      <c r="G361" s="3">
        <v>1.0</v>
      </c>
      <c r="H361" s="3">
        <v>1.0</v>
      </c>
      <c r="I361" s="3">
        <v>1.0</v>
      </c>
      <c r="J361" s="3">
        <v>1.0</v>
      </c>
      <c r="K361" s="3">
        <v>0.0</v>
      </c>
      <c r="L361" s="2"/>
      <c r="M361" s="3">
        <v>0.5</v>
      </c>
      <c r="N361" s="3">
        <v>1.0</v>
      </c>
      <c r="O361" s="3">
        <v>1.0</v>
      </c>
      <c r="P361" s="3">
        <v>1.0</v>
      </c>
      <c r="Q361" s="2"/>
      <c r="V361" s="5">
        <f>SUM(B361:P361)/10</f>
        <v>0.85</v>
      </c>
    </row>
    <row r="362">
      <c r="A362" s="2">
        <v>256.0</v>
      </c>
      <c r="B362" s="2">
        <v>28370.0</v>
      </c>
      <c r="C362" s="2">
        <v>32.0</v>
      </c>
      <c r="D362" s="2">
        <v>41.9</v>
      </c>
      <c r="E362" s="2">
        <v>-123.3333</v>
      </c>
      <c r="H362" s="3" t="s">
        <v>993</v>
      </c>
      <c r="I362" s="3" t="s">
        <v>18</v>
      </c>
      <c r="J362" s="3" t="s">
        <v>994</v>
      </c>
      <c r="K362" s="3" t="s">
        <v>107</v>
      </c>
      <c r="L362" s="2" t="s">
        <v>107</v>
      </c>
      <c r="M362" s="3" t="s">
        <v>995</v>
      </c>
      <c r="N362" s="3" t="s">
        <v>608</v>
      </c>
      <c r="P362" s="3" t="s">
        <v>24</v>
      </c>
      <c r="Q362" s="2" t="s">
        <v>987</v>
      </c>
    </row>
    <row r="363">
      <c r="A363" s="2" t="s">
        <v>996</v>
      </c>
      <c r="B363" s="2"/>
      <c r="C363" s="2"/>
      <c r="D363" s="2"/>
      <c r="E363" s="2"/>
      <c r="F363" s="3">
        <v>1.0</v>
      </c>
      <c r="G363" s="3">
        <v>1.0</v>
      </c>
      <c r="H363" s="3">
        <v>1.0</v>
      </c>
      <c r="I363" s="3">
        <v>1.0</v>
      </c>
      <c r="J363" s="3">
        <v>1.0</v>
      </c>
      <c r="K363" s="3">
        <v>0.0</v>
      </c>
      <c r="L363" s="2"/>
      <c r="M363" s="3">
        <v>0.5</v>
      </c>
      <c r="N363" s="3">
        <v>1.0</v>
      </c>
      <c r="O363" s="3">
        <v>1.0</v>
      </c>
      <c r="P363" s="3">
        <v>1.0</v>
      </c>
      <c r="Q363" s="2"/>
      <c r="V363" s="5">
        <f>SUM(B363:P363)/10</f>
        <v>0.85</v>
      </c>
    </row>
    <row r="364">
      <c r="A364" s="2">
        <v>257.0</v>
      </c>
      <c r="B364" s="2">
        <v>28370.0</v>
      </c>
      <c r="C364" s="2">
        <v>32.0</v>
      </c>
      <c r="D364" s="2">
        <v>41.9667</v>
      </c>
      <c r="E364" s="2">
        <v>-123.0167</v>
      </c>
      <c r="H364" s="3" t="s">
        <v>997</v>
      </c>
      <c r="I364" s="3" t="s">
        <v>18</v>
      </c>
      <c r="J364" s="3" t="s">
        <v>998</v>
      </c>
      <c r="K364" s="3" t="s">
        <v>107</v>
      </c>
      <c r="L364" s="2" t="s">
        <v>107</v>
      </c>
      <c r="M364" s="3" t="s">
        <v>999</v>
      </c>
      <c r="N364" s="3" t="s">
        <v>608</v>
      </c>
      <c r="P364" s="3" t="s">
        <v>24</v>
      </c>
      <c r="Q364" s="2" t="s">
        <v>987</v>
      </c>
    </row>
    <row r="365">
      <c r="A365" s="2" t="s">
        <v>1000</v>
      </c>
      <c r="B365" s="2"/>
      <c r="C365" s="2"/>
      <c r="D365" s="2"/>
      <c r="E365" s="2"/>
      <c r="F365" s="3">
        <v>1.0</v>
      </c>
      <c r="G365" s="3">
        <v>1.0</v>
      </c>
      <c r="H365" s="3">
        <v>1.0</v>
      </c>
      <c r="I365" s="3">
        <v>1.0</v>
      </c>
      <c r="J365" s="3">
        <v>1.0</v>
      </c>
      <c r="K365" s="3">
        <v>0.0</v>
      </c>
      <c r="L365" s="2"/>
      <c r="M365" s="3">
        <v>1.0</v>
      </c>
      <c r="N365" s="3">
        <v>1.0</v>
      </c>
      <c r="O365" s="3">
        <v>1.0</v>
      </c>
      <c r="P365" s="3">
        <v>1.0</v>
      </c>
      <c r="Q365" s="2"/>
      <c r="V365" s="5">
        <f>SUM(B365:P365)/10</f>
        <v>0.9</v>
      </c>
    </row>
    <row r="366">
      <c r="A366" s="2">
        <v>258.0</v>
      </c>
      <c r="B366" s="2">
        <v>28370.0</v>
      </c>
      <c r="C366" s="2">
        <v>32.0</v>
      </c>
      <c r="D366" s="2">
        <v>41.8</v>
      </c>
      <c r="E366" s="2">
        <v>-123.7833</v>
      </c>
      <c r="H366" s="3" t="s">
        <v>1001</v>
      </c>
      <c r="I366" s="3" t="s">
        <v>18</v>
      </c>
      <c r="J366" s="3" t="s">
        <v>1002</v>
      </c>
      <c r="K366" s="3" t="s">
        <v>1003</v>
      </c>
      <c r="L366" s="2" t="s">
        <v>1003</v>
      </c>
      <c r="M366" s="3" t="s">
        <v>1004</v>
      </c>
      <c r="N366" s="3" t="s">
        <v>608</v>
      </c>
      <c r="P366" s="3" t="s">
        <v>24</v>
      </c>
      <c r="Q366" s="2" t="s">
        <v>987</v>
      </c>
    </row>
    <row r="367">
      <c r="A367" s="2" t="s">
        <v>1005</v>
      </c>
      <c r="B367" s="2"/>
      <c r="C367" s="2"/>
      <c r="D367" s="2"/>
      <c r="E367" s="2"/>
      <c r="F367" s="3">
        <v>1.0</v>
      </c>
      <c r="G367" s="3">
        <v>1.0</v>
      </c>
      <c r="H367" s="3">
        <v>1.0</v>
      </c>
      <c r="I367" s="3">
        <v>1.0</v>
      </c>
      <c r="J367" s="3">
        <v>1.0</v>
      </c>
      <c r="K367" s="3">
        <v>0.0</v>
      </c>
      <c r="L367" s="2"/>
      <c r="M367" s="3">
        <v>1.0</v>
      </c>
      <c r="N367" s="3">
        <v>1.0</v>
      </c>
      <c r="O367" s="3">
        <v>1.0</v>
      </c>
      <c r="P367" s="3">
        <v>1.0</v>
      </c>
      <c r="Q367" s="2"/>
      <c r="V367" s="5">
        <f>SUM(B367:P367)/10</f>
        <v>0.9</v>
      </c>
    </row>
    <row r="368">
      <c r="A368" s="2">
        <v>259.0</v>
      </c>
      <c r="B368" s="2">
        <v>28370.0</v>
      </c>
      <c r="C368" s="2">
        <v>32.0</v>
      </c>
      <c r="D368" s="2">
        <v>41.7667</v>
      </c>
      <c r="E368" s="2">
        <v>-122.8167</v>
      </c>
      <c r="H368" s="3" t="s">
        <v>1006</v>
      </c>
      <c r="I368" s="3" t="s">
        <v>18</v>
      </c>
      <c r="J368" s="3" t="s">
        <v>1007</v>
      </c>
      <c r="K368" s="3" t="s">
        <v>107</v>
      </c>
      <c r="L368" s="2" t="s">
        <v>107</v>
      </c>
      <c r="M368" s="3" t="s">
        <v>1008</v>
      </c>
      <c r="N368" s="3" t="s">
        <v>608</v>
      </c>
      <c r="P368" s="3" t="s">
        <v>24</v>
      </c>
      <c r="Q368" s="2" t="s">
        <v>987</v>
      </c>
    </row>
    <row r="369">
      <c r="A369" s="2" t="s">
        <v>1009</v>
      </c>
      <c r="B369" s="2"/>
      <c r="C369" s="2"/>
      <c r="D369" s="2"/>
      <c r="E369" s="2"/>
      <c r="F369" s="3">
        <v>1.0</v>
      </c>
      <c r="G369" s="3">
        <v>1.0</v>
      </c>
      <c r="H369" s="3">
        <v>1.0</v>
      </c>
      <c r="I369" s="3">
        <v>1.0</v>
      </c>
      <c r="J369" s="3">
        <v>1.0</v>
      </c>
      <c r="K369" s="3">
        <v>0.0</v>
      </c>
      <c r="L369" s="2"/>
      <c r="M369" s="3">
        <v>0.5</v>
      </c>
      <c r="N369" s="3">
        <v>1.0</v>
      </c>
      <c r="O369" s="3">
        <v>1.0</v>
      </c>
      <c r="P369" s="3">
        <v>1.0</v>
      </c>
      <c r="Q369" s="2"/>
      <c r="V369" s="5">
        <f>SUM(B369:P369)/10</f>
        <v>0.85</v>
      </c>
    </row>
    <row r="370">
      <c r="A370" s="2">
        <v>260.0</v>
      </c>
      <c r="B370" s="2">
        <v>28370.0</v>
      </c>
      <c r="C370" s="2">
        <v>32.0</v>
      </c>
      <c r="D370" s="2">
        <v>41.75</v>
      </c>
      <c r="E370" s="2">
        <v>-122.9333</v>
      </c>
      <c r="H370" s="3" t="s">
        <v>1010</v>
      </c>
      <c r="I370" s="3" t="s">
        <v>18</v>
      </c>
      <c r="J370" s="3" t="s">
        <v>1011</v>
      </c>
      <c r="K370" s="3" t="s">
        <v>107</v>
      </c>
      <c r="L370" s="2" t="s">
        <v>107</v>
      </c>
      <c r="M370" s="3" t="s">
        <v>1012</v>
      </c>
      <c r="N370" s="3" t="s">
        <v>608</v>
      </c>
      <c r="P370" s="3" t="s">
        <v>24</v>
      </c>
      <c r="Q370" s="2" t="s">
        <v>1013</v>
      </c>
    </row>
    <row r="371">
      <c r="A371" s="2" t="s">
        <v>1014</v>
      </c>
      <c r="B371" s="2"/>
      <c r="C371" s="2"/>
      <c r="D371" s="2"/>
      <c r="E371" s="2"/>
      <c r="F371" s="3">
        <v>1.0</v>
      </c>
      <c r="G371" s="3">
        <v>1.0</v>
      </c>
      <c r="H371" s="3">
        <v>1.0</v>
      </c>
      <c r="I371" s="3">
        <v>1.0</v>
      </c>
      <c r="J371" s="3">
        <v>1.0</v>
      </c>
      <c r="K371" s="3">
        <v>0.0</v>
      </c>
      <c r="L371" s="2"/>
      <c r="M371" s="3">
        <v>1.0</v>
      </c>
      <c r="N371" s="3">
        <v>1.0</v>
      </c>
      <c r="O371" s="3">
        <v>1.0</v>
      </c>
      <c r="P371" s="3">
        <v>1.0</v>
      </c>
      <c r="Q371" s="2"/>
      <c r="V371" s="5">
        <f>SUM(B371:P371)/10</f>
        <v>0.9</v>
      </c>
    </row>
    <row r="372">
      <c r="A372" s="2">
        <v>261.0</v>
      </c>
      <c r="B372" s="2">
        <v>28370.0</v>
      </c>
      <c r="C372" s="2">
        <v>32.0</v>
      </c>
      <c r="D372" s="2">
        <v>41.75</v>
      </c>
      <c r="E372" s="2">
        <v>-124.1833</v>
      </c>
      <c r="H372" s="3" t="s">
        <v>1015</v>
      </c>
      <c r="I372" s="3" t="s">
        <v>18</v>
      </c>
      <c r="J372" s="3" t="s">
        <v>1016</v>
      </c>
      <c r="K372" s="3" t="s">
        <v>1003</v>
      </c>
      <c r="L372" s="2" t="s">
        <v>1003</v>
      </c>
      <c r="M372" s="3" t="s">
        <v>1017</v>
      </c>
      <c r="N372" s="3" t="s">
        <v>608</v>
      </c>
      <c r="P372" s="3" t="s">
        <v>24</v>
      </c>
      <c r="Q372" s="2" t="s">
        <v>987</v>
      </c>
    </row>
    <row r="373">
      <c r="A373" s="2" t="s">
        <v>1018</v>
      </c>
      <c r="B373" s="2"/>
      <c r="C373" s="2"/>
      <c r="D373" s="2"/>
      <c r="E373" s="2"/>
      <c r="F373" s="3">
        <v>1.0</v>
      </c>
      <c r="G373" s="3">
        <v>1.0</v>
      </c>
      <c r="H373" s="3">
        <v>1.0</v>
      </c>
      <c r="I373" s="3">
        <v>1.0</v>
      </c>
      <c r="J373" s="3">
        <v>1.0</v>
      </c>
      <c r="K373" s="3">
        <v>0.0</v>
      </c>
      <c r="L373" s="2"/>
      <c r="M373" s="3">
        <v>1.0</v>
      </c>
      <c r="N373" s="3">
        <v>1.0</v>
      </c>
      <c r="O373" s="3">
        <v>1.0</v>
      </c>
      <c r="P373" s="3">
        <v>1.0</v>
      </c>
      <c r="Q373" s="2"/>
      <c r="V373" s="5">
        <f>SUM(B373:P373)/10</f>
        <v>0.9</v>
      </c>
    </row>
    <row r="374">
      <c r="A374" s="2">
        <v>288.0</v>
      </c>
      <c r="B374" s="2">
        <v>38870.0</v>
      </c>
      <c r="C374" s="2">
        <v>59.0</v>
      </c>
      <c r="D374" s="1"/>
      <c r="E374" s="1"/>
      <c r="H374" s="3" t="s">
        <v>1019</v>
      </c>
      <c r="I374" s="3" t="s">
        <v>18</v>
      </c>
      <c r="J374" s="3" t="s">
        <v>232</v>
      </c>
      <c r="L374" s="2" t="s">
        <v>405</v>
      </c>
      <c r="O374" s="3" t="s">
        <v>1020</v>
      </c>
      <c r="P374" s="3" t="s">
        <v>232</v>
      </c>
      <c r="Q374" s="2" t="s">
        <v>1021</v>
      </c>
    </row>
    <row r="375">
      <c r="A375" s="2" t="s">
        <v>1022</v>
      </c>
      <c r="B375" s="2"/>
      <c r="C375" s="2"/>
      <c r="D375" s="1"/>
      <c r="E375" s="1"/>
      <c r="F375" s="3">
        <v>1.0</v>
      </c>
      <c r="G375" s="3">
        <v>1.0</v>
      </c>
      <c r="H375" s="3">
        <v>1.0</v>
      </c>
      <c r="I375" s="3">
        <v>1.0</v>
      </c>
      <c r="J375" s="3">
        <v>1.0</v>
      </c>
      <c r="K375" s="3">
        <v>1.0</v>
      </c>
      <c r="L375" s="2"/>
      <c r="M375" s="3">
        <v>1.0</v>
      </c>
      <c r="N375" s="3">
        <v>1.0</v>
      </c>
      <c r="O375" s="3">
        <v>1.0</v>
      </c>
      <c r="P375" s="3">
        <v>1.0</v>
      </c>
      <c r="Q375" s="2"/>
      <c r="V375" s="5">
        <f>SUM(B375:P375)/10</f>
        <v>1</v>
      </c>
    </row>
    <row r="376">
      <c r="A376" s="2">
        <v>37.0</v>
      </c>
      <c r="B376" s="2">
        <v>56086.0</v>
      </c>
      <c r="C376" s="2">
        <v>61.0</v>
      </c>
      <c r="D376" s="2">
        <v>34.497222</v>
      </c>
      <c r="E376" s="2">
        <v>-119.969444</v>
      </c>
      <c r="F376" s="3">
        <v>34.497222</v>
      </c>
      <c r="G376" s="3">
        <v>-119.969444</v>
      </c>
      <c r="H376" s="3" t="s">
        <v>1023</v>
      </c>
      <c r="I376" s="3" t="s">
        <v>18</v>
      </c>
      <c r="J376" s="3" t="s">
        <v>1024</v>
      </c>
      <c r="K376" s="3" t="s">
        <v>1025</v>
      </c>
      <c r="L376" s="2" t="s">
        <v>1026</v>
      </c>
      <c r="M376" s="3" t="s">
        <v>1027</v>
      </c>
      <c r="N376" s="3" t="s">
        <v>1028</v>
      </c>
      <c r="O376" s="3" t="s">
        <v>1029</v>
      </c>
      <c r="P376" s="3" t="s">
        <v>24</v>
      </c>
      <c r="Q376" s="2" t="s">
        <v>1030</v>
      </c>
    </row>
    <row r="377">
      <c r="A377" s="2" t="s">
        <v>1031</v>
      </c>
      <c r="B377" s="2"/>
      <c r="C377" s="2"/>
      <c r="D377" s="2"/>
      <c r="E377" s="2"/>
      <c r="F377" s="3">
        <v>1.0</v>
      </c>
      <c r="G377" s="3">
        <v>1.0</v>
      </c>
      <c r="H377" s="3">
        <v>1.0</v>
      </c>
      <c r="I377" s="3">
        <v>1.0</v>
      </c>
      <c r="J377" s="3">
        <v>1.0</v>
      </c>
      <c r="K377" s="3">
        <v>1.0</v>
      </c>
      <c r="L377" s="2"/>
      <c r="M377" s="3">
        <v>0.5</v>
      </c>
      <c r="N377" s="3">
        <v>1.0</v>
      </c>
      <c r="O377" s="3">
        <v>1.0</v>
      </c>
      <c r="P377" s="3">
        <v>1.0</v>
      </c>
      <c r="Q377" s="2"/>
      <c r="V377" s="5">
        <f>SUM(B377:P377)/10</f>
        <v>0.95</v>
      </c>
    </row>
    <row r="378">
      <c r="A378" s="2">
        <v>265.0</v>
      </c>
      <c r="B378" s="2">
        <v>56086.0</v>
      </c>
      <c r="C378" s="2">
        <v>126.0</v>
      </c>
      <c r="D378" s="1"/>
      <c r="E378" s="1"/>
      <c r="F378" s="3">
        <v>34.538889</v>
      </c>
      <c r="G378" s="3">
        <v>-120.008333</v>
      </c>
      <c r="H378" s="3" t="s">
        <v>1032</v>
      </c>
      <c r="I378" s="3" t="s">
        <v>18</v>
      </c>
      <c r="J378" s="3" t="s">
        <v>1033</v>
      </c>
      <c r="K378" s="3" t="s">
        <v>1034</v>
      </c>
      <c r="L378" s="2" t="s">
        <v>1035</v>
      </c>
      <c r="M378" s="3" t="s">
        <v>1036</v>
      </c>
      <c r="N378" s="3" t="s">
        <v>1037</v>
      </c>
      <c r="O378" s="3" t="s">
        <v>1038</v>
      </c>
      <c r="P378" s="3" t="s">
        <v>24</v>
      </c>
      <c r="Q378" s="2" t="s">
        <v>1039</v>
      </c>
      <c r="V378" s="5"/>
    </row>
    <row r="379">
      <c r="A379" s="2" t="s">
        <v>1040</v>
      </c>
      <c r="B379" s="2"/>
      <c r="C379" s="2"/>
      <c r="D379" s="1"/>
      <c r="E379" s="1"/>
      <c r="F379" s="3">
        <v>1.0</v>
      </c>
      <c r="G379" s="3">
        <v>1.0</v>
      </c>
      <c r="H379" s="3">
        <v>1.0</v>
      </c>
      <c r="I379" s="3">
        <v>1.0</v>
      </c>
      <c r="J379" s="3">
        <v>1.0</v>
      </c>
      <c r="K379" s="3">
        <v>1.0</v>
      </c>
      <c r="L379" s="2"/>
      <c r="M379" s="3">
        <v>1.0</v>
      </c>
      <c r="N379" s="3">
        <v>0.5</v>
      </c>
      <c r="O379" s="3">
        <v>1.0</v>
      </c>
      <c r="P379" s="3">
        <v>1.0</v>
      </c>
      <c r="Q379" s="2"/>
      <c r="V379" s="5">
        <f>SUM(B379:P379)/10</f>
        <v>0.95</v>
      </c>
    </row>
    <row r="380">
      <c r="A380" s="2">
        <v>172.0</v>
      </c>
      <c r="B380" s="2">
        <v>56361.0</v>
      </c>
      <c r="C380" s="2">
        <v>399.0</v>
      </c>
      <c r="D380" s="1"/>
      <c r="E380" s="1"/>
      <c r="F380" s="3">
        <v>34.0236</v>
      </c>
      <c r="G380" s="3">
        <v>-118.0531</v>
      </c>
      <c r="H380" s="3" t="s">
        <v>1041</v>
      </c>
      <c r="I380" s="3" t="s">
        <v>1042</v>
      </c>
      <c r="J380" s="3" t="s">
        <v>1043</v>
      </c>
      <c r="K380" s="3" t="s">
        <v>130</v>
      </c>
      <c r="L380" s="2" t="s">
        <v>130</v>
      </c>
      <c r="M380" s="3" t="s">
        <v>1044</v>
      </c>
      <c r="N380" s="3" t="s">
        <v>56</v>
      </c>
      <c r="O380" s="3" t="s">
        <v>1045</v>
      </c>
      <c r="P380" s="3" t="s">
        <v>24</v>
      </c>
      <c r="Q380" s="2" t="s">
        <v>1046</v>
      </c>
    </row>
    <row r="381">
      <c r="A381" s="2" t="s">
        <v>1047</v>
      </c>
      <c r="B381" s="2"/>
      <c r="C381" s="2"/>
      <c r="D381" s="1"/>
      <c r="E381" s="1"/>
      <c r="F381" s="3">
        <v>1.0</v>
      </c>
      <c r="G381" s="3">
        <v>1.0</v>
      </c>
      <c r="H381" s="3">
        <v>1.0</v>
      </c>
      <c r="I381" s="3">
        <v>1.0</v>
      </c>
      <c r="J381" s="3">
        <v>1.0</v>
      </c>
      <c r="K381" s="3">
        <v>1.0</v>
      </c>
      <c r="L381" s="2"/>
      <c r="M381" s="3">
        <v>1.0</v>
      </c>
      <c r="N381" s="3">
        <v>0.0</v>
      </c>
      <c r="O381" s="3">
        <v>1.0</v>
      </c>
      <c r="P381" s="3">
        <v>1.0</v>
      </c>
      <c r="Q381" s="2"/>
      <c r="V381" s="5">
        <f>SUM(B381:P381)/10</f>
        <v>0.9</v>
      </c>
    </row>
    <row r="382">
      <c r="A382" s="2">
        <v>102.0</v>
      </c>
      <c r="B382" s="2">
        <v>56362.0</v>
      </c>
      <c r="C382" s="2">
        <v>273.0</v>
      </c>
      <c r="D382" s="2">
        <v>38.6167</v>
      </c>
      <c r="E382" s="2">
        <v>-122.6833</v>
      </c>
      <c r="H382" s="3" t="s">
        <v>1048</v>
      </c>
      <c r="I382" s="3" t="s">
        <v>18</v>
      </c>
      <c r="J382" s="3" t="s">
        <v>1049</v>
      </c>
      <c r="K382" s="3" t="s">
        <v>553</v>
      </c>
      <c r="L382" s="1"/>
      <c r="M382" s="3" t="s">
        <v>1050</v>
      </c>
      <c r="N382" s="3" t="s">
        <v>1051</v>
      </c>
      <c r="O382" s="3" t="s">
        <v>1052</v>
      </c>
      <c r="P382" s="3" t="s">
        <v>24</v>
      </c>
      <c r="Q382" s="2" t="s">
        <v>1053</v>
      </c>
    </row>
    <row r="383">
      <c r="A383" s="2" t="s">
        <v>1054</v>
      </c>
      <c r="B383" s="2"/>
      <c r="C383" s="2"/>
      <c r="D383" s="2"/>
      <c r="E383" s="2"/>
      <c r="F383" s="3">
        <v>1.0</v>
      </c>
      <c r="G383" s="3">
        <v>1.0</v>
      </c>
      <c r="H383" s="3">
        <v>1.0</v>
      </c>
      <c r="I383" s="3">
        <v>1.0</v>
      </c>
      <c r="J383" s="3">
        <v>1.0</v>
      </c>
      <c r="K383" s="3">
        <v>0.0</v>
      </c>
      <c r="L383" s="1"/>
      <c r="M383" s="3">
        <v>1.0</v>
      </c>
      <c r="N383" s="3">
        <v>1.0</v>
      </c>
      <c r="O383" s="3">
        <v>1.0</v>
      </c>
      <c r="P383" s="3">
        <v>1.0</v>
      </c>
      <c r="Q383" s="2"/>
      <c r="V383" s="5">
        <f>SUM(B383:P383)/10</f>
        <v>0.9</v>
      </c>
    </row>
    <row r="384">
      <c r="A384" s="2">
        <v>189.0</v>
      </c>
      <c r="B384" s="2">
        <v>56363.0</v>
      </c>
      <c r="C384" s="2">
        <v>15.0</v>
      </c>
      <c r="D384" s="1"/>
      <c r="E384" s="1"/>
      <c r="F384" s="3">
        <v>38.7789</v>
      </c>
      <c r="G384" s="3">
        <v>-120.8581</v>
      </c>
      <c r="H384" s="3" t="s">
        <v>1055</v>
      </c>
      <c r="I384" s="3" t="s">
        <v>18</v>
      </c>
      <c r="J384" s="3" t="s">
        <v>1056</v>
      </c>
      <c r="K384" s="3" t="s">
        <v>516</v>
      </c>
      <c r="L384" s="1"/>
      <c r="M384" s="3" t="s">
        <v>1057</v>
      </c>
      <c r="N384" s="3" t="s">
        <v>1057</v>
      </c>
      <c r="O384" s="3" t="s">
        <v>1057</v>
      </c>
      <c r="P384" s="3" t="s">
        <v>24</v>
      </c>
      <c r="Q384" s="2" t="s">
        <v>1058</v>
      </c>
    </row>
    <row r="385">
      <c r="A385" s="2" t="s">
        <v>1059</v>
      </c>
      <c r="B385" s="2"/>
      <c r="C385" s="2"/>
      <c r="D385" s="1"/>
      <c r="E385" s="1"/>
      <c r="F385" s="3"/>
      <c r="G385" s="3"/>
      <c r="H385" s="3"/>
      <c r="I385" s="3"/>
      <c r="J385" s="3"/>
      <c r="K385" s="3"/>
      <c r="L385" s="1"/>
      <c r="M385" s="3"/>
      <c r="N385" s="3"/>
      <c r="O385" s="3"/>
      <c r="P385" s="3"/>
      <c r="Q385" s="2"/>
      <c r="V385" s="21">
        <f>SUM(B385:P385)/10</f>
        <v>0</v>
      </c>
    </row>
    <row r="386">
      <c r="A386" s="2">
        <v>190.0</v>
      </c>
      <c r="B386" s="2">
        <v>56363.0</v>
      </c>
      <c r="C386" s="2">
        <v>15.0</v>
      </c>
      <c r="D386" s="1"/>
      <c r="E386" s="1"/>
      <c r="F386" s="3">
        <v>38.8488</v>
      </c>
      <c r="G386" s="3">
        <v>-120.7755</v>
      </c>
      <c r="H386" s="3" t="s">
        <v>1060</v>
      </c>
      <c r="I386" s="3" t="s">
        <v>18</v>
      </c>
      <c r="J386" s="3" t="s">
        <v>1061</v>
      </c>
      <c r="K386" s="3" t="s">
        <v>516</v>
      </c>
      <c r="L386" s="1"/>
      <c r="M386" s="3" t="s">
        <v>1057</v>
      </c>
      <c r="N386" s="3" t="s">
        <v>1057</v>
      </c>
      <c r="O386" s="3" t="s">
        <v>1057</v>
      </c>
      <c r="P386" s="3" t="s">
        <v>74</v>
      </c>
      <c r="Q386" s="2" t="s">
        <v>1062</v>
      </c>
      <c r="V386" s="20"/>
    </row>
    <row r="387">
      <c r="A387" s="2" t="s">
        <v>1063</v>
      </c>
      <c r="B387" s="2"/>
      <c r="C387" s="2"/>
      <c r="D387" s="1"/>
      <c r="E387" s="1"/>
      <c r="F387" s="3"/>
      <c r="G387" s="3"/>
      <c r="H387" s="3"/>
      <c r="I387" s="3"/>
      <c r="J387" s="3"/>
      <c r="K387" s="3"/>
      <c r="L387" s="1"/>
      <c r="M387" s="3"/>
      <c r="N387" s="3"/>
      <c r="O387" s="3"/>
      <c r="P387" s="3"/>
      <c r="Q387" s="2"/>
      <c r="V387" s="21">
        <f>SUM(B387:P387)/10</f>
        <v>0</v>
      </c>
    </row>
    <row r="388">
      <c r="A388" s="2">
        <v>191.0</v>
      </c>
      <c r="B388" s="2">
        <v>56363.0</v>
      </c>
      <c r="C388" s="2">
        <v>15.0</v>
      </c>
      <c r="D388" s="1"/>
      <c r="E388" s="1"/>
      <c r="F388" s="3">
        <v>38.7985</v>
      </c>
      <c r="G388" s="3">
        <v>-120.7259</v>
      </c>
      <c r="H388" s="3" t="s">
        <v>1064</v>
      </c>
      <c r="I388" s="3" t="s">
        <v>18</v>
      </c>
      <c r="J388" s="3" t="s">
        <v>1065</v>
      </c>
      <c r="K388" s="3" t="s">
        <v>516</v>
      </c>
      <c r="L388" s="1"/>
      <c r="M388" s="3" t="s">
        <v>1057</v>
      </c>
      <c r="N388" s="3" t="s">
        <v>1057</v>
      </c>
      <c r="O388" s="3" t="s">
        <v>1057</v>
      </c>
      <c r="P388" s="3" t="s">
        <v>74</v>
      </c>
      <c r="Q388" s="2" t="s">
        <v>1066</v>
      </c>
      <c r="V388" s="20"/>
    </row>
    <row r="389">
      <c r="A389" s="2" t="s">
        <v>1067</v>
      </c>
      <c r="B389" s="2"/>
      <c r="C389" s="2"/>
      <c r="D389" s="1"/>
      <c r="E389" s="1"/>
      <c r="F389" s="3"/>
      <c r="G389" s="3"/>
      <c r="H389" s="3"/>
      <c r="I389" s="3"/>
      <c r="J389" s="3"/>
      <c r="K389" s="3"/>
      <c r="L389" s="1"/>
      <c r="M389" s="3"/>
      <c r="N389" s="3"/>
      <c r="O389" s="3"/>
      <c r="P389" s="3"/>
      <c r="Q389" s="2"/>
      <c r="V389" s="21">
        <f>SUM(B389:P389)/10</f>
        <v>0</v>
      </c>
    </row>
    <row r="390">
      <c r="A390" s="2">
        <v>192.0</v>
      </c>
      <c r="B390" s="2">
        <v>56363.0</v>
      </c>
      <c r="C390" s="2">
        <v>15.0</v>
      </c>
      <c r="D390" s="1"/>
      <c r="E390" s="1"/>
      <c r="F390" s="3">
        <v>38.7985</v>
      </c>
      <c r="G390" s="3">
        <v>-120.7259</v>
      </c>
      <c r="H390" s="3" t="s">
        <v>1068</v>
      </c>
      <c r="I390" s="3" t="s">
        <v>18</v>
      </c>
      <c r="J390" s="3" t="s">
        <v>1069</v>
      </c>
      <c r="K390" s="3" t="s">
        <v>516</v>
      </c>
      <c r="L390" s="1"/>
      <c r="M390" s="3" t="s">
        <v>1057</v>
      </c>
      <c r="N390" s="3" t="s">
        <v>1057</v>
      </c>
      <c r="O390" s="3" t="s">
        <v>1057</v>
      </c>
      <c r="P390" s="3" t="s">
        <v>24</v>
      </c>
      <c r="Q390" s="2" t="s">
        <v>1070</v>
      </c>
      <c r="V390" s="20"/>
    </row>
    <row r="391">
      <c r="A391" s="2" t="s">
        <v>1071</v>
      </c>
      <c r="B391" s="2"/>
      <c r="C391" s="2"/>
      <c r="D391" s="1"/>
      <c r="E391" s="1"/>
      <c r="F391" s="3"/>
      <c r="G391" s="3"/>
      <c r="H391" s="3"/>
      <c r="I391" s="3"/>
      <c r="J391" s="3"/>
      <c r="K391" s="3"/>
      <c r="L391" s="1"/>
      <c r="M391" s="3"/>
      <c r="N391" s="3"/>
      <c r="O391" s="3"/>
      <c r="P391" s="3"/>
      <c r="Q391" s="2"/>
      <c r="V391" s="21">
        <f>SUM(B391:P391)/10</f>
        <v>0</v>
      </c>
    </row>
    <row r="392">
      <c r="A392" s="2">
        <v>193.0</v>
      </c>
      <c r="B392" s="2">
        <v>56363.0</v>
      </c>
      <c r="C392" s="2">
        <v>15.0</v>
      </c>
      <c r="D392" s="1"/>
      <c r="E392" s="1"/>
      <c r="F392" s="3">
        <v>38.7841</v>
      </c>
      <c r="G392" s="3">
        <v>-120.7582</v>
      </c>
      <c r="H392" s="3" t="s">
        <v>1072</v>
      </c>
      <c r="I392" s="3" t="s">
        <v>18</v>
      </c>
      <c r="J392" s="3" t="s">
        <v>1073</v>
      </c>
      <c r="K392" s="3" t="s">
        <v>516</v>
      </c>
      <c r="L392" s="1"/>
      <c r="M392" s="3" t="s">
        <v>1057</v>
      </c>
      <c r="N392" s="3" t="s">
        <v>1057</v>
      </c>
      <c r="O392" s="3" t="s">
        <v>1057</v>
      </c>
      <c r="P392" s="3" t="s">
        <v>24</v>
      </c>
      <c r="Q392" s="2" t="s">
        <v>1074</v>
      </c>
      <c r="V392" s="20"/>
    </row>
    <row r="393">
      <c r="A393" s="2" t="s">
        <v>1075</v>
      </c>
      <c r="B393" s="2"/>
      <c r="C393" s="2"/>
      <c r="D393" s="1"/>
      <c r="E393" s="1"/>
      <c r="F393" s="3"/>
      <c r="G393" s="3"/>
      <c r="H393" s="3"/>
      <c r="I393" s="3"/>
      <c r="J393" s="3"/>
      <c r="K393" s="3"/>
      <c r="L393" s="1"/>
      <c r="M393" s="3"/>
      <c r="N393" s="3"/>
      <c r="O393" s="3"/>
      <c r="P393" s="3"/>
      <c r="Q393" s="2"/>
      <c r="V393" s="21">
        <f>SUM(B393:P393)/10</f>
        <v>0</v>
      </c>
    </row>
    <row r="394">
      <c r="A394" s="2">
        <v>194.0</v>
      </c>
      <c r="B394" s="2">
        <v>56363.0</v>
      </c>
      <c r="C394" s="2">
        <v>15.0</v>
      </c>
      <c r="D394" s="1"/>
      <c r="E394" s="1"/>
      <c r="F394" s="3">
        <v>38.7527</v>
      </c>
      <c r="G394" s="3">
        <v>-120.8046</v>
      </c>
      <c r="H394" s="3" t="s">
        <v>1076</v>
      </c>
      <c r="I394" s="3" t="s">
        <v>18</v>
      </c>
      <c r="J394" s="3" t="s">
        <v>1077</v>
      </c>
      <c r="K394" s="3" t="s">
        <v>516</v>
      </c>
      <c r="L394" s="1"/>
      <c r="M394" s="3" t="s">
        <v>1057</v>
      </c>
      <c r="N394" s="3" t="s">
        <v>1057</v>
      </c>
      <c r="O394" s="3" t="s">
        <v>1057</v>
      </c>
      <c r="P394" s="3" t="s">
        <v>24</v>
      </c>
      <c r="Q394" s="2" t="s">
        <v>1078</v>
      </c>
      <c r="V394" s="20"/>
    </row>
    <row r="395">
      <c r="A395" s="2" t="s">
        <v>1079</v>
      </c>
      <c r="B395" s="2"/>
      <c r="C395" s="2"/>
      <c r="D395" s="1"/>
      <c r="E395" s="1"/>
      <c r="F395" s="3"/>
      <c r="G395" s="3"/>
      <c r="H395" s="3"/>
      <c r="I395" s="3"/>
      <c r="J395" s="3"/>
      <c r="K395" s="3"/>
      <c r="L395" s="1"/>
      <c r="M395" s="3"/>
      <c r="N395" s="3"/>
      <c r="O395" s="3"/>
      <c r="P395" s="3"/>
      <c r="Q395" s="2"/>
      <c r="V395" s="21">
        <f>SUM(B395:P395)/10</f>
        <v>0</v>
      </c>
    </row>
    <row r="396">
      <c r="A396" s="2">
        <v>195.0</v>
      </c>
      <c r="B396" s="2">
        <v>56363.0</v>
      </c>
      <c r="C396" s="2">
        <v>15.0</v>
      </c>
      <c r="D396" s="1"/>
      <c r="E396" s="1"/>
      <c r="F396" s="3">
        <v>38.7519</v>
      </c>
      <c r="G396" s="3">
        <v>-120.7907</v>
      </c>
      <c r="H396" s="3" t="s">
        <v>1080</v>
      </c>
      <c r="I396" s="3" t="s">
        <v>18</v>
      </c>
      <c r="J396" s="3" t="s">
        <v>1077</v>
      </c>
      <c r="K396" s="3" t="s">
        <v>516</v>
      </c>
      <c r="L396" s="1"/>
      <c r="M396" s="3" t="s">
        <v>1057</v>
      </c>
      <c r="N396" s="3" t="s">
        <v>1057</v>
      </c>
      <c r="O396" s="3" t="s">
        <v>1057</v>
      </c>
      <c r="P396" s="3" t="s">
        <v>24</v>
      </c>
      <c r="Q396" s="2" t="s">
        <v>1081</v>
      </c>
      <c r="V396" s="20"/>
    </row>
    <row r="397">
      <c r="A397" s="2" t="s">
        <v>1082</v>
      </c>
      <c r="B397" s="2"/>
      <c r="C397" s="2"/>
      <c r="D397" s="1"/>
      <c r="E397" s="1"/>
      <c r="F397" s="3"/>
      <c r="G397" s="3"/>
      <c r="H397" s="3"/>
      <c r="I397" s="3"/>
      <c r="J397" s="3"/>
      <c r="K397" s="3"/>
      <c r="L397" s="1"/>
      <c r="M397" s="3"/>
      <c r="N397" s="3"/>
      <c r="O397" s="3"/>
      <c r="P397" s="3"/>
      <c r="Q397" s="2"/>
      <c r="V397" s="21">
        <f>SUM(B397:P397)/10</f>
        <v>0</v>
      </c>
    </row>
    <row r="398">
      <c r="A398" s="2">
        <v>196.0</v>
      </c>
      <c r="B398" s="2">
        <v>56363.0</v>
      </c>
      <c r="C398" s="2">
        <v>15.0</v>
      </c>
      <c r="D398" s="1"/>
      <c r="E398" s="1"/>
      <c r="F398" s="3">
        <v>38.7297</v>
      </c>
      <c r="G398" s="3">
        <v>-120.8234</v>
      </c>
      <c r="H398" s="3" t="s">
        <v>1083</v>
      </c>
      <c r="I398" s="3" t="s">
        <v>18</v>
      </c>
      <c r="J398" s="3" t="s">
        <v>1077</v>
      </c>
      <c r="K398" s="3" t="s">
        <v>516</v>
      </c>
      <c r="L398" s="1"/>
      <c r="M398" s="3" t="s">
        <v>1057</v>
      </c>
      <c r="N398" s="3" t="s">
        <v>1057</v>
      </c>
      <c r="O398" s="3" t="s">
        <v>1057</v>
      </c>
      <c r="P398" s="3" t="s">
        <v>24</v>
      </c>
      <c r="Q398" s="2" t="s">
        <v>1084</v>
      </c>
      <c r="V398" s="20"/>
    </row>
    <row r="399">
      <c r="A399" s="2" t="s">
        <v>1085</v>
      </c>
      <c r="B399" s="2"/>
      <c r="C399" s="2"/>
      <c r="D399" s="1"/>
      <c r="E399" s="1"/>
      <c r="F399" s="3"/>
      <c r="G399" s="3"/>
      <c r="H399" s="3"/>
      <c r="I399" s="3"/>
      <c r="J399" s="3"/>
      <c r="K399" s="3"/>
      <c r="L399" s="1"/>
      <c r="M399" s="3"/>
      <c r="N399" s="3"/>
      <c r="O399" s="3"/>
      <c r="P399" s="3"/>
      <c r="Q399" s="2"/>
      <c r="V399" s="21">
        <f>SUM(B399:P399)/10</f>
        <v>0</v>
      </c>
    </row>
    <row r="400">
      <c r="A400" s="2">
        <v>197.0</v>
      </c>
      <c r="B400" s="2">
        <v>56363.0</v>
      </c>
      <c r="C400" s="2">
        <v>15.0</v>
      </c>
      <c r="D400" s="1"/>
      <c r="E400" s="1"/>
      <c r="F400" s="3">
        <v>38.7023</v>
      </c>
      <c r="G400" s="3">
        <v>-120.8326</v>
      </c>
      <c r="H400" s="3" t="s">
        <v>1086</v>
      </c>
      <c r="I400" s="3" t="s">
        <v>18</v>
      </c>
      <c r="J400" s="3" t="s">
        <v>1077</v>
      </c>
      <c r="K400" s="3" t="s">
        <v>516</v>
      </c>
      <c r="L400" s="1"/>
      <c r="M400" s="3" t="s">
        <v>1057</v>
      </c>
      <c r="N400" s="3" t="s">
        <v>1057</v>
      </c>
      <c r="O400" s="3" t="s">
        <v>1057</v>
      </c>
      <c r="P400" s="3" t="s">
        <v>24</v>
      </c>
      <c r="Q400" s="2" t="s">
        <v>1087</v>
      </c>
      <c r="V400" s="20"/>
    </row>
    <row r="401">
      <c r="A401" s="2" t="s">
        <v>1088</v>
      </c>
      <c r="B401" s="2"/>
      <c r="C401" s="2"/>
      <c r="D401" s="1"/>
      <c r="E401" s="1"/>
      <c r="F401" s="3"/>
      <c r="G401" s="3"/>
      <c r="H401" s="3"/>
      <c r="I401" s="3"/>
      <c r="J401" s="3"/>
      <c r="K401" s="3"/>
      <c r="L401" s="1"/>
      <c r="M401" s="3"/>
      <c r="N401" s="3"/>
      <c r="O401" s="3"/>
      <c r="P401" s="3"/>
      <c r="Q401" s="2"/>
      <c r="V401" s="21">
        <f>SUM(B401:P401)/10</f>
        <v>0</v>
      </c>
    </row>
    <row r="402">
      <c r="A402" s="2">
        <v>198.0</v>
      </c>
      <c r="B402" s="2">
        <v>56363.0</v>
      </c>
      <c r="C402" s="2">
        <v>15.0</v>
      </c>
      <c r="D402" s="1"/>
      <c r="E402" s="1"/>
      <c r="F402" s="3">
        <v>38.6861</v>
      </c>
      <c r="G402" s="3">
        <v>-121.1807</v>
      </c>
      <c r="H402" s="3" t="s">
        <v>1089</v>
      </c>
      <c r="I402" s="3" t="s">
        <v>18</v>
      </c>
      <c r="J402" s="3" t="s">
        <v>1090</v>
      </c>
      <c r="K402" s="3" t="s">
        <v>407</v>
      </c>
      <c r="L402" s="1"/>
      <c r="M402" s="3" t="s">
        <v>1057</v>
      </c>
      <c r="N402" s="3" t="s">
        <v>1057</v>
      </c>
      <c r="O402" s="3" t="s">
        <v>1057</v>
      </c>
      <c r="P402" s="3" t="s">
        <v>74</v>
      </c>
      <c r="Q402" s="2" t="s">
        <v>1091</v>
      </c>
      <c r="V402" s="20"/>
    </row>
    <row r="403">
      <c r="A403" s="2" t="s">
        <v>1092</v>
      </c>
      <c r="B403" s="2"/>
      <c r="C403" s="2"/>
      <c r="D403" s="1"/>
      <c r="E403" s="1"/>
      <c r="F403" s="3"/>
      <c r="G403" s="3"/>
      <c r="H403" s="3"/>
      <c r="I403" s="3"/>
      <c r="J403" s="3"/>
      <c r="K403" s="3"/>
      <c r="L403" s="1"/>
      <c r="M403" s="3"/>
      <c r="N403" s="3"/>
      <c r="O403" s="3"/>
      <c r="P403" s="3"/>
      <c r="Q403" s="2"/>
      <c r="V403" s="21">
        <f>SUM(B403:P403)/10</f>
        <v>0</v>
      </c>
    </row>
    <row r="404">
      <c r="A404" s="2">
        <v>199.0</v>
      </c>
      <c r="B404" s="2">
        <v>56363.0</v>
      </c>
      <c r="C404" s="2">
        <v>15.0</v>
      </c>
      <c r="D404" s="1"/>
      <c r="E404" s="1"/>
      <c r="F404" s="3">
        <v>38.6568</v>
      </c>
      <c r="G404" s="3">
        <v>-121.2473</v>
      </c>
      <c r="H404" s="3" t="s">
        <v>1093</v>
      </c>
      <c r="I404" s="3" t="s">
        <v>18</v>
      </c>
      <c r="J404" s="3" t="s">
        <v>1094</v>
      </c>
      <c r="K404" s="3" t="s">
        <v>407</v>
      </c>
      <c r="L404" s="1"/>
      <c r="M404" s="3" t="s">
        <v>1057</v>
      </c>
      <c r="N404" s="3" t="s">
        <v>1057</v>
      </c>
      <c r="O404" s="3" t="s">
        <v>1057</v>
      </c>
      <c r="P404" s="3" t="s">
        <v>24</v>
      </c>
      <c r="Q404" s="2" t="s">
        <v>1095</v>
      </c>
      <c r="V404" s="20"/>
    </row>
    <row r="405">
      <c r="A405" s="2" t="s">
        <v>1096</v>
      </c>
      <c r="B405" s="2"/>
      <c r="C405" s="2"/>
      <c r="D405" s="1"/>
      <c r="E405" s="1"/>
      <c r="F405" s="3"/>
      <c r="G405" s="3"/>
      <c r="H405" s="3"/>
      <c r="I405" s="3"/>
      <c r="J405" s="3"/>
      <c r="K405" s="3"/>
      <c r="L405" s="1"/>
      <c r="M405" s="3"/>
      <c r="N405" s="3"/>
      <c r="O405" s="3"/>
      <c r="P405" s="3"/>
      <c r="Q405" s="2"/>
      <c r="V405" s="21">
        <f>SUM(B405:P405)/10</f>
        <v>0</v>
      </c>
    </row>
    <row r="406">
      <c r="A406" s="2">
        <v>200.0</v>
      </c>
      <c r="B406" s="2">
        <v>56363.0</v>
      </c>
      <c r="C406" s="2">
        <v>15.0</v>
      </c>
      <c r="D406" s="1"/>
      <c r="E406" s="1"/>
      <c r="F406" s="3">
        <v>38.5816</v>
      </c>
      <c r="G406" s="3">
        <v>-121.4944</v>
      </c>
      <c r="H406" s="3" t="s">
        <v>1097</v>
      </c>
      <c r="I406" s="3" t="s">
        <v>18</v>
      </c>
      <c r="J406" s="3" t="s">
        <v>1098</v>
      </c>
      <c r="K406" s="3" t="s">
        <v>407</v>
      </c>
      <c r="L406" s="1"/>
      <c r="M406" s="3" t="s">
        <v>1057</v>
      </c>
      <c r="N406" s="3" t="s">
        <v>1057</v>
      </c>
      <c r="O406" s="3" t="s">
        <v>1057</v>
      </c>
      <c r="P406" s="3" t="s">
        <v>24</v>
      </c>
      <c r="Q406" s="2" t="s">
        <v>1099</v>
      </c>
      <c r="V406" s="20"/>
    </row>
    <row r="407">
      <c r="A407" s="2" t="s">
        <v>1100</v>
      </c>
      <c r="B407" s="2"/>
      <c r="C407" s="2"/>
      <c r="D407" s="1"/>
      <c r="E407" s="1"/>
      <c r="F407" s="3"/>
      <c r="G407" s="3"/>
      <c r="H407" s="3"/>
      <c r="I407" s="3"/>
      <c r="J407" s="3"/>
      <c r="K407" s="3"/>
      <c r="L407" s="1"/>
      <c r="M407" s="3"/>
      <c r="N407" s="3"/>
      <c r="O407" s="3"/>
      <c r="P407" s="3"/>
      <c r="Q407" s="2"/>
      <c r="V407" s="21">
        <f>SUM(B407:P407)/10</f>
        <v>0</v>
      </c>
    </row>
    <row r="408">
      <c r="A408" s="2">
        <v>201.0</v>
      </c>
      <c r="B408" s="2">
        <v>56363.0</v>
      </c>
      <c r="C408" s="2">
        <v>15.0</v>
      </c>
      <c r="D408" s="1"/>
      <c r="E408" s="1"/>
      <c r="F408" s="3">
        <v>38.625</v>
      </c>
      <c r="G408" s="3">
        <v>-121.4244</v>
      </c>
      <c r="H408" s="3" t="s">
        <v>1101</v>
      </c>
      <c r="I408" s="3" t="s">
        <v>18</v>
      </c>
      <c r="J408" s="3" t="s">
        <v>1102</v>
      </c>
      <c r="K408" s="3" t="s">
        <v>407</v>
      </c>
      <c r="L408" s="1"/>
      <c r="M408" s="3" t="s">
        <v>1057</v>
      </c>
      <c r="N408" s="3" t="s">
        <v>1057</v>
      </c>
      <c r="O408" s="3" t="s">
        <v>1057</v>
      </c>
      <c r="P408" s="3" t="s">
        <v>24</v>
      </c>
      <c r="Q408" s="2" t="s">
        <v>1103</v>
      </c>
      <c r="V408" s="20"/>
    </row>
    <row r="409">
      <c r="A409" s="2" t="s">
        <v>1104</v>
      </c>
      <c r="B409" s="2"/>
      <c r="C409" s="2"/>
      <c r="D409" s="1"/>
      <c r="E409" s="1"/>
      <c r="F409" s="3"/>
      <c r="G409" s="3"/>
      <c r="H409" s="3"/>
      <c r="I409" s="3"/>
      <c r="J409" s="3"/>
      <c r="K409" s="3"/>
      <c r="L409" s="1"/>
      <c r="M409" s="3"/>
      <c r="N409" s="3"/>
      <c r="O409" s="3"/>
      <c r="P409" s="3"/>
      <c r="Q409" s="2"/>
      <c r="V409" s="21">
        <f>SUM(B409:P409)/10</f>
        <v>0</v>
      </c>
    </row>
    <row r="410">
      <c r="A410" s="2">
        <v>202.0</v>
      </c>
      <c r="B410" s="2">
        <v>56363.0</v>
      </c>
      <c r="C410" s="2">
        <v>15.0</v>
      </c>
      <c r="D410" s="1"/>
      <c r="E410" s="1"/>
      <c r="F410" s="3">
        <v>38.5816</v>
      </c>
      <c r="G410" s="3">
        <v>-121.4944</v>
      </c>
      <c r="H410" s="3" t="s">
        <v>1097</v>
      </c>
      <c r="I410" s="3" t="s">
        <v>18</v>
      </c>
      <c r="J410" s="3" t="s">
        <v>1105</v>
      </c>
      <c r="K410" s="3" t="s">
        <v>407</v>
      </c>
      <c r="L410" s="1"/>
      <c r="M410" s="3" t="s">
        <v>1057</v>
      </c>
      <c r="N410" s="3" t="s">
        <v>1057</v>
      </c>
      <c r="O410" s="3" t="s">
        <v>1057</v>
      </c>
      <c r="P410" s="3" t="s">
        <v>24</v>
      </c>
      <c r="Q410" s="2" t="s">
        <v>1106</v>
      </c>
      <c r="V410" s="20"/>
    </row>
    <row r="411">
      <c r="A411" s="2" t="s">
        <v>1107</v>
      </c>
      <c r="B411" s="2"/>
      <c r="C411" s="2"/>
      <c r="D411" s="1"/>
      <c r="E411" s="1"/>
      <c r="F411" s="3"/>
      <c r="G411" s="3"/>
      <c r="H411" s="3"/>
      <c r="I411" s="3"/>
      <c r="J411" s="3"/>
      <c r="K411" s="3"/>
      <c r="L411" s="1"/>
      <c r="M411" s="3"/>
      <c r="N411" s="3"/>
      <c r="O411" s="3"/>
      <c r="P411" s="3"/>
      <c r="Q411" s="2"/>
      <c r="V411" s="21">
        <f>SUM(B411:P411)/10</f>
        <v>0</v>
      </c>
    </row>
    <row r="412">
      <c r="A412" s="2">
        <v>203.0</v>
      </c>
      <c r="B412" s="2">
        <v>56363.0</v>
      </c>
      <c r="C412" s="2">
        <v>15.0</v>
      </c>
      <c r="D412" s="1"/>
      <c r="E412" s="1"/>
      <c r="F412" s="3">
        <v>38.2923</v>
      </c>
      <c r="G412" s="3">
        <v>-121.8675</v>
      </c>
      <c r="H412" s="3" t="s">
        <v>1108</v>
      </c>
      <c r="I412" s="3" t="s">
        <v>18</v>
      </c>
      <c r="J412" s="3" t="s">
        <v>1105</v>
      </c>
      <c r="K412" s="3" t="s">
        <v>1109</v>
      </c>
      <c r="L412" s="1"/>
      <c r="M412" s="3" t="s">
        <v>1057</v>
      </c>
      <c r="N412" s="3" t="s">
        <v>1057</v>
      </c>
      <c r="O412" s="3" t="s">
        <v>1057</v>
      </c>
      <c r="P412" s="3" t="s">
        <v>24</v>
      </c>
      <c r="Q412" s="2" t="s">
        <v>1110</v>
      </c>
      <c r="V412" s="20"/>
    </row>
    <row r="413">
      <c r="A413" s="2" t="s">
        <v>1111</v>
      </c>
      <c r="B413" s="2"/>
      <c r="C413" s="2"/>
      <c r="D413" s="1"/>
      <c r="E413" s="1"/>
      <c r="F413" s="3"/>
      <c r="G413" s="3"/>
      <c r="H413" s="3"/>
      <c r="I413" s="3"/>
      <c r="J413" s="3"/>
      <c r="K413" s="3"/>
      <c r="L413" s="1"/>
      <c r="M413" s="3"/>
      <c r="N413" s="3"/>
      <c r="O413" s="3"/>
      <c r="P413" s="3"/>
      <c r="Q413" s="2"/>
      <c r="V413" s="21">
        <f>SUM(B413:P413)/10</f>
        <v>0</v>
      </c>
    </row>
    <row r="414">
      <c r="A414" s="2">
        <v>204.0</v>
      </c>
      <c r="B414" s="2">
        <v>56363.0</v>
      </c>
      <c r="C414" s="2">
        <v>15.0</v>
      </c>
      <c r="D414" s="1"/>
      <c r="E414" s="1"/>
      <c r="F414" s="3">
        <v>38.7137</v>
      </c>
      <c r="G414" s="3">
        <v>-121.9786</v>
      </c>
      <c r="H414" s="3" t="s">
        <v>1112</v>
      </c>
      <c r="I414" s="3" t="s">
        <v>18</v>
      </c>
      <c r="J414" s="3" t="s">
        <v>1105</v>
      </c>
      <c r="K414" s="3" t="s">
        <v>1113</v>
      </c>
      <c r="L414" s="1"/>
      <c r="M414" s="3" t="s">
        <v>1057</v>
      </c>
      <c r="N414" s="3" t="s">
        <v>1057</v>
      </c>
      <c r="O414" s="3" t="s">
        <v>1057</v>
      </c>
      <c r="P414" s="3" t="s">
        <v>24</v>
      </c>
      <c r="Q414" s="2" t="s">
        <v>1114</v>
      </c>
      <c r="V414" s="20"/>
    </row>
    <row r="415">
      <c r="A415" s="2" t="s">
        <v>1115</v>
      </c>
      <c r="B415" s="2"/>
      <c r="C415" s="2"/>
      <c r="D415" s="1"/>
      <c r="E415" s="1"/>
      <c r="F415" s="3"/>
      <c r="G415" s="3"/>
      <c r="H415" s="3"/>
      <c r="I415" s="3"/>
      <c r="J415" s="3"/>
      <c r="K415" s="3"/>
      <c r="L415" s="1"/>
      <c r="M415" s="3"/>
      <c r="N415" s="3"/>
      <c r="O415" s="3"/>
      <c r="P415" s="3"/>
      <c r="Q415" s="2"/>
      <c r="V415" s="21">
        <f>SUM(B415:P415)/10</f>
        <v>0</v>
      </c>
    </row>
    <row r="416">
      <c r="A416" s="2">
        <v>205.0</v>
      </c>
      <c r="B416" s="2">
        <v>56363.0</v>
      </c>
      <c r="C416" s="2">
        <v>15.0</v>
      </c>
      <c r="D416" s="1"/>
      <c r="E416" s="1"/>
      <c r="F416" s="3">
        <v>38.9331</v>
      </c>
      <c r="G416" s="3">
        <v>-122.6814</v>
      </c>
      <c r="H416" s="3" t="s">
        <v>1116</v>
      </c>
      <c r="I416" s="3" t="s">
        <v>18</v>
      </c>
      <c r="J416" s="3" t="s">
        <v>1117</v>
      </c>
      <c r="K416" s="3" t="s">
        <v>116</v>
      </c>
      <c r="L416" s="1"/>
      <c r="M416" s="3" t="s">
        <v>1057</v>
      </c>
      <c r="N416" s="3" t="s">
        <v>1057</v>
      </c>
      <c r="O416" s="3" t="s">
        <v>1057</v>
      </c>
      <c r="P416" s="3" t="s">
        <v>24</v>
      </c>
      <c r="Q416" s="2" t="s">
        <v>1118</v>
      </c>
      <c r="V416" s="20"/>
    </row>
    <row r="417">
      <c r="A417" s="2" t="s">
        <v>1119</v>
      </c>
      <c r="B417" s="2"/>
      <c r="C417" s="2"/>
      <c r="D417" s="1"/>
      <c r="E417" s="1"/>
      <c r="F417" s="3"/>
      <c r="G417" s="3"/>
      <c r="H417" s="3"/>
      <c r="I417" s="3"/>
      <c r="J417" s="3"/>
      <c r="K417" s="3"/>
      <c r="L417" s="1"/>
      <c r="M417" s="3"/>
      <c r="N417" s="3"/>
      <c r="O417" s="3"/>
      <c r="P417" s="3"/>
      <c r="Q417" s="2"/>
      <c r="V417" s="21">
        <f>SUM(B417:P417)/10</f>
        <v>0</v>
      </c>
    </row>
    <row r="418">
      <c r="A418" s="2">
        <v>206.0</v>
      </c>
      <c r="B418" s="2">
        <v>56363.0</v>
      </c>
      <c r="C418" s="2">
        <v>15.0</v>
      </c>
      <c r="D418" s="1"/>
      <c r="E418" s="1"/>
      <c r="F418" s="3">
        <v>38.9534</v>
      </c>
      <c r="G418" s="3">
        <v>-122.6833</v>
      </c>
      <c r="H418" s="3" t="s">
        <v>1120</v>
      </c>
      <c r="I418" s="3" t="s">
        <v>18</v>
      </c>
      <c r="J418" s="3" t="s">
        <v>1121</v>
      </c>
      <c r="K418" s="3" t="s">
        <v>116</v>
      </c>
      <c r="L418" s="1"/>
      <c r="M418" s="3" t="s">
        <v>1057</v>
      </c>
      <c r="N418" s="3" t="s">
        <v>1057</v>
      </c>
      <c r="O418" s="3" t="s">
        <v>1057</v>
      </c>
      <c r="P418" s="3" t="s">
        <v>24</v>
      </c>
      <c r="Q418" s="2" t="s">
        <v>1122</v>
      </c>
      <c r="V418" s="20"/>
    </row>
    <row r="419">
      <c r="A419" s="2" t="s">
        <v>1123</v>
      </c>
      <c r="B419" s="2"/>
      <c r="C419" s="2"/>
      <c r="D419" s="1"/>
      <c r="E419" s="1"/>
      <c r="F419" s="3"/>
      <c r="G419" s="3"/>
      <c r="H419" s="3"/>
      <c r="I419" s="3"/>
      <c r="J419" s="3"/>
      <c r="K419" s="3"/>
      <c r="L419" s="1"/>
      <c r="M419" s="3"/>
      <c r="N419" s="3"/>
      <c r="O419" s="3"/>
      <c r="P419" s="3"/>
      <c r="Q419" s="2"/>
      <c r="V419" s="21">
        <f>SUM(B419:P419)/10</f>
        <v>0</v>
      </c>
    </row>
    <row r="420">
      <c r="A420" s="2">
        <v>207.0</v>
      </c>
      <c r="B420" s="2">
        <v>56363.0</v>
      </c>
      <c r="C420" s="2">
        <v>15.0</v>
      </c>
      <c r="D420" s="1"/>
      <c r="E420" s="1"/>
      <c r="F420" s="3">
        <v>38.9534</v>
      </c>
      <c r="G420" s="3">
        <v>-122.6833</v>
      </c>
      <c r="H420" s="3" t="s">
        <v>1124</v>
      </c>
      <c r="I420" s="3" t="s">
        <v>18</v>
      </c>
      <c r="J420" s="3" t="s">
        <v>1121</v>
      </c>
      <c r="K420" s="3" t="s">
        <v>116</v>
      </c>
      <c r="L420" s="1"/>
      <c r="M420" s="3" t="s">
        <v>1057</v>
      </c>
      <c r="N420" s="3" t="s">
        <v>1057</v>
      </c>
      <c r="O420" s="3" t="s">
        <v>1057</v>
      </c>
      <c r="P420" s="3" t="s">
        <v>24</v>
      </c>
      <c r="Q420" s="2" t="s">
        <v>1125</v>
      </c>
      <c r="V420" s="20"/>
    </row>
    <row r="421">
      <c r="A421" s="2" t="s">
        <v>1126</v>
      </c>
      <c r="B421" s="2"/>
      <c r="C421" s="2"/>
      <c r="D421" s="1"/>
      <c r="E421" s="1"/>
      <c r="F421" s="3"/>
      <c r="G421" s="3"/>
      <c r="H421" s="3"/>
      <c r="I421" s="3"/>
      <c r="J421" s="3"/>
      <c r="K421" s="3"/>
      <c r="L421" s="1"/>
      <c r="M421" s="3"/>
      <c r="N421" s="3"/>
      <c r="O421" s="3"/>
      <c r="P421" s="3"/>
      <c r="Q421" s="2"/>
      <c r="V421" s="21">
        <f>SUM(B421:P421)/10</f>
        <v>0</v>
      </c>
    </row>
    <row r="422">
      <c r="A422" s="2">
        <v>208.0</v>
      </c>
      <c r="B422" s="2">
        <v>56363.0</v>
      </c>
      <c r="C422" s="2">
        <v>15.0</v>
      </c>
      <c r="D422" s="1"/>
      <c r="E422" s="1"/>
      <c r="F422" s="3">
        <v>38.9605</v>
      </c>
      <c r="G422" s="3">
        <v>-122.8701</v>
      </c>
      <c r="H422" s="3" t="s">
        <v>1127</v>
      </c>
      <c r="I422" s="3" t="s">
        <v>18</v>
      </c>
      <c r="J422" s="3" t="s">
        <v>1128</v>
      </c>
      <c r="K422" s="3" t="s">
        <v>116</v>
      </c>
      <c r="L422" s="1"/>
      <c r="M422" s="3" t="s">
        <v>1057</v>
      </c>
      <c r="N422" s="3" t="s">
        <v>1057</v>
      </c>
      <c r="O422" s="3" t="s">
        <v>1057</v>
      </c>
      <c r="P422" s="3" t="s">
        <v>24</v>
      </c>
      <c r="Q422" s="2" t="s">
        <v>1129</v>
      </c>
      <c r="V422" s="20"/>
    </row>
    <row r="423">
      <c r="A423" s="2" t="s">
        <v>1130</v>
      </c>
      <c r="B423" s="2"/>
      <c r="C423" s="2"/>
      <c r="D423" s="1"/>
      <c r="E423" s="1"/>
      <c r="F423" s="3"/>
      <c r="G423" s="3"/>
      <c r="H423" s="3"/>
      <c r="I423" s="3"/>
      <c r="J423" s="3"/>
      <c r="K423" s="3"/>
      <c r="L423" s="1"/>
      <c r="M423" s="3"/>
      <c r="N423" s="3"/>
      <c r="O423" s="3"/>
      <c r="P423" s="3"/>
      <c r="Q423" s="2"/>
      <c r="V423" s="21">
        <f>SUM(B423:P423)/10</f>
        <v>0</v>
      </c>
    </row>
    <row r="424">
      <c r="A424" s="2">
        <v>209.0</v>
      </c>
      <c r="B424" s="2">
        <v>56363.0</v>
      </c>
      <c r="C424" s="2">
        <v>15.0</v>
      </c>
      <c r="D424" s="1"/>
      <c r="E424" s="1"/>
      <c r="F424" s="3">
        <v>38.9331</v>
      </c>
      <c r="G424" s="3">
        <v>-122.6814</v>
      </c>
      <c r="H424" s="3" t="s">
        <v>1116</v>
      </c>
      <c r="I424" s="3" t="s">
        <v>18</v>
      </c>
      <c r="J424" s="3" t="s">
        <v>1131</v>
      </c>
      <c r="K424" s="3" t="s">
        <v>116</v>
      </c>
      <c r="L424" s="1"/>
      <c r="M424" s="3" t="s">
        <v>1057</v>
      </c>
      <c r="N424" s="3" t="s">
        <v>1057</v>
      </c>
      <c r="O424" s="3" t="s">
        <v>1057</v>
      </c>
      <c r="P424" s="3" t="s">
        <v>24</v>
      </c>
      <c r="Q424" s="2" t="s">
        <v>1132</v>
      </c>
      <c r="V424" s="20"/>
    </row>
    <row r="425">
      <c r="A425" s="2" t="s">
        <v>1133</v>
      </c>
      <c r="B425" s="2"/>
      <c r="C425" s="2"/>
      <c r="D425" s="1"/>
      <c r="E425" s="1"/>
      <c r="F425" s="3"/>
      <c r="G425" s="3"/>
      <c r="H425" s="3"/>
      <c r="I425" s="3"/>
      <c r="J425" s="3"/>
      <c r="K425" s="3"/>
      <c r="L425" s="1"/>
      <c r="M425" s="3"/>
      <c r="N425" s="3"/>
      <c r="O425" s="3"/>
      <c r="P425" s="3"/>
      <c r="Q425" s="2"/>
      <c r="V425" s="21">
        <f>SUM(B425:P425)/10</f>
        <v>0</v>
      </c>
    </row>
    <row r="426">
      <c r="A426" s="2">
        <v>210.0</v>
      </c>
      <c r="B426" s="2">
        <v>56363.0</v>
      </c>
      <c r="C426" s="2">
        <v>15.0</v>
      </c>
      <c r="D426" s="1"/>
      <c r="E426" s="1"/>
      <c r="F426" s="3">
        <v>38.9625</v>
      </c>
      <c r="G426" s="3">
        <v>-122.8828</v>
      </c>
      <c r="H426" s="3" t="s">
        <v>1134</v>
      </c>
      <c r="I426" s="3" t="s">
        <v>18</v>
      </c>
      <c r="J426" s="3" t="s">
        <v>1135</v>
      </c>
      <c r="K426" s="3" t="s">
        <v>116</v>
      </c>
      <c r="L426" s="1"/>
      <c r="M426" s="3" t="s">
        <v>1057</v>
      </c>
      <c r="N426" s="3" t="s">
        <v>1057</v>
      </c>
      <c r="O426" s="3" t="s">
        <v>1057</v>
      </c>
      <c r="P426" s="3" t="s">
        <v>74</v>
      </c>
      <c r="Q426" s="2" t="s">
        <v>1136</v>
      </c>
      <c r="V426" s="20"/>
    </row>
    <row r="427">
      <c r="A427" s="2" t="s">
        <v>1137</v>
      </c>
      <c r="B427" s="2"/>
      <c r="C427" s="2"/>
      <c r="D427" s="1"/>
      <c r="E427" s="1"/>
      <c r="F427" s="3"/>
      <c r="G427" s="3"/>
      <c r="H427" s="3"/>
      <c r="I427" s="3"/>
      <c r="J427" s="3"/>
      <c r="K427" s="3"/>
      <c r="L427" s="1"/>
      <c r="M427" s="3"/>
      <c r="N427" s="3"/>
      <c r="O427" s="3"/>
      <c r="P427" s="3"/>
      <c r="Q427" s="2"/>
      <c r="V427" s="21">
        <f>SUM(B427:P427)/10</f>
        <v>0</v>
      </c>
    </row>
    <row r="428">
      <c r="A428" s="2">
        <v>211.0</v>
      </c>
      <c r="B428" s="2">
        <v>56363.0</v>
      </c>
      <c r="C428" s="2">
        <v>15.0</v>
      </c>
      <c r="D428" s="1"/>
      <c r="E428" s="1"/>
      <c r="F428" s="3">
        <v>38.9039</v>
      </c>
      <c r="G428" s="3">
        <v>-122.685</v>
      </c>
      <c r="H428" s="3" t="s">
        <v>1138</v>
      </c>
      <c r="I428" s="3" t="s">
        <v>18</v>
      </c>
      <c r="J428" s="3" t="s">
        <v>256</v>
      </c>
      <c r="K428" s="3" t="s">
        <v>116</v>
      </c>
      <c r="L428" s="1"/>
      <c r="M428" s="3" t="s">
        <v>1057</v>
      </c>
      <c r="N428" s="3" t="s">
        <v>1057</v>
      </c>
      <c r="O428" s="3" t="s">
        <v>1057</v>
      </c>
      <c r="P428" s="3" t="s">
        <v>24</v>
      </c>
      <c r="Q428" s="2" t="s">
        <v>1139</v>
      </c>
      <c r="V428" s="20"/>
    </row>
    <row r="429">
      <c r="A429" s="2" t="s">
        <v>1140</v>
      </c>
      <c r="B429" s="2"/>
      <c r="C429" s="2"/>
      <c r="D429" s="1"/>
      <c r="E429" s="1"/>
      <c r="F429" s="3"/>
      <c r="G429" s="3"/>
      <c r="H429" s="3"/>
      <c r="I429" s="3"/>
      <c r="J429" s="3"/>
      <c r="K429" s="3"/>
      <c r="L429" s="1"/>
      <c r="M429" s="3"/>
      <c r="N429" s="3"/>
      <c r="O429" s="3"/>
      <c r="P429" s="3"/>
      <c r="Q429" s="2"/>
      <c r="V429" s="21">
        <f>SUM(B429:P429)/10</f>
        <v>0</v>
      </c>
    </row>
    <row r="430">
      <c r="A430" s="2">
        <v>212.0</v>
      </c>
      <c r="B430" s="2">
        <v>56363.0</v>
      </c>
      <c r="C430" s="2">
        <v>15.0</v>
      </c>
      <c r="D430" s="1"/>
      <c r="E430" s="1"/>
      <c r="F430" s="3">
        <v>38.8958</v>
      </c>
      <c r="G430" s="3">
        <v>-122.75</v>
      </c>
      <c r="H430" s="3" t="s">
        <v>1141</v>
      </c>
      <c r="I430" s="3" t="s">
        <v>18</v>
      </c>
      <c r="J430" s="3" t="s">
        <v>1142</v>
      </c>
      <c r="K430" s="3" t="s">
        <v>116</v>
      </c>
      <c r="L430" s="1"/>
      <c r="M430" s="3" t="s">
        <v>1057</v>
      </c>
      <c r="N430" s="3" t="s">
        <v>1057</v>
      </c>
      <c r="O430" s="3" t="s">
        <v>1057</v>
      </c>
      <c r="P430" s="3" t="s">
        <v>24</v>
      </c>
      <c r="Q430" s="2" t="s">
        <v>1143</v>
      </c>
      <c r="V430" s="20"/>
    </row>
    <row r="431">
      <c r="A431" s="2" t="s">
        <v>1144</v>
      </c>
      <c r="B431" s="2"/>
      <c r="C431" s="2"/>
      <c r="D431" s="1"/>
      <c r="E431" s="1"/>
      <c r="F431" s="3"/>
      <c r="G431" s="3"/>
      <c r="H431" s="3"/>
      <c r="I431" s="3"/>
      <c r="J431" s="3"/>
      <c r="K431" s="3"/>
      <c r="L431" s="1"/>
      <c r="M431" s="3"/>
      <c r="N431" s="3"/>
      <c r="O431" s="3"/>
      <c r="P431" s="3"/>
      <c r="Q431" s="2"/>
      <c r="V431" s="21">
        <f>SUM(B431:P431)/10</f>
        <v>0</v>
      </c>
    </row>
    <row r="432">
      <c r="A432" s="2">
        <v>213.0</v>
      </c>
      <c r="B432" s="2">
        <v>56363.0</v>
      </c>
      <c r="C432" s="2">
        <v>15.0</v>
      </c>
      <c r="D432" s="1"/>
      <c r="E432" s="1"/>
      <c r="F432" s="3">
        <v>38.9039</v>
      </c>
      <c r="G432" s="3">
        <v>-122.685</v>
      </c>
      <c r="H432" s="3" t="s">
        <v>1138</v>
      </c>
      <c r="I432" s="3" t="s">
        <v>18</v>
      </c>
      <c r="J432" s="3" t="s">
        <v>1142</v>
      </c>
      <c r="K432" s="3" t="s">
        <v>116</v>
      </c>
      <c r="L432" s="1"/>
      <c r="M432" s="3" t="s">
        <v>1057</v>
      </c>
      <c r="N432" s="3" t="s">
        <v>1057</v>
      </c>
      <c r="O432" s="3" t="s">
        <v>1057</v>
      </c>
      <c r="P432" s="3" t="s">
        <v>24</v>
      </c>
      <c r="Q432" s="2" t="s">
        <v>1145</v>
      </c>
      <c r="V432" s="20"/>
    </row>
    <row r="433">
      <c r="A433" s="2" t="s">
        <v>1146</v>
      </c>
      <c r="B433" s="2"/>
      <c r="C433" s="2"/>
      <c r="D433" s="1"/>
      <c r="E433" s="1"/>
      <c r="F433" s="3"/>
      <c r="G433" s="3"/>
      <c r="H433" s="3"/>
      <c r="I433" s="3"/>
      <c r="J433" s="3"/>
      <c r="K433" s="3"/>
      <c r="L433" s="1"/>
      <c r="M433" s="3"/>
      <c r="N433" s="3"/>
      <c r="O433" s="3"/>
      <c r="P433" s="3"/>
      <c r="Q433" s="2"/>
      <c r="V433" s="21">
        <f>SUM(B433:P433)/10</f>
        <v>0</v>
      </c>
    </row>
    <row r="434">
      <c r="A434" s="2">
        <v>214.0</v>
      </c>
      <c r="B434" s="2">
        <v>56363.0</v>
      </c>
      <c r="C434" s="2">
        <v>15.0</v>
      </c>
      <c r="D434" s="1"/>
      <c r="E434" s="1"/>
      <c r="F434" s="3">
        <v>38.8764</v>
      </c>
      <c r="G434" s="3">
        <v>-122.7336</v>
      </c>
      <c r="H434" s="3" t="s">
        <v>1147</v>
      </c>
      <c r="I434" s="3" t="s">
        <v>18</v>
      </c>
      <c r="J434" s="3" t="s">
        <v>1148</v>
      </c>
      <c r="K434" s="3" t="s">
        <v>116</v>
      </c>
      <c r="L434" s="1"/>
      <c r="M434" s="3" t="s">
        <v>1057</v>
      </c>
      <c r="N434" s="3" t="s">
        <v>1057</v>
      </c>
      <c r="O434" s="3" t="s">
        <v>1057</v>
      </c>
      <c r="P434" s="3" t="s">
        <v>24</v>
      </c>
      <c r="Q434" s="2" t="s">
        <v>1149</v>
      </c>
      <c r="V434" s="20"/>
    </row>
    <row r="435">
      <c r="A435" s="2" t="s">
        <v>1150</v>
      </c>
      <c r="B435" s="2"/>
      <c r="C435" s="2"/>
      <c r="D435" s="1"/>
      <c r="E435" s="1"/>
      <c r="F435" s="3"/>
      <c r="G435" s="3"/>
      <c r="H435" s="3"/>
      <c r="I435" s="3"/>
      <c r="J435" s="3"/>
      <c r="K435" s="3"/>
      <c r="L435" s="1"/>
      <c r="M435" s="3"/>
      <c r="N435" s="3"/>
      <c r="O435" s="3"/>
      <c r="P435" s="3"/>
      <c r="Q435" s="2"/>
      <c r="V435" s="21">
        <f>SUM(B435:P435)/10</f>
        <v>0</v>
      </c>
    </row>
    <row r="436">
      <c r="A436" s="2">
        <v>215.0</v>
      </c>
      <c r="B436" s="2">
        <v>56363.0</v>
      </c>
      <c r="C436" s="2">
        <v>15.0</v>
      </c>
      <c r="D436" s="1"/>
      <c r="E436" s="1"/>
      <c r="F436" s="3">
        <v>38.7203</v>
      </c>
      <c r="G436" s="3">
        <v>-122.0981</v>
      </c>
      <c r="H436" s="3" t="s">
        <v>1151</v>
      </c>
      <c r="I436" s="3" t="s">
        <v>18</v>
      </c>
      <c r="J436" s="3" t="s">
        <v>256</v>
      </c>
      <c r="K436" s="3" t="s">
        <v>1113</v>
      </c>
      <c r="L436" s="1"/>
      <c r="M436" s="3" t="s">
        <v>1057</v>
      </c>
      <c r="N436" s="3" t="s">
        <v>1057</v>
      </c>
      <c r="O436" s="3" t="s">
        <v>1057</v>
      </c>
      <c r="P436" s="3" t="s">
        <v>24</v>
      </c>
      <c r="Q436" s="2" t="s">
        <v>1152</v>
      </c>
      <c r="V436" s="20"/>
    </row>
    <row r="437">
      <c r="A437" s="2" t="s">
        <v>1153</v>
      </c>
      <c r="B437" s="2"/>
      <c r="C437" s="2"/>
      <c r="D437" s="1"/>
      <c r="E437" s="1"/>
      <c r="F437" s="3"/>
      <c r="G437" s="3"/>
      <c r="H437" s="3"/>
      <c r="I437" s="3"/>
      <c r="J437" s="3"/>
      <c r="K437" s="3"/>
      <c r="L437" s="1"/>
      <c r="M437" s="3"/>
      <c r="N437" s="3"/>
      <c r="O437" s="3"/>
      <c r="P437" s="3"/>
      <c r="Q437" s="2"/>
      <c r="V437" s="21">
        <f>SUM(B437:P437)/10</f>
        <v>0</v>
      </c>
    </row>
    <row r="438">
      <c r="A438" s="2">
        <v>216.0</v>
      </c>
      <c r="B438" s="2">
        <v>56363.0</v>
      </c>
      <c r="C438" s="2">
        <v>15.0</v>
      </c>
      <c r="D438" s="1"/>
      <c r="E438" s="1"/>
      <c r="F438" s="3">
        <v>38.6825</v>
      </c>
      <c r="G438" s="3">
        <v>-121.9892</v>
      </c>
      <c r="H438" s="3" t="s">
        <v>1154</v>
      </c>
      <c r="I438" s="3" t="s">
        <v>18</v>
      </c>
      <c r="J438" s="3" t="s">
        <v>256</v>
      </c>
      <c r="K438" s="3" t="s">
        <v>1113</v>
      </c>
      <c r="L438" s="1"/>
      <c r="M438" s="3" t="s">
        <v>1057</v>
      </c>
      <c r="N438" s="3" t="s">
        <v>1057</v>
      </c>
      <c r="O438" s="3" t="s">
        <v>1057</v>
      </c>
      <c r="P438" s="3" t="s">
        <v>24</v>
      </c>
      <c r="Q438" s="2" t="s">
        <v>1155</v>
      </c>
      <c r="V438" s="20"/>
    </row>
    <row r="439">
      <c r="A439" s="2" t="s">
        <v>1156</v>
      </c>
      <c r="B439" s="2"/>
      <c r="C439" s="2"/>
      <c r="D439" s="1"/>
      <c r="E439" s="1"/>
      <c r="F439" s="3"/>
      <c r="G439" s="3"/>
      <c r="H439" s="3"/>
      <c r="I439" s="3"/>
      <c r="J439" s="3"/>
      <c r="K439" s="3"/>
      <c r="L439" s="1"/>
      <c r="M439" s="3"/>
      <c r="N439" s="3"/>
      <c r="O439" s="3"/>
      <c r="P439" s="3"/>
      <c r="Q439" s="2"/>
      <c r="V439" s="21">
        <f>SUM(B439:P439)/10</f>
        <v>0</v>
      </c>
    </row>
    <row r="440">
      <c r="A440" s="2">
        <v>217.0</v>
      </c>
      <c r="B440" s="2">
        <v>56363.0</v>
      </c>
      <c r="C440" s="2">
        <v>15.0</v>
      </c>
      <c r="D440" s="1"/>
      <c r="E440" s="1"/>
      <c r="F440" s="3">
        <v>38.68</v>
      </c>
      <c r="G440" s="3">
        <v>-121.75</v>
      </c>
      <c r="H440" s="3" t="s">
        <v>1157</v>
      </c>
      <c r="I440" s="3" t="s">
        <v>18</v>
      </c>
      <c r="J440" s="3" t="s">
        <v>1158</v>
      </c>
      <c r="K440" s="3" t="s">
        <v>407</v>
      </c>
      <c r="L440" s="1"/>
      <c r="M440" s="3" t="s">
        <v>1057</v>
      </c>
      <c r="N440" s="3" t="s">
        <v>1057</v>
      </c>
      <c r="O440" s="3" t="s">
        <v>1057</v>
      </c>
      <c r="P440" s="3" t="s">
        <v>24</v>
      </c>
      <c r="Q440" s="2" t="s">
        <v>1159</v>
      </c>
      <c r="V440" s="20"/>
    </row>
    <row r="441">
      <c r="A441" s="2" t="s">
        <v>1160</v>
      </c>
      <c r="B441" s="2"/>
      <c r="C441" s="2"/>
      <c r="D441" s="1"/>
      <c r="E441" s="1"/>
      <c r="F441" s="3"/>
      <c r="G441" s="3"/>
      <c r="H441" s="3"/>
      <c r="I441" s="3"/>
      <c r="J441" s="3"/>
      <c r="K441" s="3"/>
      <c r="L441" s="1"/>
      <c r="M441" s="3"/>
      <c r="N441" s="3"/>
      <c r="O441" s="3"/>
      <c r="P441" s="3"/>
      <c r="Q441" s="2"/>
      <c r="V441" s="21">
        <f>SUM(B441:P441)/10</f>
        <v>0</v>
      </c>
    </row>
    <row r="442">
      <c r="A442" s="2">
        <v>218.0</v>
      </c>
      <c r="B442" s="2">
        <v>56363.0</v>
      </c>
      <c r="C442" s="2">
        <v>15.0</v>
      </c>
      <c r="D442" s="1"/>
      <c r="E442" s="1"/>
      <c r="F442" s="3">
        <v>38.7253</v>
      </c>
      <c r="G442" s="3">
        <v>-122.225</v>
      </c>
      <c r="H442" s="3" t="s">
        <v>1161</v>
      </c>
      <c r="I442" s="3" t="s">
        <v>18</v>
      </c>
      <c r="J442" s="3" t="s">
        <v>1162</v>
      </c>
      <c r="K442" s="3" t="s">
        <v>1163</v>
      </c>
      <c r="L442" s="1"/>
      <c r="M442" s="3" t="s">
        <v>1057</v>
      </c>
      <c r="N442" s="3" t="s">
        <v>1057</v>
      </c>
      <c r="O442" s="3" t="s">
        <v>1057</v>
      </c>
      <c r="P442" s="3" t="s">
        <v>24</v>
      </c>
      <c r="Q442" s="2" t="s">
        <v>1164</v>
      </c>
      <c r="V442" s="20"/>
    </row>
    <row r="443">
      <c r="A443" s="2" t="s">
        <v>1165</v>
      </c>
      <c r="B443" s="2"/>
      <c r="C443" s="2"/>
      <c r="D443" s="1"/>
      <c r="E443" s="1"/>
      <c r="F443" s="3"/>
      <c r="G443" s="3"/>
      <c r="H443" s="3"/>
      <c r="I443" s="3"/>
      <c r="J443" s="3"/>
      <c r="K443" s="3"/>
      <c r="L443" s="1"/>
      <c r="M443" s="3"/>
      <c r="N443" s="3"/>
      <c r="O443" s="3"/>
      <c r="P443" s="3"/>
      <c r="Q443" s="2"/>
      <c r="V443" s="21">
        <f>SUM(B443:P443)/10</f>
        <v>0</v>
      </c>
    </row>
    <row r="444">
      <c r="A444" s="2">
        <v>219.0</v>
      </c>
      <c r="B444" s="2">
        <v>56363.0</v>
      </c>
      <c r="C444" s="2">
        <v>15.0</v>
      </c>
      <c r="D444" s="1"/>
      <c r="E444" s="1"/>
      <c r="F444" s="3">
        <v>38.735</v>
      </c>
      <c r="G444" s="3">
        <v>-122.2472</v>
      </c>
      <c r="H444" s="3" t="s">
        <v>1166</v>
      </c>
      <c r="I444" s="3" t="s">
        <v>18</v>
      </c>
      <c r="J444" s="3" t="s">
        <v>1167</v>
      </c>
      <c r="K444" s="3" t="s">
        <v>1163</v>
      </c>
      <c r="L444" s="1"/>
      <c r="M444" s="3" t="s">
        <v>1057</v>
      </c>
      <c r="N444" s="3" t="s">
        <v>1057</v>
      </c>
      <c r="O444" s="3" t="s">
        <v>1057</v>
      </c>
      <c r="P444" s="3" t="s">
        <v>24</v>
      </c>
      <c r="Q444" s="2" t="s">
        <v>1168</v>
      </c>
      <c r="V444" s="20"/>
    </row>
    <row r="445">
      <c r="A445" s="2" t="s">
        <v>1169</v>
      </c>
      <c r="B445" s="2"/>
      <c r="C445" s="2"/>
      <c r="D445" s="1"/>
      <c r="E445" s="1"/>
      <c r="F445" s="3"/>
      <c r="G445" s="3"/>
      <c r="H445" s="3"/>
      <c r="I445" s="3"/>
      <c r="J445" s="3"/>
      <c r="K445" s="3"/>
      <c r="L445" s="1"/>
      <c r="M445" s="3"/>
      <c r="N445" s="3"/>
      <c r="O445" s="3"/>
      <c r="P445" s="3"/>
      <c r="Q445" s="2"/>
      <c r="V445" s="21">
        <f>SUM(B445:P445)/10</f>
        <v>0</v>
      </c>
    </row>
    <row r="446">
      <c r="A446" s="2">
        <v>220.0</v>
      </c>
      <c r="B446" s="2">
        <v>56363.0</v>
      </c>
      <c r="C446" s="2">
        <v>15.0</v>
      </c>
      <c r="D446" s="1"/>
      <c r="E446" s="1"/>
      <c r="F446" s="3">
        <v>38.735</v>
      </c>
      <c r="G446" s="3">
        <v>-122.2472</v>
      </c>
      <c r="H446" s="3" t="s">
        <v>1166</v>
      </c>
      <c r="I446" s="3" t="s">
        <v>18</v>
      </c>
      <c r="J446" s="3" t="s">
        <v>1170</v>
      </c>
      <c r="K446" s="3" t="s">
        <v>1163</v>
      </c>
      <c r="L446" s="1"/>
      <c r="M446" s="3" t="s">
        <v>1057</v>
      </c>
      <c r="N446" s="3" t="s">
        <v>1057</v>
      </c>
      <c r="O446" s="3" t="s">
        <v>1057</v>
      </c>
      <c r="P446" s="3" t="s">
        <v>24</v>
      </c>
      <c r="Q446" s="2" t="s">
        <v>1171</v>
      </c>
      <c r="V446" s="20"/>
    </row>
    <row r="447">
      <c r="A447" s="2" t="s">
        <v>1172</v>
      </c>
      <c r="B447" s="2"/>
      <c r="C447" s="2"/>
      <c r="D447" s="1"/>
      <c r="E447" s="1"/>
      <c r="F447" s="3"/>
      <c r="G447" s="3"/>
      <c r="H447" s="3"/>
      <c r="I447" s="3"/>
      <c r="J447" s="3"/>
      <c r="K447" s="3"/>
      <c r="L447" s="1"/>
      <c r="M447" s="3"/>
      <c r="N447" s="3"/>
      <c r="O447" s="3"/>
      <c r="P447" s="3"/>
      <c r="Q447" s="2"/>
      <c r="V447" s="21">
        <f>SUM(B447:P447)/10</f>
        <v>0</v>
      </c>
    </row>
    <row r="448">
      <c r="A448" s="2">
        <v>221.0</v>
      </c>
      <c r="B448" s="2">
        <v>56363.0</v>
      </c>
      <c r="C448" s="2">
        <v>15.0</v>
      </c>
      <c r="D448" s="1"/>
      <c r="E448" s="1"/>
      <c r="F448" s="3">
        <v>38.735</v>
      </c>
      <c r="G448" s="3">
        <v>-122.2472</v>
      </c>
      <c r="H448" s="3" t="s">
        <v>1166</v>
      </c>
      <c r="I448" s="3" t="s">
        <v>18</v>
      </c>
      <c r="J448" s="3" t="s">
        <v>1173</v>
      </c>
      <c r="K448" s="3" t="s">
        <v>1163</v>
      </c>
      <c r="L448" s="1"/>
      <c r="M448" s="3" t="s">
        <v>1057</v>
      </c>
      <c r="N448" s="3" t="s">
        <v>1057</v>
      </c>
      <c r="O448" s="3" t="s">
        <v>1057</v>
      </c>
      <c r="P448" s="3" t="s">
        <v>24</v>
      </c>
      <c r="Q448" s="2" t="s">
        <v>1174</v>
      </c>
      <c r="V448" s="20"/>
    </row>
    <row r="449">
      <c r="A449" s="2" t="s">
        <v>1175</v>
      </c>
      <c r="B449" s="2"/>
      <c r="C449" s="2"/>
      <c r="D449" s="1"/>
      <c r="E449" s="1"/>
      <c r="F449" s="3"/>
      <c r="G449" s="3"/>
      <c r="H449" s="3"/>
      <c r="I449" s="3"/>
      <c r="J449" s="3"/>
      <c r="K449" s="3"/>
      <c r="L449" s="1"/>
      <c r="M449" s="3"/>
      <c r="N449" s="3"/>
      <c r="O449" s="3"/>
      <c r="P449" s="3"/>
      <c r="Q449" s="2"/>
      <c r="V449" s="21">
        <f>SUM(B449:P449)/10</f>
        <v>0</v>
      </c>
    </row>
    <row r="450">
      <c r="A450" s="2">
        <v>222.0</v>
      </c>
      <c r="B450" s="2">
        <v>56363.0</v>
      </c>
      <c r="C450" s="2">
        <v>15.0</v>
      </c>
      <c r="D450" s="1"/>
      <c r="E450" s="1"/>
      <c r="F450" s="3">
        <v>38.7167</v>
      </c>
      <c r="G450" s="3">
        <v>-122.2333</v>
      </c>
      <c r="H450" s="3" t="s">
        <v>1176</v>
      </c>
      <c r="I450" s="3" t="s">
        <v>18</v>
      </c>
      <c r="J450" s="3" t="s">
        <v>1177</v>
      </c>
      <c r="K450" s="3" t="s">
        <v>1163</v>
      </c>
      <c r="L450" s="1"/>
      <c r="M450" s="3" t="s">
        <v>1057</v>
      </c>
      <c r="N450" s="3" t="s">
        <v>1057</v>
      </c>
      <c r="O450" s="3" t="s">
        <v>1057</v>
      </c>
      <c r="P450" s="3" t="s">
        <v>24</v>
      </c>
      <c r="Q450" s="2" t="s">
        <v>1178</v>
      </c>
      <c r="V450" s="20"/>
    </row>
    <row r="451">
      <c r="A451" s="2" t="s">
        <v>1179</v>
      </c>
      <c r="B451" s="2"/>
      <c r="C451" s="2"/>
      <c r="D451" s="1"/>
      <c r="E451" s="1"/>
      <c r="F451" s="3"/>
      <c r="G451" s="3"/>
      <c r="H451" s="3"/>
      <c r="I451" s="3"/>
      <c r="J451" s="3"/>
      <c r="K451" s="3"/>
      <c r="L451" s="1"/>
      <c r="M451" s="3"/>
      <c r="N451" s="3"/>
      <c r="O451" s="3"/>
      <c r="P451" s="3"/>
      <c r="Q451" s="2"/>
      <c r="V451" s="21">
        <f>SUM(B451:P451)/10</f>
        <v>0</v>
      </c>
    </row>
    <row r="452">
      <c r="A452" s="2">
        <v>223.0</v>
      </c>
      <c r="B452" s="2">
        <v>56363.0</v>
      </c>
      <c r="C452" s="2">
        <v>15.0</v>
      </c>
      <c r="D452" s="1"/>
      <c r="E452" s="1"/>
      <c r="F452" s="3">
        <v>38.7219</v>
      </c>
      <c r="G452" s="3">
        <v>-122.0228</v>
      </c>
      <c r="H452" s="3" t="s">
        <v>1180</v>
      </c>
      <c r="I452" s="3" t="s">
        <v>18</v>
      </c>
      <c r="J452" s="3" t="s">
        <v>1181</v>
      </c>
      <c r="K452" s="3" t="s">
        <v>1109</v>
      </c>
      <c r="L452" s="1"/>
      <c r="M452" s="3" t="s">
        <v>1057</v>
      </c>
      <c r="N452" s="3" t="s">
        <v>1057</v>
      </c>
      <c r="O452" s="3" t="s">
        <v>1057</v>
      </c>
      <c r="P452" s="3" t="s">
        <v>74</v>
      </c>
      <c r="Q452" s="2" t="s">
        <v>1182</v>
      </c>
      <c r="V452" s="20"/>
    </row>
    <row r="453">
      <c r="A453" s="2" t="s">
        <v>1183</v>
      </c>
      <c r="B453" s="2"/>
      <c r="C453" s="2"/>
      <c r="D453" s="1"/>
      <c r="E453" s="1"/>
      <c r="F453" s="3"/>
      <c r="G453" s="3"/>
      <c r="H453" s="3"/>
      <c r="I453" s="3"/>
      <c r="J453" s="3"/>
      <c r="K453" s="3"/>
      <c r="L453" s="1"/>
      <c r="M453" s="3"/>
      <c r="N453" s="3"/>
      <c r="O453" s="3"/>
      <c r="P453" s="3"/>
      <c r="Q453" s="2"/>
      <c r="V453" s="21">
        <f>SUM(B453:P453)/10</f>
        <v>0</v>
      </c>
    </row>
    <row r="454">
      <c r="A454" s="2">
        <v>224.0</v>
      </c>
      <c r="B454" s="2">
        <v>56363.0</v>
      </c>
      <c r="C454" s="2">
        <v>15.0</v>
      </c>
      <c r="D454" s="1"/>
      <c r="E454" s="1"/>
      <c r="F454" s="3">
        <v>38.7219</v>
      </c>
      <c r="G454" s="3">
        <v>-122.0228</v>
      </c>
      <c r="H454" s="3" t="s">
        <v>1180</v>
      </c>
      <c r="I454" s="3" t="s">
        <v>18</v>
      </c>
      <c r="J454" s="3" t="s">
        <v>1162</v>
      </c>
      <c r="K454" s="3" t="s">
        <v>1109</v>
      </c>
      <c r="L454" s="1"/>
      <c r="M454" s="3" t="s">
        <v>1057</v>
      </c>
      <c r="N454" s="3" t="s">
        <v>1057</v>
      </c>
      <c r="O454" s="3" t="s">
        <v>1057</v>
      </c>
      <c r="P454" s="3" t="s">
        <v>24</v>
      </c>
      <c r="Q454" s="2" t="s">
        <v>1184</v>
      </c>
      <c r="V454" s="20"/>
    </row>
    <row r="455">
      <c r="A455" s="2" t="s">
        <v>1185</v>
      </c>
      <c r="B455" s="2"/>
      <c r="C455" s="2"/>
      <c r="D455" s="1"/>
      <c r="E455" s="1"/>
      <c r="F455" s="3"/>
      <c r="G455" s="3"/>
      <c r="H455" s="3"/>
      <c r="I455" s="3"/>
      <c r="J455" s="3"/>
      <c r="K455" s="3"/>
      <c r="L455" s="1"/>
      <c r="M455" s="3"/>
      <c r="N455" s="3"/>
      <c r="O455" s="3"/>
      <c r="P455" s="3"/>
      <c r="Q455" s="2"/>
      <c r="V455" s="21">
        <f>SUM(B455:P455)/10</f>
        <v>0</v>
      </c>
    </row>
    <row r="456">
      <c r="A456" s="2">
        <v>0.0</v>
      </c>
      <c r="B456" s="2">
        <v>56394.0</v>
      </c>
      <c r="C456" s="2">
        <v>165.0</v>
      </c>
      <c r="D456" s="1"/>
      <c r="E456" s="1"/>
      <c r="F456" s="3">
        <v>36.414722</v>
      </c>
      <c r="G456" s="3">
        <v>-119.001944</v>
      </c>
      <c r="H456" s="3" t="s">
        <v>1186</v>
      </c>
      <c r="I456" s="3" t="s">
        <v>1187</v>
      </c>
      <c r="J456" s="3" t="s">
        <v>1188</v>
      </c>
      <c r="K456" s="3" t="s">
        <v>177</v>
      </c>
      <c r="L456" s="2" t="s">
        <v>177</v>
      </c>
      <c r="M456" s="3" t="s">
        <v>1189</v>
      </c>
      <c r="N456" s="3" t="s">
        <v>56</v>
      </c>
      <c r="O456" s="3" t="s">
        <v>1190</v>
      </c>
      <c r="P456" s="3" t="s">
        <v>74</v>
      </c>
      <c r="Q456" s="2" t="s">
        <v>1191</v>
      </c>
    </row>
    <row r="457">
      <c r="A457" s="24" t="s">
        <v>1192</v>
      </c>
      <c r="B457" s="24"/>
      <c r="C457" s="24"/>
      <c r="D457" s="25"/>
      <c r="E457" s="25"/>
      <c r="F457" s="26">
        <v>1.0</v>
      </c>
      <c r="G457" s="26">
        <v>1.0</v>
      </c>
      <c r="H457" s="27">
        <v>0.5</v>
      </c>
      <c r="I457" s="27">
        <v>0.5</v>
      </c>
      <c r="J457" s="26">
        <v>1.0</v>
      </c>
      <c r="K457" s="26">
        <v>1.0</v>
      </c>
      <c r="L457" s="24"/>
      <c r="M457" s="26">
        <v>1.0</v>
      </c>
      <c r="N457" s="26">
        <v>1.0</v>
      </c>
      <c r="O457" s="26">
        <v>1.0</v>
      </c>
      <c r="P457" s="26">
        <v>1.0</v>
      </c>
      <c r="Q457" s="24"/>
      <c r="R457" s="5"/>
      <c r="S457" s="5"/>
      <c r="T457" s="5"/>
      <c r="U457" s="5"/>
      <c r="V457" s="5">
        <f>SUM(B457:P457)/10</f>
        <v>0.9</v>
      </c>
      <c r="W457" s="5"/>
      <c r="X457" s="5"/>
      <c r="Y457" s="5"/>
      <c r="Z457" s="5"/>
    </row>
    <row r="458">
      <c r="A458" s="2">
        <v>273.0</v>
      </c>
      <c r="B458" s="2">
        <v>56403.0</v>
      </c>
      <c r="C458" s="2">
        <v>90.0</v>
      </c>
      <c r="D458" s="2">
        <v>34.8897</v>
      </c>
      <c r="E458" s="2">
        <v>-114.5796</v>
      </c>
      <c r="H458" s="3" t="s">
        <v>1193</v>
      </c>
      <c r="I458" s="3" t="s">
        <v>18</v>
      </c>
      <c r="J458" s="3" t="s">
        <v>1194</v>
      </c>
      <c r="L458" s="2" t="s">
        <v>1195</v>
      </c>
      <c r="M458" s="3" t="s">
        <v>1196</v>
      </c>
      <c r="N458" s="3" t="s">
        <v>22</v>
      </c>
      <c r="O458" s="3" t="s">
        <v>1197</v>
      </c>
      <c r="P458" s="3" t="s">
        <v>24</v>
      </c>
      <c r="Q458" s="2" t="s">
        <v>1198</v>
      </c>
    </row>
    <row r="459">
      <c r="A459" s="2" t="s">
        <v>1199</v>
      </c>
      <c r="B459" s="2"/>
      <c r="C459" s="2"/>
      <c r="D459" s="2"/>
      <c r="E459" s="2"/>
      <c r="F459" s="3">
        <v>1.0</v>
      </c>
      <c r="G459" s="3">
        <v>1.0</v>
      </c>
      <c r="H459" s="3">
        <v>1.0</v>
      </c>
      <c r="I459" s="3">
        <v>1.0</v>
      </c>
      <c r="J459" s="3">
        <v>1.0</v>
      </c>
      <c r="K459" s="3">
        <v>1.0</v>
      </c>
      <c r="L459" s="2"/>
      <c r="M459" s="3">
        <v>1.0</v>
      </c>
      <c r="N459" s="3">
        <v>1.0</v>
      </c>
      <c r="O459" s="3">
        <v>1.0</v>
      </c>
      <c r="P459" s="3">
        <v>1.0</v>
      </c>
      <c r="Q459" s="2"/>
      <c r="V459" s="5">
        <f>SUM(B459:P459)/10</f>
        <v>1</v>
      </c>
    </row>
    <row r="460">
      <c r="A460" s="2">
        <v>92.0</v>
      </c>
      <c r="B460" s="2">
        <v>56403.0</v>
      </c>
      <c r="C460" s="2">
        <v>427.0</v>
      </c>
      <c r="D460" s="2">
        <v>33.7417</v>
      </c>
      <c r="E460" s="2">
        <v>-117.8689</v>
      </c>
      <c r="H460" s="3" t="s">
        <v>1200</v>
      </c>
      <c r="I460" s="3" t="s">
        <v>18</v>
      </c>
      <c r="J460" s="3" t="s">
        <v>1201</v>
      </c>
      <c r="L460" s="2" t="s">
        <v>145</v>
      </c>
      <c r="M460" s="3" t="s">
        <v>1202</v>
      </c>
      <c r="N460" s="3" t="s">
        <v>56</v>
      </c>
      <c r="O460" s="3" t="s">
        <v>1203</v>
      </c>
      <c r="P460" s="3" t="s">
        <v>24</v>
      </c>
      <c r="Q460" s="2" t="s">
        <v>1204</v>
      </c>
    </row>
    <row r="461">
      <c r="A461" s="2" t="s">
        <v>1205</v>
      </c>
      <c r="B461" s="2"/>
      <c r="C461" s="2"/>
      <c r="D461" s="2"/>
      <c r="E461" s="2"/>
      <c r="F461" s="3">
        <v>1.0</v>
      </c>
      <c r="G461" s="3">
        <v>1.0</v>
      </c>
      <c r="H461" s="3">
        <v>0.5</v>
      </c>
      <c r="I461" s="3">
        <v>1.0</v>
      </c>
      <c r="J461" s="3">
        <v>1.0</v>
      </c>
      <c r="K461" s="3">
        <v>1.0</v>
      </c>
      <c r="L461" s="2"/>
      <c r="M461" s="3">
        <v>1.0</v>
      </c>
      <c r="N461" s="3">
        <v>1.0</v>
      </c>
      <c r="O461" s="3">
        <v>1.0</v>
      </c>
      <c r="P461" s="3">
        <v>0.5</v>
      </c>
      <c r="Q461" s="2"/>
      <c r="V461" s="5">
        <f>SUM(B461:P461)/10</f>
        <v>0.9</v>
      </c>
    </row>
    <row r="462">
      <c r="A462" s="2">
        <v>116.0</v>
      </c>
      <c r="B462" s="2">
        <v>56412.0</v>
      </c>
      <c r="C462" s="2">
        <v>309.0</v>
      </c>
      <c r="D462" s="1"/>
      <c r="E462" s="1"/>
      <c r="F462" s="3">
        <v>40.843333</v>
      </c>
      <c r="G462" s="3">
        <v>-122.016111</v>
      </c>
      <c r="H462" s="3" t="s">
        <v>1206</v>
      </c>
      <c r="I462" s="3" t="s">
        <v>1207</v>
      </c>
      <c r="J462" s="3" t="s">
        <v>1208</v>
      </c>
      <c r="K462" s="3" t="s">
        <v>642</v>
      </c>
      <c r="L462" s="1"/>
      <c r="M462" s="3" t="s">
        <v>1209</v>
      </c>
      <c r="N462" s="3" t="s">
        <v>1210</v>
      </c>
      <c r="O462" s="3" t="s">
        <v>1211</v>
      </c>
      <c r="P462" s="3" t="s">
        <v>24</v>
      </c>
      <c r="Q462" s="2" t="s">
        <v>1212</v>
      </c>
    </row>
    <row r="463">
      <c r="A463" s="2" t="s">
        <v>1213</v>
      </c>
      <c r="B463" s="2"/>
      <c r="C463" s="2"/>
      <c r="D463" s="1"/>
      <c r="E463" s="1"/>
      <c r="F463" s="3">
        <v>1.0</v>
      </c>
      <c r="G463" s="3">
        <v>1.0</v>
      </c>
      <c r="H463" s="3">
        <v>1.0</v>
      </c>
      <c r="I463" s="3">
        <v>0.5</v>
      </c>
      <c r="J463" s="3">
        <v>1.0</v>
      </c>
      <c r="K463" s="3">
        <v>1.0</v>
      </c>
      <c r="L463" s="1"/>
      <c r="M463" s="3">
        <v>1.0</v>
      </c>
      <c r="N463" s="3">
        <v>1.0</v>
      </c>
      <c r="O463" s="3">
        <v>1.0</v>
      </c>
      <c r="P463" s="3">
        <v>1.0</v>
      </c>
      <c r="Q463" s="2"/>
      <c r="V463" s="5">
        <f>SUM(B463:P463)/10</f>
        <v>0.95</v>
      </c>
    </row>
    <row r="464">
      <c r="A464" s="2">
        <v>268.0</v>
      </c>
      <c r="B464" s="2">
        <v>56412.0</v>
      </c>
      <c r="C464" s="2">
        <v>434.0</v>
      </c>
      <c r="D464" s="1"/>
      <c r="E464" s="1"/>
      <c r="F464" s="3">
        <v>39.3422</v>
      </c>
      <c r="G464" s="3">
        <v>-120.6406</v>
      </c>
      <c r="H464" s="3" t="s">
        <v>1214</v>
      </c>
      <c r="I464" s="3" t="s">
        <v>1215</v>
      </c>
      <c r="J464" s="3" t="s">
        <v>1216</v>
      </c>
      <c r="K464" s="3" t="s">
        <v>1217</v>
      </c>
      <c r="L464" s="1"/>
      <c r="M464" s="3" t="s">
        <v>1218</v>
      </c>
      <c r="N464" s="3" t="s">
        <v>56</v>
      </c>
      <c r="O464" s="3" t="s">
        <v>132</v>
      </c>
      <c r="P464" s="3" t="s">
        <v>24</v>
      </c>
      <c r="Q464" s="2" t="s">
        <v>1219</v>
      </c>
    </row>
    <row r="465">
      <c r="A465" s="2" t="s">
        <v>1220</v>
      </c>
      <c r="B465" s="2"/>
      <c r="C465" s="2"/>
      <c r="D465" s="1"/>
      <c r="E465" s="1"/>
      <c r="F465" s="3">
        <v>1.0</v>
      </c>
      <c r="G465" s="3">
        <v>1.0</v>
      </c>
      <c r="H465" s="3">
        <v>1.0</v>
      </c>
      <c r="I465" s="3">
        <v>0.5</v>
      </c>
      <c r="J465" s="3">
        <v>1.0</v>
      </c>
      <c r="K465" s="3">
        <v>1.0</v>
      </c>
      <c r="L465" s="1"/>
      <c r="M465" s="3">
        <v>1.0</v>
      </c>
      <c r="N465" s="3">
        <v>1.0</v>
      </c>
      <c r="O465" s="3">
        <v>1.0</v>
      </c>
      <c r="P465" s="3">
        <v>1.0</v>
      </c>
      <c r="Q465" s="2"/>
      <c r="V465" s="5">
        <f>SUM(B465:P465)/10</f>
        <v>0.95</v>
      </c>
    </row>
    <row r="466">
      <c r="A466" s="2">
        <v>96.0</v>
      </c>
      <c r="B466" s="2">
        <v>56416.0</v>
      </c>
      <c r="C466" s="2">
        <v>429.0</v>
      </c>
      <c r="D466" s="1"/>
      <c r="E466" s="1"/>
      <c r="F466" s="3">
        <v>38.5793</v>
      </c>
      <c r="G466" s="3">
        <v>-121.4939</v>
      </c>
      <c r="H466" s="3" t="s">
        <v>1221</v>
      </c>
      <c r="I466" s="3" t="s">
        <v>18</v>
      </c>
      <c r="J466" s="3" t="s">
        <v>1222</v>
      </c>
      <c r="K466" s="3" t="s">
        <v>1223</v>
      </c>
      <c r="L466" s="2" t="s">
        <v>1223</v>
      </c>
      <c r="M466" s="3" t="s">
        <v>1224</v>
      </c>
      <c r="N466" s="3" t="s">
        <v>56</v>
      </c>
      <c r="O466" s="3" t="s">
        <v>1225</v>
      </c>
      <c r="P466" s="3" t="s">
        <v>24</v>
      </c>
      <c r="Q466" s="2" t="s">
        <v>1226</v>
      </c>
    </row>
    <row r="467">
      <c r="A467" s="2" t="s">
        <v>1227</v>
      </c>
      <c r="B467" s="2"/>
      <c r="C467" s="2"/>
      <c r="D467" s="1"/>
      <c r="E467" s="1"/>
      <c r="F467" s="3">
        <v>0.0</v>
      </c>
      <c r="G467" s="3">
        <v>0.0</v>
      </c>
      <c r="H467" s="3">
        <v>1.0</v>
      </c>
      <c r="I467" s="3">
        <v>1.0</v>
      </c>
      <c r="J467" s="3">
        <v>1.0</v>
      </c>
      <c r="K467" s="3">
        <v>1.0</v>
      </c>
      <c r="L467" s="2"/>
      <c r="M467" s="3">
        <v>1.0</v>
      </c>
      <c r="N467" s="3">
        <v>1.0</v>
      </c>
      <c r="O467" s="3">
        <v>1.0</v>
      </c>
      <c r="P467" s="3">
        <v>1.0</v>
      </c>
      <c r="Q467" s="2"/>
      <c r="V467" s="5">
        <f>SUM(B467:P467)/10</f>
        <v>0.8</v>
      </c>
    </row>
    <row r="468">
      <c r="A468" s="2">
        <v>97.0</v>
      </c>
      <c r="B468" s="2">
        <v>56416.0</v>
      </c>
      <c r="C468" s="2">
        <v>429.0</v>
      </c>
      <c r="D468" s="1"/>
      <c r="E468" s="1"/>
      <c r="F468" s="3">
        <v>38.5793</v>
      </c>
      <c r="G468" s="3">
        <v>-121.4939</v>
      </c>
      <c r="H468" s="3" t="s">
        <v>1221</v>
      </c>
      <c r="I468" s="3" t="s">
        <v>18</v>
      </c>
      <c r="J468" s="3" t="s">
        <v>1222</v>
      </c>
      <c r="K468" s="3" t="s">
        <v>1223</v>
      </c>
      <c r="L468" s="2" t="s">
        <v>1223</v>
      </c>
      <c r="M468" s="3" t="s">
        <v>1228</v>
      </c>
      <c r="N468" s="3" t="s">
        <v>1229</v>
      </c>
      <c r="O468" s="3" t="s">
        <v>1230</v>
      </c>
      <c r="P468" s="3" t="s">
        <v>1231</v>
      </c>
      <c r="Q468" s="2" t="s">
        <v>1232</v>
      </c>
    </row>
    <row r="469">
      <c r="A469" s="2" t="s">
        <v>1233</v>
      </c>
      <c r="B469" s="2"/>
      <c r="C469" s="2"/>
      <c r="D469" s="1"/>
      <c r="E469" s="1"/>
      <c r="F469" s="3">
        <v>0.0</v>
      </c>
      <c r="G469" s="3">
        <v>0.0</v>
      </c>
      <c r="H469" s="3">
        <v>1.0</v>
      </c>
      <c r="I469" s="3">
        <v>1.0</v>
      </c>
      <c r="J469" s="3">
        <v>1.0</v>
      </c>
      <c r="K469" s="3">
        <v>1.0</v>
      </c>
      <c r="L469" s="2"/>
      <c r="M469" s="3">
        <v>1.0</v>
      </c>
      <c r="N469" s="3">
        <v>1.0</v>
      </c>
      <c r="O469" s="3">
        <v>1.0</v>
      </c>
      <c r="P469" s="3">
        <v>1.0</v>
      </c>
      <c r="Q469" s="2"/>
      <c r="V469" s="5">
        <f>SUM(B469:P469)/10</f>
        <v>0.8</v>
      </c>
    </row>
    <row r="470">
      <c r="A470" s="2">
        <v>138.0</v>
      </c>
      <c r="B470" s="2">
        <v>56417.0</v>
      </c>
      <c r="C470" s="2">
        <v>487.0</v>
      </c>
      <c r="D470" s="1"/>
      <c r="E470" s="1"/>
      <c r="F470" s="3">
        <v>38.6025</v>
      </c>
      <c r="G470" s="3">
        <v>-121.3944444</v>
      </c>
      <c r="H470" s="3" t="s">
        <v>1234</v>
      </c>
      <c r="I470" s="3" t="s">
        <v>1235</v>
      </c>
      <c r="J470" s="3" t="s">
        <v>1098</v>
      </c>
      <c r="K470" s="3" t="s">
        <v>407</v>
      </c>
      <c r="L470" s="1"/>
      <c r="M470" s="3" t="s">
        <v>1236</v>
      </c>
      <c r="N470" s="3" t="s">
        <v>186</v>
      </c>
      <c r="O470" s="3" t="s">
        <v>1237</v>
      </c>
      <c r="P470" s="3" t="s">
        <v>24</v>
      </c>
      <c r="Q470" s="2" t="s">
        <v>1238</v>
      </c>
    </row>
    <row r="471">
      <c r="A471" s="2" t="s">
        <v>1239</v>
      </c>
      <c r="B471" s="2"/>
      <c r="C471" s="2"/>
      <c r="D471" s="1"/>
      <c r="E471" s="1"/>
      <c r="F471" s="3">
        <v>1.0</v>
      </c>
      <c r="G471" s="3">
        <v>1.0</v>
      </c>
      <c r="H471" s="3">
        <v>1.0</v>
      </c>
      <c r="I471" s="3">
        <v>0.5</v>
      </c>
      <c r="J471" s="3">
        <v>1.0</v>
      </c>
      <c r="K471" s="3">
        <v>1.0</v>
      </c>
      <c r="L471" s="1"/>
      <c r="M471" s="3">
        <v>1.0</v>
      </c>
      <c r="N471" s="3">
        <v>1.0</v>
      </c>
      <c r="O471" s="3">
        <v>1.0</v>
      </c>
      <c r="P471" s="3">
        <v>1.0</v>
      </c>
      <c r="Q471" s="2"/>
      <c r="V471" s="5">
        <f>SUM(B471:P471)/10</f>
        <v>0.95</v>
      </c>
    </row>
    <row r="472">
      <c r="A472" s="2">
        <v>283.0</v>
      </c>
      <c r="B472" s="2">
        <v>56418.0</v>
      </c>
      <c r="C472" s="2">
        <v>262.0</v>
      </c>
      <c r="D472" s="2">
        <v>37.273</v>
      </c>
      <c r="E472" s="2">
        <v>-122.0261</v>
      </c>
      <c r="H472" s="3" t="s">
        <v>1240</v>
      </c>
      <c r="I472" s="3" t="s">
        <v>18</v>
      </c>
      <c r="J472" s="3" t="s">
        <v>1241</v>
      </c>
      <c r="K472" s="3" t="s">
        <v>418</v>
      </c>
      <c r="L472" s="2" t="s">
        <v>418</v>
      </c>
      <c r="M472" s="3" t="s">
        <v>1242</v>
      </c>
      <c r="N472" s="3" t="s">
        <v>1243</v>
      </c>
      <c r="O472" s="3" t="s">
        <v>1244</v>
      </c>
      <c r="P472" s="3" t="s">
        <v>24</v>
      </c>
      <c r="Q472" s="2" t="s">
        <v>1245</v>
      </c>
    </row>
    <row r="473">
      <c r="A473" s="2" t="s">
        <v>1246</v>
      </c>
      <c r="B473" s="2"/>
      <c r="C473" s="2"/>
      <c r="D473" s="2"/>
      <c r="E473" s="2"/>
      <c r="F473" s="3">
        <v>1.0</v>
      </c>
      <c r="G473" s="3">
        <v>1.0</v>
      </c>
      <c r="H473" s="3">
        <v>1.0</v>
      </c>
      <c r="I473" s="3">
        <v>1.0</v>
      </c>
      <c r="J473" s="3">
        <v>1.0</v>
      </c>
      <c r="K473" s="3">
        <v>0.0</v>
      </c>
      <c r="L473" s="2"/>
      <c r="M473" s="3">
        <v>1.0</v>
      </c>
      <c r="N473" s="3">
        <v>1.0</v>
      </c>
      <c r="O473" s="3">
        <v>1.0</v>
      </c>
      <c r="P473" s="3">
        <v>1.0</v>
      </c>
      <c r="Q473" s="2"/>
      <c r="V473" s="5">
        <f>SUM(B473:P473)/10</f>
        <v>0.9</v>
      </c>
    </row>
    <row r="474">
      <c r="A474" s="2">
        <v>90.0</v>
      </c>
      <c r="B474" s="2">
        <v>56418.0</v>
      </c>
      <c r="C474" s="2">
        <v>563.0</v>
      </c>
      <c r="D474" s="1"/>
      <c r="E474" s="1"/>
      <c r="F474" s="3">
        <v>40.725</v>
      </c>
      <c r="G474" s="3">
        <v>-123.875</v>
      </c>
      <c r="H474" s="3" t="s">
        <v>1247</v>
      </c>
      <c r="I474" s="3" t="s">
        <v>18</v>
      </c>
      <c r="J474" s="3" t="s">
        <v>1248</v>
      </c>
      <c r="K474" s="3" t="s">
        <v>295</v>
      </c>
      <c r="L474" s="2" t="s">
        <v>295</v>
      </c>
      <c r="M474" s="3" t="s">
        <v>1242</v>
      </c>
      <c r="N474" s="3" t="s">
        <v>1249</v>
      </c>
      <c r="O474" s="3" t="s">
        <v>1250</v>
      </c>
      <c r="P474" s="3" t="s">
        <v>24</v>
      </c>
      <c r="Q474" s="2" t="s">
        <v>1251</v>
      </c>
    </row>
    <row r="475">
      <c r="A475" s="2" t="s">
        <v>1252</v>
      </c>
      <c r="B475" s="2"/>
      <c r="C475" s="2"/>
      <c r="D475" s="1"/>
      <c r="E475" s="1"/>
      <c r="F475" s="3">
        <v>0.0</v>
      </c>
      <c r="G475" s="3">
        <v>0.0</v>
      </c>
      <c r="H475" s="3">
        <v>1.0</v>
      </c>
      <c r="I475" s="3">
        <v>1.0</v>
      </c>
      <c r="J475" s="3">
        <v>1.0</v>
      </c>
      <c r="K475" s="3">
        <v>0.0</v>
      </c>
      <c r="L475" s="2"/>
      <c r="M475" s="3">
        <v>1.0</v>
      </c>
      <c r="N475" s="3">
        <v>1.0</v>
      </c>
      <c r="O475" s="3">
        <v>1.0</v>
      </c>
      <c r="P475" s="3">
        <v>1.0</v>
      </c>
      <c r="Q475" s="2"/>
      <c r="V475" s="5">
        <f>SUM(B475:P475)/10</f>
        <v>0.7</v>
      </c>
    </row>
    <row r="476">
      <c r="A476" s="2">
        <v>169.0</v>
      </c>
      <c r="B476" s="2">
        <v>56419.0</v>
      </c>
      <c r="C476" s="2">
        <v>46.0</v>
      </c>
      <c r="D476" s="1"/>
      <c r="E476" s="1"/>
      <c r="F476" s="3">
        <v>32.7375</v>
      </c>
      <c r="G476" s="3">
        <v>-114.7156</v>
      </c>
      <c r="H476" s="3" t="s">
        <v>1253</v>
      </c>
      <c r="I476" s="3" t="s">
        <v>1254</v>
      </c>
      <c r="J476" s="3" t="s">
        <v>1255</v>
      </c>
      <c r="K476" s="3" t="s">
        <v>334</v>
      </c>
      <c r="L476" s="2" t="s">
        <v>334</v>
      </c>
      <c r="M476" s="3" t="s">
        <v>1256</v>
      </c>
      <c r="N476" s="3" t="s">
        <v>56</v>
      </c>
      <c r="O476" s="3" t="s">
        <v>1257</v>
      </c>
      <c r="P476" s="3" t="s">
        <v>24</v>
      </c>
      <c r="Q476" s="2" t="s">
        <v>1258</v>
      </c>
    </row>
    <row r="477">
      <c r="A477" s="2" t="s">
        <v>1259</v>
      </c>
      <c r="B477" s="2"/>
      <c r="C477" s="2"/>
      <c r="D477" s="1"/>
      <c r="E477" s="1"/>
      <c r="F477" s="3">
        <v>1.0</v>
      </c>
      <c r="G477" s="3">
        <v>1.0</v>
      </c>
      <c r="H477" s="3">
        <v>0.5</v>
      </c>
      <c r="I477" s="3">
        <v>0.5</v>
      </c>
      <c r="J477" s="3">
        <v>1.0</v>
      </c>
      <c r="K477" s="3">
        <v>1.0</v>
      </c>
      <c r="L477" s="2"/>
      <c r="M477" s="3">
        <v>1.0</v>
      </c>
      <c r="N477" s="3">
        <v>1.0</v>
      </c>
      <c r="O477" s="3">
        <v>1.0</v>
      </c>
      <c r="P477" s="3">
        <v>1.0</v>
      </c>
      <c r="Q477" s="2"/>
      <c r="V477" s="5">
        <f>SUM(B477:P477)/10</f>
        <v>0.9</v>
      </c>
    </row>
    <row r="478">
      <c r="A478" s="2">
        <v>157.0</v>
      </c>
      <c r="B478" s="2">
        <v>56502.0</v>
      </c>
      <c r="C478" s="2">
        <v>128.0</v>
      </c>
      <c r="D478" s="2">
        <v>36.9905</v>
      </c>
      <c r="E478" s="2">
        <v>-122.0227</v>
      </c>
      <c r="H478" s="3" t="s">
        <v>1260</v>
      </c>
      <c r="I478" s="3" t="s">
        <v>220</v>
      </c>
      <c r="J478" s="3" t="s">
        <v>1261</v>
      </c>
      <c r="K478" s="3" t="s">
        <v>678</v>
      </c>
      <c r="L478" s="2" t="s">
        <v>678</v>
      </c>
      <c r="M478" s="3" t="s">
        <v>1262</v>
      </c>
      <c r="N478" s="3" t="s">
        <v>186</v>
      </c>
      <c r="O478" s="3" t="s">
        <v>1263</v>
      </c>
      <c r="P478" s="3" t="s">
        <v>24</v>
      </c>
      <c r="Q478" s="2" t="s">
        <v>1264</v>
      </c>
    </row>
    <row r="479">
      <c r="A479" s="2" t="s">
        <v>1265</v>
      </c>
      <c r="B479" s="2"/>
      <c r="C479" s="2"/>
      <c r="D479" s="2"/>
      <c r="E479" s="2"/>
      <c r="F479" s="3">
        <v>1.0</v>
      </c>
      <c r="G479" s="3">
        <v>1.0</v>
      </c>
      <c r="H479" s="3">
        <v>1.0</v>
      </c>
      <c r="I479" s="3">
        <v>1.0</v>
      </c>
      <c r="J479" s="3">
        <v>1.0</v>
      </c>
      <c r="K479" s="3">
        <v>0.0</v>
      </c>
      <c r="L479" s="2"/>
      <c r="M479" s="3">
        <v>1.0</v>
      </c>
      <c r="N479" s="3">
        <v>1.0</v>
      </c>
      <c r="O479" s="3">
        <v>1.0</v>
      </c>
      <c r="P479" s="3">
        <v>1.0</v>
      </c>
      <c r="Q479" s="2"/>
      <c r="V479" s="5">
        <f>SUM(B479:P479)/10</f>
        <v>0.9</v>
      </c>
    </row>
    <row r="480">
      <c r="A480" s="2">
        <v>276.0</v>
      </c>
      <c r="B480" s="2">
        <v>56502.0</v>
      </c>
      <c r="C480" s="2">
        <v>498.0</v>
      </c>
      <c r="D480" s="2">
        <v>38.7366</v>
      </c>
      <c r="E480" s="2">
        <v>-122.8429</v>
      </c>
      <c r="H480" s="3" t="s">
        <v>1266</v>
      </c>
      <c r="I480" s="3" t="s">
        <v>18</v>
      </c>
      <c r="J480" s="3" t="s">
        <v>1267</v>
      </c>
      <c r="L480" s="2" t="s">
        <v>553</v>
      </c>
      <c r="M480" s="3" t="s">
        <v>1268</v>
      </c>
      <c r="N480" s="3" t="s">
        <v>1269</v>
      </c>
      <c r="O480" s="3" t="s">
        <v>1270</v>
      </c>
      <c r="P480" s="3" t="s">
        <v>24</v>
      </c>
      <c r="Q480" s="2" t="s">
        <v>1271</v>
      </c>
    </row>
    <row r="481">
      <c r="A481" s="2" t="s">
        <v>1272</v>
      </c>
      <c r="B481" s="2"/>
      <c r="C481" s="2"/>
      <c r="D481" s="2"/>
      <c r="E481" s="2"/>
      <c r="F481" s="3">
        <v>1.0</v>
      </c>
      <c r="G481" s="3">
        <v>1.0</v>
      </c>
      <c r="H481" s="3">
        <v>1.0</v>
      </c>
      <c r="I481" s="3">
        <v>1.0</v>
      </c>
      <c r="J481" s="3">
        <v>1.0</v>
      </c>
      <c r="K481" s="3">
        <v>1.0</v>
      </c>
      <c r="L481" s="2"/>
      <c r="M481" s="3">
        <v>1.0</v>
      </c>
      <c r="N481" s="3">
        <v>1.0</v>
      </c>
      <c r="O481" s="3">
        <v>1.0</v>
      </c>
      <c r="P481" s="3">
        <v>1.0</v>
      </c>
      <c r="Q481" s="2"/>
      <c r="V481" s="5">
        <f>SUM(B481:P481)/10</f>
        <v>1</v>
      </c>
    </row>
    <row r="482">
      <c r="A482" s="2">
        <v>89.0</v>
      </c>
      <c r="B482" s="2">
        <v>56807.0</v>
      </c>
      <c r="C482" s="2">
        <v>53.0</v>
      </c>
      <c r="D482" s="2">
        <v>36.1961</v>
      </c>
      <c r="E482" s="2">
        <v>-121.6497</v>
      </c>
      <c r="H482" s="3" t="s">
        <v>1273</v>
      </c>
      <c r="I482" s="3" t="s">
        <v>18</v>
      </c>
      <c r="J482" s="3" t="s">
        <v>1274</v>
      </c>
      <c r="L482" s="2" t="s">
        <v>1275</v>
      </c>
      <c r="M482" s="3" t="s">
        <v>1276</v>
      </c>
      <c r="N482" s="3" t="s">
        <v>56</v>
      </c>
      <c r="O482" s="3" t="s">
        <v>1277</v>
      </c>
      <c r="P482" s="3" t="s">
        <v>24</v>
      </c>
      <c r="Q482" s="2" t="s">
        <v>1278</v>
      </c>
    </row>
    <row r="483">
      <c r="A483" s="2" t="s">
        <v>1279</v>
      </c>
      <c r="B483" s="2"/>
      <c r="C483" s="2"/>
      <c r="D483" s="2"/>
      <c r="E483" s="2"/>
      <c r="F483" s="3">
        <v>1.0</v>
      </c>
      <c r="G483" s="3">
        <v>1.0</v>
      </c>
      <c r="H483" s="3">
        <v>1.0</v>
      </c>
      <c r="I483" s="3">
        <v>1.0</v>
      </c>
      <c r="J483" s="3">
        <v>1.0</v>
      </c>
      <c r="K483" s="3">
        <v>1.0</v>
      </c>
      <c r="L483" s="2"/>
      <c r="M483" s="3">
        <v>1.0</v>
      </c>
      <c r="N483" s="3">
        <v>1.0</v>
      </c>
      <c r="O483" s="3">
        <v>1.0</v>
      </c>
      <c r="P483" s="3">
        <v>1.0</v>
      </c>
      <c r="Q483" s="2"/>
      <c r="V483" s="5">
        <f>SUM(B483:P483)/10</f>
        <v>1</v>
      </c>
    </row>
    <row r="484">
      <c r="A484" s="2">
        <v>267.0</v>
      </c>
      <c r="B484" s="2">
        <v>56807.0</v>
      </c>
      <c r="C484" s="2">
        <v>120.0</v>
      </c>
      <c r="D484" s="1"/>
      <c r="E484" s="1"/>
      <c r="F484" s="3">
        <v>37.0361</v>
      </c>
      <c r="G484" s="3">
        <v>-121.7252</v>
      </c>
      <c r="H484" s="3" t="s">
        <v>1280</v>
      </c>
      <c r="I484" s="3" t="s">
        <v>18</v>
      </c>
      <c r="J484" s="3" t="s">
        <v>1281</v>
      </c>
      <c r="K484" s="3" t="s">
        <v>678</v>
      </c>
      <c r="L484" s="1"/>
      <c r="M484" s="3" t="s">
        <v>1282</v>
      </c>
      <c r="N484" s="3" t="s">
        <v>22</v>
      </c>
      <c r="O484" s="3" t="s">
        <v>1283</v>
      </c>
      <c r="P484" s="3" t="s">
        <v>1231</v>
      </c>
      <c r="Q484" s="2" t="s">
        <v>1284</v>
      </c>
    </row>
    <row r="485">
      <c r="A485" s="2" t="s">
        <v>1285</v>
      </c>
      <c r="B485" s="2"/>
      <c r="C485" s="2"/>
      <c r="D485" s="1"/>
      <c r="E485" s="1"/>
      <c r="F485" s="3">
        <v>0.0</v>
      </c>
      <c r="G485" s="3">
        <v>0.0</v>
      </c>
      <c r="H485" s="3">
        <v>1.0</v>
      </c>
      <c r="I485" s="3">
        <v>1.0</v>
      </c>
      <c r="J485" s="3">
        <v>1.0</v>
      </c>
      <c r="K485" s="3">
        <v>0.0</v>
      </c>
      <c r="L485" s="1"/>
      <c r="M485" s="3">
        <v>1.0</v>
      </c>
      <c r="N485" s="3">
        <v>1.0</v>
      </c>
      <c r="O485" s="3">
        <v>1.0</v>
      </c>
      <c r="P485" s="3">
        <v>1.0</v>
      </c>
      <c r="Q485" s="2"/>
      <c r="V485" s="5">
        <f>SUM(B485:P485)/10</f>
        <v>0.7</v>
      </c>
    </row>
    <row r="486">
      <c r="A486" s="2">
        <v>247.0</v>
      </c>
      <c r="B486" s="2">
        <v>56807.0</v>
      </c>
      <c r="C486" s="2">
        <v>479.0</v>
      </c>
      <c r="D486" s="1"/>
      <c r="E486" s="1"/>
      <c r="F486" s="3">
        <v>41.7667</v>
      </c>
      <c r="G486" s="3">
        <v>-124.1952</v>
      </c>
      <c r="H486" s="3" t="s">
        <v>1286</v>
      </c>
      <c r="I486" s="3" t="s">
        <v>18</v>
      </c>
      <c r="J486" s="3" t="s">
        <v>1287</v>
      </c>
      <c r="K486" s="3" t="s">
        <v>1003</v>
      </c>
      <c r="L486" s="1"/>
      <c r="M486" s="3" t="s">
        <v>1288</v>
      </c>
      <c r="N486" s="3" t="s">
        <v>56</v>
      </c>
      <c r="O486" s="3" t="s">
        <v>1289</v>
      </c>
      <c r="P486" s="3" t="s">
        <v>24</v>
      </c>
      <c r="Q486" s="2" t="s">
        <v>1290</v>
      </c>
    </row>
    <row r="487">
      <c r="A487" s="2" t="s">
        <v>1291</v>
      </c>
      <c r="B487" s="2"/>
      <c r="C487" s="2"/>
      <c r="D487" s="1"/>
      <c r="E487" s="1"/>
      <c r="F487" s="3">
        <v>0.0</v>
      </c>
      <c r="G487" s="3">
        <v>0.0</v>
      </c>
      <c r="H487" s="3">
        <v>1.0</v>
      </c>
      <c r="I487" s="3">
        <v>1.0</v>
      </c>
      <c r="J487" s="3">
        <v>1.0</v>
      </c>
      <c r="K487" s="3">
        <v>0.0</v>
      </c>
      <c r="L487" s="1"/>
      <c r="M487" s="3">
        <v>1.0</v>
      </c>
      <c r="N487" s="3">
        <v>1.0</v>
      </c>
      <c r="O487" s="3">
        <v>1.0</v>
      </c>
      <c r="P487" s="3">
        <v>1.0</v>
      </c>
      <c r="Q487" s="2"/>
      <c r="V487" s="5">
        <f>SUM(B487:P487)/10</f>
        <v>0.7</v>
      </c>
    </row>
    <row r="488">
      <c r="A488" s="2">
        <v>168.0</v>
      </c>
      <c r="B488" s="2">
        <v>57549.0</v>
      </c>
      <c r="C488" s="2">
        <v>187.0</v>
      </c>
      <c r="D488" s="2">
        <v>32.9694</v>
      </c>
      <c r="E488" s="2">
        <v>-115.4748</v>
      </c>
      <c r="F488" s="3">
        <v>32.9694</v>
      </c>
      <c r="G488" s="3">
        <v>-115.4748</v>
      </c>
      <c r="H488" s="3" t="s">
        <v>1292</v>
      </c>
      <c r="I488" s="3" t="s">
        <v>18</v>
      </c>
      <c r="J488" s="3" t="s">
        <v>1293</v>
      </c>
      <c r="K488" s="3" t="s">
        <v>334</v>
      </c>
      <c r="L488" s="2" t="s">
        <v>334</v>
      </c>
      <c r="M488" s="3" t="s">
        <v>1294</v>
      </c>
      <c r="N488" s="3" t="s">
        <v>1295</v>
      </c>
      <c r="O488" s="3" t="s">
        <v>1296</v>
      </c>
      <c r="P488" s="3" t="s">
        <v>24</v>
      </c>
      <c r="Q488" s="2" t="s">
        <v>1297</v>
      </c>
    </row>
    <row r="489">
      <c r="A489" s="2" t="s">
        <v>1298</v>
      </c>
      <c r="B489" s="2"/>
      <c r="C489" s="2"/>
      <c r="D489" s="2"/>
      <c r="E489" s="2"/>
      <c r="F489" s="3">
        <v>0.0</v>
      </c>
      <c r="G489" s="3">
        <v>0.0</v>
      </c>
      <c r="H489" s="3">
        <v>1.0</v>
      </c>
      <c r="I489" s="3">
        <v>1.0</v>
      </c>
      <c r="J489" s="3">
        <v>1.0</v>
      </c>
      <c r="K489" s="3">
        <v>0.0</v>
      </c>
      <c r="L489" s="2"/>
      <c r="M489" s="3">
        <v>0.5</v>
      </c>
      <c r="N489" s="3">
        <v>0.5</v>
      </c>
      <c r="O489" s="3">
        <v>1.0</v>
      </c>
      <c r="P489" s="3">
        <v>1.0</v>
      </c>
      <c r="Q489" s="2"/>
      <c r="V489" s="5">
        <f>SUM(B489:P489)/10</f>
        <v>0.6</v>
      </c>
    </row>
    <row r="490">
      <c r="A490" s="2">
        <v>122.0</v>
      </c>
      <c r="B490" s="2">
        <v>57549.0</v>
      </c>
      <c r="C490" s="2">
        <v>355.0</v>
      </c>
      <c r="D490" s="2">
        <v>38.666667</v>
      </c>
      <c r="E490" s="2">
        <v>-123.266667</v>
      </c>
      <c r="F490" s="3">
        <v>38.666667</v>
      </c>
      <c r="G490" s="3">
        <v>-123.266667</v>
      </c>
      <c r="H490" s="3" t="s">
        <v>1299</v>
      </c>
      <c r="I490" s="3" t="s">
        <v>18</v>
      </c>
      <c r="J490" s="3" t="s">
        <v>1300</v>
      </c>
      <c r="K490" s="3" t="s">
        <v>553</v>
      </c>
      <c r="L490" s="2" t="s">
        <v>553</v>
      </c>
      <c r="M490" s="3" t="s">
        <v>1262</v>
      </c>
      <c r="N490" s="3" t="s">
        <v>56</v>
      </c>
      <c r="O490" s="3" t="s">
        <v>1301</v>
      </c>
      <c r="P490" s="3" t="s">
        <v>24</v>
      </c>
      <c r="Q490" s="2" t="s">
        <v>1302</v>
      </c>
    </row>
    <row r="491">
      <c r="A491" s="2" t="s">
        <v>1303</v>
      </c>
      <c r="B491" s="2"/>
      <c r="C491" s="2"/>
      <c r="D491" s="2"/>
      <c r="E491" s="2"/>
      <c r="F491" s="3">
        <v>0.0</v>
      </c>
      <c r="G491" s="3">
        <v>0.0</v>
      </c>
      <c r="H491" s="3">
        <v>1.0</v>
      </c>
      <c r="I491" s="3">
        <v>1.0</v>
      </c>
      <c r="J491" s="3">
        <v>1.0</v>
      </c>
      <c r="K491" s="3">
        <v>0.0</v>
      </c>
      <c r="L491" s="2"/>
      <c r="M491" s="3">
        <v>1.0</v>
      </c>
      <c r="N491" s="3">
        <v>1.0</v>
      </c>
      <c r="O491" s="3">
        <v>1.0</v>
      </c>
      <c r="P491" s="3">
        <v>1.0</v>
      </c>
      <c r="Q491" s="2"/>
      <c r="V491" s="5">
        <f>SUM(B491:P491)/10</f>
        <v>0.7</v>
      </c>
    </row>
    <row r="492">
      <c r="A492" s="2">
        <v>119.0</v>
      </c>
      <c r="B492" s="2">
        <v>57549.0</v>
      </c>
      <c r="C492" s="2">
        <v>611.0</v>
      </c>
      <c r="D492" s="1"/>
      <c r="E492" s="1"/>
      <c r="F492" s="3">
        <v>34.4922</v>
      </c>
      <c r="G492" s="3">
        <v>-119.5069</v>
      </c>
      <c r="H492" s="3" t="s">
        <v>1304</v>
      </c>
      <c r="I492" s="3" t="s">
        <v>1305</v>
      </c>
      <c r="J492" s="3" t="s">
        <v>1306</v>
      </c>
      <c r="K492" s="3" t="s">
        <v>192</v>
      </c>
      <c r="L492" s="1"/>
      <c r="M492" s="3" t="s">
        <v>1262</v>
      </c>
      <c r="N492" s="3" t="s">
        <v>22</v>
      </c>
      <c r="O492" s="3" t="s">
        <v>1307</v>
      </c>
      <c r="P492" s="3" t="s">
        <v>74</v>
      </c>
      <c r="Q492" s="2" t="s">
        <v>1308</v>
      </c>
    </row>
    <row r="493">
      <c r="A493" s="2" t="s">
        <v>1309</v>
      </c>
      <c r="B493" s="2"/>
      <c r="C493" s="2"/>
      <c r="D493" s="1"/>
      <c r="E493" s="1"/>
      <c r="F493" s="3">
        <v>1.0</v>
      </c>
      <c r="G493" s="3">
        <v>1.0</v>
      </c>
      <c r="H493" s="3">
        <v>1.0</v>
      </c>
      <c r="I493" s="3">
        <v>0.5</v>
      </c>
      <c r="J493" s="3">
        <v>1.0</v>
      </c>
      <c r="K493" s="3">
        <v>1.0</v>
      </c>
      <c r="L493" s="1"/>
      <c r="M493" s="3">
        <v>1.0</v>
      </c>
      <c r="N493" s="3">
        <v>1.0</v>
      </c>
      <c r="O493" s="3">
        <v>1.0</v>
      </c>
      <c r="P493" s="3">
        <v>1.0</v>
      </c>
      <c r="Q493" s="2"/>
      <c r="V493" s="5">
        <f>SUM(B493:P493)/10</f>
        <v>0.95</v>
      </c>
    </row>
    <row r="494">
      <c r="A494" s="2">
        <v>287.0</v>
      </c>
      <c r="B494" s="2">
        <v>7.0038392E7</v>
      </c>
      <c r="C494" s="2">
        <v>391.0</v>
      </c>
      <c r="D494" s="1"/>
      <c r="E494" s="1"/>
      <c r="F494" s="3">
        <v>39.6858333333</v>
      </c>
      <c r="G494" s="3">
        <v>-123.651666667</v>
      </c>
      <c r="H494" s="3" t="s">
        <v>1310</v>
      </c>
      <c r="I494" s="3" t="s">
        <v>1311</v>
      </c>
      <c r="J494" s="3" t="s">
        <v>1312</v>
      </c>
      <c r="L494" s="2" t="s">
        <v>295</v>
      </c>
      <c r="M494" s="3" t="s">
        <v>1313</v>
      </c>
      <c r="N494" s="3" t="s">
        <v>56</v>
      </c>
      <c r="O494" s="3" t="s">
        <v>1314</v>
      </c>
      <c r="P494" s="3" t="s">
        <v>24</v>
      </c>
      <c r="Q494" s="2" t="s">
        <v>1315</v>
      </c>
    </row>
    <row r="495">
      <c r="A495" s="19" t="s">
        <v>1316</v>
      </c>
      <c r="B495" s="19"/>
      <c r="C495" s="19"/>
      <c r="D495" s="20"/>
      <c r="E495" s="20"/>
      <c r="F495" s="19"/>
      <c r="G495" s="19"/>
      <c r="H495" s="19"/>
      <c r="I495" s="19"/>
      <c r="J495" s="19"/>
      <c r="K495" s="20"/>
      <c r="L495" s="19"/>
      <c r="M495" s="19"/>
      <c r="N495" s="19"/>
      <c r="O495" s="19"/>
      <c r="P495" s="19"/>
      <c r="Q495" s="19"/>
      <c r="R495" s="20"/>
      <c r="S495" s="20"/>
      <c r="T495" s="20"/>
      <c r="U495" s="20"/>
      <c r="V495" s="21"/>
      <c r="W495" s="20"/>
      <c r="X495" s="20"/>
      <c r="Y495" s="20"/>
      <c r="Z495" s="20"/>
    </row>
    <row r="496">
      <c r="A496" s="2">
        <v>101.0</v>
      </c>
      <c r="B496" s="2">
        <v>7.0038395E7</v>
      </c>
      <c r="C496" s="2">
        <v>97.0</v>
      </c>
      <c r="D496" s="1"/>
      <c r="E496" s="1"/>
      <c r="F496" s="3">
        <v>37.0153</v>
      </c>
      <c r="G496" s="3">
        <v>-118.225</v>
      </c>
      <c r="H496" s="3" t="s">
        <v>1317</v>
      </c>
      <c r="I496" s="3" t="s">
        <v>1318</v>
      </c>
      <c r="J496" s="3" t="s">
        <v>1319</v>
      </c>
      <c r="K496" s="3" t="s">
        <v>1320</v>
      </c>
      <c r="L496" s="1"/>
      <c r="M496" s="3" t="s">
        <v>398</v>
      </c>
      <c r="N496" s="3" t="s">
        <v>56</v>
      </c>
      <c r="O496" s="3" t="s">
        <v>1321</v>
      </c>
      <c r="P496" s="3" t="s">
        <v>24</v>
      </c>
      <c r="Q496" s="2" t="s">
        <v>1322</v>
      </c>
    </row>
    <row r="497">
      <c r="A497" s="2" t="s">
        <v>1323</v>
      </c>
      <c r="B497" s="2"/>
      <c r="C497" s="2"/>
      <c r="D497" s="1"/>
      <c r="E497" s="1"/>
      <c r="F497" s="3">
        <v>1.0</v>
      </c>
      <c r="G497" s="3">
        <v>1.0</v>
      </c>
      <c r="H497" s="3">
        <v>1.0</v>
      </c>
      <c r="I497" s="3">
        <v>0.5</v>
      </c>
      <c r="J497" s="3">
        <v>1.0</v>
      </c>
      <c r="K497" s="3">
        <v>0.0</v>
      </c>
      <c r="L497" s="1"/>
      <c r="M497" s="3">
        <v>1.0</v>
      </c>
      <c r="N497" s="3">
        <v>1.0</v>
      </c>
      <c r="O497" s="3">
        <v>1.0</v>
      </c>
      <c r="P497" s="3">
        <v>1.0</v>
      </c>
      <c r="Q497" s="2"/>
      <c r="V497" s="5">
        <f>SUM(B497:P497)/10</f>
        <v>0.85</v>
      </c>
    </row>
    <row r="498">
      <c r="A498" s="2">
        <v>139.0</v>
      </c>
      <c r="B498" s="2">
        <v>7.0038399E7</v>
      </c>
      <c r="C498" s="2">
        <v>529.0</v>
      </c>
      <c r="D498" s="2">
        <v>36.2186</v>
      </c>
      <c r="E498" s="2">
        <v>-119.2022</v>
      </c>
      <c r="H498" s="3" t="s">
        <v>1324</v>
      </c>
      <c r="I498" s="3" t="s">
        <v>1325</v>
      </c>
      <c r="J498" s="3" t="s">
        <v>1326</v>
      </c>
      <c r="K498" s="3" t="s">
        <v>177</v>
      </c>
      <c r="L498" s="2" t="s">
        <v>177</v>
      </c>
      <c r="M498" s="3" t="s">
        <v>1327</v>
      </c>
      <c r="N498" s="3" t="s">
        <v>1328</v>
      </c>
      <c r="O498" s="3" t="s">
        <v>1329</v>
      </c>
      <c r="P498" s="3" t="s">
        <v>24</v>
      </c>
      <c r="Q498" s="2" t="s">
        <v>1330</v>
      </c>
    </row>
    <row r="499">
      <c r="A499" s="2" t="s">
        <v>1331</v>
      </c>
      <c r="B499" s="2"/>
      <c r="C499" s="2"/>
      <c r="D499" s="2"/>
      <c r="E499" s="2"/>
      <c r="F499" s="3">
        <v>1.0</v>
      </c>
      <c r="G499" s="3">
        <v>1.0</v>
      </c>
      <c r="H499" s="3">
        <v>0.5</v>
      </c>
      <c r="I499" s="3">
        <v>0.5</v>
      </c>
      <c r="J499" s="3">
        <v>1.0</v>
      </c>
      <c r="K499" s="3">
        <v>0.0</v>
      </c>
      <c r="L499" s="2"/>
      <c r="M499" s="3">
        <v>1.0</v>
      </c>
      <c r="N499" s="3">
        <v>1.0</v>
      </c>
      <c r="O499" s="3">
        <v>1.0</v>
      </c>
      <c r="P499" s="3">
        <v>1.0</v>
      </c>
      <c r="Q499" s="2"/>
      <c r="V499" s="5">
        <f>SUM(B499:P499)/10</f>
        <v>0.8</v>
      </c>
    </row>
    <row r="500">
      <c r="A500" s="2">
        <v>140.0</v>
      </c>
      <c r="B500" s="2">
        <v>7.0038399E7</v>
      </c>
      <c r="C500" s="2">
        <v>529.0</v>
      </c>
      <c r="D500" s="2">
        <v>35.2986</v>
      </c>
      <c r="E500" s="2">
        <v>-119.2991</v>
      </c>
      <c r="H500" s="3" t="s">
        <v>1332</v>
      </c>
      <c r="I500" s="3" t="s">
        <v>1333</v>
      </c>
      <c r="J500" s="3" t="s">
        <v>1334</v>
      </c>
      <c r="K500" s="3" t="s">
        <v>573</v>
      </c>
      <c r="L500" s="2" t="s">
        <v>573</v>
      </c>
      <c r="M500" s="3" t="s">
        <v>1335</v>
      </c>
      <c r="N500" s="3" t="s">
        <v>1328</v>
      </c>
      <c r="O500" s="3" t="s">
        <v>1329</v>
      </c>
      <c r="P500" s="3" t="s">
        <v>24</v>
      </c>
      <c r="Q500" s="2" t="s">
        <v>1330</v>
      </c>
    </row>
    <row r="501">
      <c r="A501" s="2" t="s">
        <v>1336</v>
      </c>
      <c r="B501" s="2"/>
      <c r="C501" s="2"/>
      <c r="D501" s="2"/>
      <c r="E501" s="2"/>
      <c r="F501" s="3">
        <v>1.0</v>
      </c>
      <c r="G501" s="3">
        <v>1.0</v>
      </c>
      <c r="H501" s="3">
        <v>1.0</v>
      </c>
      <c r="I501" s="3">
        <v>0.5</v>
      </c>
      <c r="J501" s="3">
        <v>1.0</v>
      </c>
      <c r="K501" s="3">
        <v>0.0</v>
      </c>
      <c r="L501" s="2"/>
      <c r="M501" s="3">
        <v>1.0</v>
      </c>
      <c r="N501" s="3">
        <v>1.0</v>
      </c>
      <c r="O501" s="3">
        <v>1.0</v>
      </c>
      <c r="P501" s="3">
        <v>1.0</v>
      </c>
      <c r="Q501" s="2"/>
      <c r="V501" s="5">
        <f>SUM(B501:P501)/10</f>
        <v>0.85</v>
      </c>
    </row>
    <row r="502">
      <c r="A502" s="2">
        <v>141.0</v>
      </c>
      <c r="B502" s="2">
        <v>7.0038399E7</v>
      </c>
      <c r="C502" s="2">
        <v>529.0</v>
      </c>
      <c r="D502" s="2">
        <v>35.3214</v>
      </c>
      <c r="E502" s="2">
        <v>-119.3363</v>
      </c>
      <c r="H502" s="3" t="s">
        <v>1337</v>
      </c>
      <c r="I502" s="3" t="s">
        <v>1338</v>
      </c>
      <c r="J502" s="3" t="s">
        <v>1339</v>
      </c>
      <c r="K502" s="3" t="s">
        <v>573</v>
      </c>
      <c r="L502" s="2" t="s">
        <v>573</v>
      </c>
      <c r="M502" s="3" t="s">
        <v>1335</v>
      </c>
      <c r="N502" s="3" t="s">
        <v>1328</v>
      </c>
      <c r="O502" s="3" t="s">
        <v>1329</v>
      </c>
      <c r="P502" s="3" t="s">
        <v>24</v>
      </c>
      <c r="Q502" s="2" t="s">
        <v>1330</v>
      </c>
    </row>
    <row r="503">
      <c r="A503" s="2" t="s">
        <v>1340</v>
      </c>
      <c r="B503" s="2"/>
      <c r="C503" s="2"/>
      <c r="D503" s="2"/>
      <c r="E503" s="2"/>
      <c r="F503" s="3">
        <v>1.0</v>
      </c>
      <c r="G503" s="3">
        <v>1.0</v>
      </c>
      <c r="H503" s="3">
        <v>0.5</v>
      </c>
      <c r="I503" s="3">
        <v>0.5</v>
      </c>
      <c r="J503" s="3">
        <v>1.0</v>
      </c>
      <c r="K503" s="3">
        <v>0.0</v>
      </c>
      <c r="L503" s="2"/>
      <c r="M503" s="3">
        <v>1.0</v>
      </c>
      <c r="N503" s="3">
        <v>1.0</v>
      </c>
      <c r="O503" s="3">
        <v>1.0</v>
      </c>
      <c r="P503" s="3">
        <v>1.0</v>
      </c>
      <c r="Q503" s="2"/>
      <c r="V503" s="5">
        <f>SUM(B503:P503)/10</f>
        <v>0.8</v>
      </c>
    </row>
    <row r="504">
      <c r="A504" s="2">
        <v>142.0</v>
      </c>
      <c r="B504" s="2">
        <v>7.0038399E7</v>
      </c>
      <c r="C504" s="2">
        <v>529.0</v>
      </c>
      <c r="D504" s="2">
        <v>35.5735</v>
      </c>
      <c r="E504" s="2">
        <v>-119.5246</v>
      </c>
      <c r="H504" s="3" t="s">
        <v>1341</v>
      </c>
      <c r="I504" s="3" t="s">
        <v>1342</v>
      </c>
      <c r="J504" s="3" t="s">
        <v>1343</v>
      </c>
      <c r="K504" s="3" t="s">
        <v>573</v>
      </c>
      <c r="L504" s="2" t="s">
        <v>573</v>
      </c>
      <c r="M504" s="3" t="s">
        <v>1335</v>
      </c>
      <c r="N504" s="3" t="s">
        <v>1328</v>
      </c>
      <c r="O504" s="3" t="s">
        <v>1329</v>
      </c>
      <c r="P504" s="3" t="s">
        <v>24</v>
      </c>
      <c r="Q504" s="2" t="s">
        <v>1330</v>
      </c>
    </row>
    <row r="505">
      <c r="A505" s="2" t="s">
        <v>1344</v>
      </c>
      <c r="B505" s="2"/>
      <c r="C505" s="2"/>
      <c r="D505" s="2"/>
      <c r="E505" s="2"/>
      <c r="F505" s="3">
        <v>1.0</v>
      </c>
      <c r="G505" s="3">
        <v>1.0</v>
      </c>
      <c r="H505" s="3">
        <v>0.5</v>
      </c>
      <c r="I505" s="3">
        <v>0.5</v>
      </c>
      <c r="J505" s="3">
        <v>1.0</v>
      </c>
      <c r="K505" s="3">
        <v>0.0</v>
      </c>
      <c r="L505" s="2"/>
      <c r="M505" s="3">
        <v>1.0</v>
      </c>
      <c r="N505" s="3">
        <v>1.0</v>
      </c>
      <c r="O505" s="3">
        <v>1.0</v>
      </c>
      <c r="P505" s="3">
        <v>1.0</v>
      </c>
      <c r="Q505" s="2"/>
      <c r="V505" s="5">
        <f>SUM(B505:P505)/10</f>
        <v>0.8</v>
      </c>
    </row>
    <row r="506">
      <c r="A506" s="2">
        <v>143.0</v>
      </c>
      <c r="B506" s="2">
        <v>7.0038399E7</v>
      </c>
      <c r="C506" s="2">
        <v>529.0</v>
      </c>
      <c r="D506" s="2">
        <v>35.6951</v>
      </c>
      <c r="E506" s="2">
        <v>-119.4187</v>
      </c>
      <c r="H506" s="3" t="s">
        <v>1345</v>
      </c>
      <c r="I506" s="3" t="s">
        <v>1346</v>
      </c>
      <c r="J506" s="3" t="s">
        <v>1347</v>
      </c>
      <c r="K506" s="3" t="s">
        <v>573</v>
      </c>
      <c r="L506" s="2" t="s">
        <v>573</v>
      </c>
      <c r="M506" s="3" t="s">
        <v>1348</v>
      </c>
      <c r="N506" s="3" t="s">
        <v>1328</v>
      </c>
      <c r="O506" s="3" t="s">
        <v>1329</v>
      </c>
      <c r="P506" s="3" t="s">
        <v>24</v>
      </c>
      <c r="Q506" s="2" t="s">
        <v>1330</v>
      </c>
    </row>
    <row r="507">
      <c r="A507" s="2" t="s">
        <v>1349</v>
      </c>
      <c r="B507" s="2"/>
      <c r="C507" s="2"/>
      <c r="D507" s="2"/>
      <c r="E507" s="2"/>
      <c r="F507" s="3">
        <v>1.0</v>
      </c>
      <c r="G507" s="3">
        <v>1.0</v>
      </c>
      <c r="H507" s="3">
        <v>0.5</v>
      </c>
      <c r="I507" s="3">
        <v>0.5</v>
      </c>
      <c r="J507" s="3">
        <v>1.0</v>
      </c>
      <c r="K507" s="3">
        <v>0.0</v>
      </c>
      <c r="L507" s="2"/>
      <c r="M507" s="3">
        <v>1.0</v>
      </c>
      <c r="N507" s="3">
        <v>1.0</v>
      </c>
      <c r="O507" s="3">
        <v>1.0</v>
      </c>
      <c r="P507" s="3">
        <v>1.0</v>
      </c>
      <c r="Q507" s="2"/>
      <c r="V507" s="5">
        <f>SUM(B507:P507)/10</f>
        <v>0.8</v>
      </c>
    </row>
    <row r="508">
      <c r="A508" s="2">
        <v>144.0</v>
      </c>
      <c r="B508" s="2">
        <v>7.0038399E7</v>
      </c>
      <c r="C508" s="2">
        <v>529.0</v>
      </c>
      <c r="D508" s="2">
        <v>36.1341</v>
      </c>
      <c r="E508" s="2">
        <v>-120.3062</v>
      </c>
      <c r="H508" s="3" t="s">
        <v>1350</v>
      </c>
      <c r="I508" s="3" t="s">
        <v>1351</v>
      </c>
      <c r="J508" s="3" t="s">
        <v>1352</v>
      </c>
      <c r="K508" s="3" t="s">
        <v>618</v>
      </c>
      <c r="L508" s="2" t="s">
        <v>618</v>
      </c>
      <c r="M508" s="3" t="s">
        <v>1353</v>
      </c>
      <c r="N508" s="3" t="s">
        <v>1328</v>
      </c>
      <c r="O508" s="3" t="s">
        <v>1329</v>
      </c>
      <c r="P508" s="3" t="s">
        <v>24</v>
      </c>
      <c r="Q508" s="2" t="s">
        <v>1330</v>
      </c>
    </row>
    <row r="509">
      <c r="A509" s="2" t="s">
        <v>1354</v>
      </c>
      <c r="B509" s="2"/>
      <c r="C509" s="2"/>
      <c r="D509" s="2"/>
      <c r="E509" s="2"/>
      <c r="F509" s="3">
        <v>1.0</v>
      </c>
      <c r="G509" s="3">
        <v>1.0</v>
      </c>
      <c r="H509" s="3">
        <v>1.0</v>
      </c>
      <c r="I509" s="3">
        <v>1.0</v>
      </c>
      <c r="J509" s="3">
        <v>1.0</v>
      </c>
      <c r="K509" s="3">
        <v>0.0</v>
      </c>
      <c r="L509" s="2"/>
      <c r="M509" s="3">
        <v>1.0</v>
      </c>
      <c r="N509" s="3">
        <v>1.0</v>
      </c>
      <c r="O509" s="3">
        <v>1.0</v>
      </c>
      <c r="P509" s="3">
        <v>1.0</v>
      </c>
      <c r="Q509" s="2"/>
      <c r="V509" s="5">
        <f>SUM(B509:P509)/10</f>
        <v>0.9</v>
      </c>
    </row>
    <row r="510">
      <c r="A510" s="2">
        <v>145.0</v>
      </c>
      <c r="B510" s="2">
        <v>7.0038399E7</v>
      </c>
      <c r="C510" s="2">
        <v>529.0</v>
      </c>
      <c r="D510" s="2">
        <v>36.1812</v>
      </c>
      <c r="E510" s="2">
        <v>-119.7709</v>
      </c>
      <c r="H510" s="3" t="s">
        <v>1355</v>
      </c>
      <c r="I510" s="3" t="s">
        <v>1356</v>
      </c>
      <c r="J510" s="3" t="s">
        <v>1357</v>
      </c>
      <c r="K510" s="3" t="s">
        <v>1358</v>
      </c>
      <c r="L510" s="2" t="s">
        <v>1358</v>
      </c>
      <c r="M510" s="3" t="s">
        <v>1335</v>
      </c>
      <c r="N510" s="3" t="s">
        <v>1328</v>
      </c>
      <c r="O510" s="3" t="s">
        <v>1329</v>
      </c>
      <c r="P510" s="3" t="s">
        <v>24</v>
      </c>
      <c r="Q510" s="2" t="s">
        <v>1330</v>
      </c>
    </row>
    <row r="511">
      <c r="A511" s="2" t="s">
        <v>1359</v>
      </c>
      <c r="B511" s="2"/>
      <c r="C511" s="2"/>
      <c r="D511" s="2"/>
      <c r="E511" s="2"/>
      <c r="F511" s="3">
        <v>1.0</v>
      </c>
      <c r="G511" s="3">
        <v>1.0</v>
      </c>
      <c r="H511" s="3">
        <v>0.5</v>
      </c>
      <c r="I511" s="3">
        <v>0.5</v>
      </c>
      <c r="J511" s="3">
        <v>1.0</v>
      </c>
      <c r="K511" s="3">
        <v>0.0</v>
      </c>
      <c r="L511" s="2"/>
      <c r="M511" s="3">
        <v>1.0</v>
      </c>
      <c r="N511" s="3">
        <v>1.0</v>
      </c>
      <c r="O511" s="3">
        <v>1.0</v>
      </c>
      <c r="P511" s="3">
        <v>1.0</v>
      </c>
      <c r="Q511" s="2"/>
      <c r="V511" s="5">
        <f>SUM(B511:P511)/10</f>
        <v>0.8</v>
      </c>
    </row>
    <row r="512">
      <c r="A512" s="2">
        <v>146.0</v>
      </c>
      <c r="B512" s="2">
        <v>7.0038399E7</v>
      </c>
      <c r="C512" s="2">
        <v>529.0</v>
      </c>
      <c r="D512" s="2">
        <v>36.5972</v>
      </c>
      <c r="E512" s="2">
        <v>-120.7291</v>
      </c>
      <c r="H512" s="3" t="s">
        <v>1360</v>
      </c>
      <c r="I512" s="3" t="s">
        <v>1361</v>
      </c>
      <c r="J512" s="3" t="s">
        <v>1362</v>
      </c>
      <c r="K512" s="3" t="s">
        <v>618</v>
      </c>
      <c r="L512" s="2" t="s">
        <v>618</v>
      </c>
      <c r="M512" s="3" t="s">
        <v>1353</v>
      </c>
      <c r="N512" s="3" t="s">
        <v>1328</v>
      </c>
      <c r="O512" s="3" t="s">
        <v>1329</v>
      </c>
      <c r="P512" s="3" t="s">
        <v>24</v>
      </c>
      <c r="Q512" s="2" t="s">
        <v>1330</v>
      </c>
    </row>
    <row r="513">
      <c r="A513" s="2" t="s">
        <v>1363</v>
      </c>
      <c r="B513" s="2"/>
      <c r="C513" s="2"/>
      <c r="D513" s="2"/>
      <c r="E513" s="2"/>
      <c r="F513" s="3">
        <v>1.0</v>
      </c>
      <c r="G513" s="3">
        <v>1.0</v>
      </c>
      <c r="H513" s="3">
        <v>0.5</v>
      </c>
      <c r="I513" s="3">
        <v>0.5</v>
      </c>
      <c r="J513" s="3">
        <v>1.0</v>
      </c>
      <c r="K513" s="3">
        <v>0.0</v>
      </c>
      <c r="L513" s="2"/>
      <c r="M513" s="3">
        <v>1.0</v>
      </c>
      <c r="N513" s="3">
        <v>1.0</v>
      </c>
      <c r="O513" s="3">
        <v>1.0</v>
      </c>
      <c r="P513" s="3">
        <v>1.0</v>
      </c>
      <c r="Q513" s="2"/>
      <c r="V513" s="5">
        <f>SUM(B513:P513)/10</f>
        <v>0.8</v>
      </c>
    </row>
    <row r="514">
      <c r="A514" s="2">
        <v>147.0</v>
      </c>
      <c r="B514" s="2">
        <v>7.0038399E7</v>
      </c>
      <c r="C514" s="2">
        <v>529.0</v>
      </c>
      <c r="D514" s="2">
        <v>37.1904</v>
      </c>
      <c r="E514" s="2">
        <v>-120.6342</v>
      </c>
      <c r="H514" s="3" t="s">
        <v>1364</v>
      </c>
      <c r="I514" s="3" t="s">
        <v>1365</v>
      </c>
      <c r="J514" s="3" t="s">
        <v>1366</v>
      </c>
      <c r="K514" s="3" t="s">
        <v>1367</v>
      </c>
      <c r="L514" s="2" t="s">
        <v>1367</v>
      </c>
      <c r="M514" s="3" t="s">
        <v>1353</v>
      </c>
      <c r="N514" s="3" t="s">
        <v>1328</v>
      </c>
      <c r="O514" s="3" t="s">
        <v>1329</v>
      </c>
      <c r="P514" s="3" t="s">
        <v>24</v>
      </c>
      <c r="Q514" s="2" t="s">
        <v>1330</v>
      </c>
    </row>
    <row r="515">
      <c r="A515" s="2" t="s">
        <v>1368</v>
      </c>
      <c r="B515" s="2"/>
      <c r="C515" s="2"/>
      <c r="D515" s="2"/>
      <c r="E515" s="2"/>
      <c r="F515" s="3">
        <v>1.0</v>
      </c>
      <c r="G515" s="3">
        <v>1.0</v>
      </c>
      <c r="H515" s="3">
        <v>0.5</v>
      </c>
      <c r="I515" s="3">
        <v>0.5</v>
      </c>
      <c r="J515" s="3">
        <v>1.0</v>
      </c>
      <c r="K515" s="3">
        <v>0.0</v>
      </c>
      <c r="L515" s="2"/>
      <c r="M515" s="3">
        <v>1.0</v>
      </c>
      <c r="N515" s="3">
        <v>1.0</v>
      </c>
      <c r="O515" s="3">
        <v>1.0</v>
      </c>
      <c r="P515" s="3">
        <v>1.0</v>
      </c>
      <c r="Q515" s="2"/>
      <c r="V515" s="5">
        <f>SUM(B515:P515)/10</f>
        <v>0.8</v>
      </c>
    </row>
    <row r="516">
      <c r="A516" s="2">
        <v>148.0</v>
      </c>
      <c r="B516" s="2">
        <v>7.0038399E7</v>
      </c>
      <c r="C516" s="2">
        <v>529.0</v>
      </c>
      <c r="D516" s="2">
        <v>38.1126</v>
      </c>
      <c r="E516" s="2">
        <v>-120.6534</v>
      </c>
      <c r="H516" s="3" t="s">
        <v>1369</v>
      </c>
      <c r="I516" s="3" t="s">
        <v>1370</v>
      </c>
      <c r="J516" s="3" t="s">
        <v>1371</v>
      </c>
      <c r="K516" s="3" t="s">
        <v>37</v>
      </c>
      <c r="L516" s="2" t="s">
        <v>37</v>
      </c>
      <c r="M516" s="3" t="s">
        <v>1348</v>
      </c>
      <c r="N516" s="3" t="s">
        <v>1328</v>
      </c>
      <c r="O516" s="3" t="s">
        <v>1329</v>
      </c>
      <c r="P516" s="3" t="s">
        <v>24</v>
      </c>
      <c r="Q516" s="2" t="s">
        <v>1330</v>
      </c>
    </row>
    <row r="517">
      <c r="A517" s="2" t="s">
        <v>1372</v>
      </c>
      <c r="B517" s="2"/>
      <c r="C517" s="2"/>
      <c r="D517" s="2"/>
      <c r="E517" s="2"/>
      <c r="F517" s="3">
        <v>1.0</v>
      </c>
      <c r="G517" s="3">
        <v>1.0</v>
      </c>
      <c r="H517" s="3">
        <v>0.5</v>
      </c>
      <c r="I517" s="3">
        <v>0.5</v>
      </c>
      <c r="J517" s="3">
        <v>1.0</v>
      </c>
      <c r="K517" s="3">
        <v>0.0</v>
      </c>
      <c r="L517" s="2"/>
      <c r="M517" s="3">
        <v>1.0</v>
      </c>
      <c r="N517" s="3">
        <v>1.0</v>
      </c>
      <c r="O517" s="3">
        <v>1.0</v>
      </c>
      <c r="P517" s="3">
        <v>1.0</v>
      </c>
      <c r="Q517" s="2"/>
      <c r="V517" s="5">
        <f>SUM(B517:P517)/10</f>
        <v>0.8</v>
      </c>
    </row>
    <row r="518">
      <c r="A518" s="2">
        <v>149.0</v>
      </c>
      <c r="B518" s="2">
        <v>7.0038399E7</v>
      </c>
      <c r="C518" s="2">
        <v>529.0</v>
      </c>
      <c r="D518" s="2">
        <v>38.1239</v>
      </c>
      <c r="E518" s="2">
        <v>-120.6684</v>
      </c>
      <c r="H518" s="3" t="s">
        <v>1373</v>
      </c>
      <c r="I518" s="3" t="s">
        <v>1374</v>
      </c>
      <c r="J518" s="3" t="s">
        <v>1375</v>
      </c>
      <c r="K518" s="3" t="s">
        <v>37</v>
      </c>
      <c r="L518" s="2" t="s">
        <v>37</v>
      </c>
      <c r="M518" s="3" t="s">
        <v>1348</v>
      </c>
      <c r="N518" s="3" t="s">
        <v>1328</v>
      </c>
      <c r="O518" s="3" t="s">
        <v>1329</v>
      </c>
      <c r="P518" s="3" t="s">
        <v>24</v>
      </c>
      <c r="Q518" s="2" t="s">
        <v>1330</v>
      </c>
    </row>
    <row r="519">
      <c r="A519" s="2" t="s">
        <v>1376</v>
      </c>
      <c r="B519" s="2"/>
      <c r="C519" s="2"/>
      <c r="D519" s="2"/>
      <c r="E519" s="2"/>
      <c r="F519" s="3">
        <v>1.0</v>
      </c>
      <c r="G519" s="3">
        <v>1.0</v>
      </c>
      <c r="H519" s="3">
        <v>0.5</v>
      </c>
      <c r="I519" s="3">
        <v>0.5</v>
      </c>
      <c r="J519" s="3">
        <v>1.0</v>
      </c>
      <c r="K519" s="3">
        <v>0.0</v>
      </c>
      <c r="L519" s="2"/>
      <c r="M519" s="3">
        <v>1.0</v>
      </c>
      <c r="N519" s="3">
        <v>1.0</v>
      </c>
      <c r="O519" s="3">
        <v>1.0</v>
      </c>
      <c r="P519" s="3">
        <v>1.0</v>
      </c>
      <c r="Q519" s="2"/>
      <c r="V519" s="5">
        <f>SUM(B519:P519)/10</f>
        <v>0.8</v>
      </c>
    </row>
    <row r="520">
      <c r="A520" s="2">
        <v>150.0</v>
      </c>
      <c r="B520" s="2">
        <v>7.0038399E7</v>
      </c>
      <c r="C520" s="2">
        <v>529.0</v>
      </c>
      <c r="D520" s="2">
        <v>38.1731</v>
      </c>
      <c r="E520" s="2">
        <v>-120.6108</v>
      </c>
      <c r="H520" s="3" t="s">
        <v>1377</v>
      </c>
      <c r="I520" s="3" t="s">
        <v>1378</v>
      </c>
      <c r="J520" s="3" t="s">
        <v>1379</v>
      </c>
      <c r="K520" s="3" t="s">
        <v>37</v>
      </c>
      <c r="L520" s="2" t="s">
        <v>37</v>
      </c>
      <c r="M520" s="3" t="s">
        <v>1348</v>
      </c>
      <c r="N520" s="3" t="s">
        <v>1328</v>
      </c>
      <c r="O520" s="3" t="s">
        <v>1329</v>
      </c>
      <c r="P520" s="3" t="s">
        <v>24</v>
      </c>
      <c r="Q520" s="2" t="s">
        <v>1330</v>
      </c>
    </row>
    <row r="521">
      <c r="A521" s="2" t="s">
        <v>1380</v>
      </c>
      <c r="B521" s="2"/>
      <c r="C521" s="2"/>
      <c r="D521" s="2"/>
      <c r="E521" s="2"/>
      <c r="F521" s="3">
        <v>1.0</v>
      </c>
      <c r="G521" s="3">
        <v>1.0</v>
      </c>
      <c r="H521" s="3">
        <v>0.5</v>
      </c>
      <c r="I521" s="3">
        <v>0.5</v>
      </c>
      <c r="J521" s="3">
        <v>1.0</v>
      </c>
      <c r="K521" s="3">
        <v>0.0</v>
      </c>
      <c r="L521" s="2"/>
      <c r="M521" s="3">
        <v>1.0</v>
      </c>
      <c r="N521" s="3">
        <v>1.0</v>
      </c>
      <c r="O521" s="3">
        <v>1.0</v>
      </c>
      <c r="P521" s="3">
        <v>1.0</v>
      </c>
      <c r="Q521" s="2"/>
      <c r="V521" s="5">
        <f>SUM(B521:P521)/10</f>
        <v>0.8</v>
      </c>
    </row>
    <row r="522">
      <c r="A522" s="2">
        <v>151.0</v>
      </c>
      <c r="B522" s="2">
        <v>7.0038399E7</v>
      </c>
      <c r="C522" s="2">
        <v>529.0</v>
      </c>
      <c r="D522" s="2">
        <v>38.1795</v>
      </c>
      <c r="E522" s="2">
        <v>-120.6813</v>
      </c>
      <c r="H522" s="3" t="s">
        <v>1381</v>
      </c>
      <c r="I522" s="3" t="s">
        <v>1382</v>
      </c>
      <c r="J522" s="3" t="s">
        <v>1383</v>
      </c>
      <c r="K522" s="3" t="s">
        <v>37</v>
      </c>
      <c r="L522" s="2" t="s">
        <v>37</v>
      </c>
      <c r="M522" s="3" t="s">
        <v>1348</v>
      </c>
      <c r="N522" s="3" t="s">
        <v>1328</v>
      </c>
      <c r="O522" s="3" t="s">
        <v>1329</v>
      </c>
      <c r="P522" s="3" t="s">
        <v>24</v>
      </c>
      <c r="Q522" s="2" t="s">
        <v>1330</v>
      </c>
    </row>
    <row r="523">
      <c r="A523" s="2" t="s">
        <v>1384</v>
      </c>
      <c r="B523" s="2"/>
      <c r="C523" s="2"/>
      <c r="D523" s="2"/>
      <c r="E523" s="2"/>
      <c r="F523" s="3">
        <v>1.0</v>
      </c>
      <c r="G523" s="3">
        <v>1.0</v>
      </c>
      <c r="H523" s="3">
        <v>0.5</v>
      </c>
      <c r="I523" s="3">
        <v>0.5</v>
      </c>
      <c r="J523" s="3">
        <v>1.0</v>
      </c>
      <c r="K523" s="3">
        <v>0.0</v>
      </c>
      <c r="L523" s="2"/>
      <c r="M523" s="3">
        <v>1.0</v>
      </c>
      <c r="N523" s="3">
        <v>1.0</v>
      </c>
      <c r="O523" s="3">
        <v>1.0</v>
      </c>
      <c r="P523" s="3">
        <v>1.0</v>
      </c>
      <c r="Q523" s="2"/>
      <c r="V523" s="5">
        <f>SUM(B523:P523)/10</f>
        <v>0.8</v>
      </c>
    </row>
    <row r="524">
      <c r="A524" s="2">
        <v>152.0</v>
      </c>
      <c r="B524" s="2">
        <v>7.0038399E7</v>
      </c>
      <c r="C524" s="2">
        <v>529.0</v>
      </c>
      <c r="D524" s="2">
        <v>38.1576</v>
      </c>
      <c r="E524" s="2">
        <v>-120.6768</v>
      </c>
      <c r="H524" s="3" t="s">
        <v>1385</v>
      </c>
      <c r="I524" s="3" t="s">
        <v>1386</v>
      </c>
      <c r="J524" s="3" t="s">
        <v>1387</v>
      </c>
      <c r="K524" s="3" t="s">
        <v>37</v>
      </c>
      <c r="L524" s="2" t="s">
        <v>37</v>
      </c>
      <c r="M524" s="3" t="s">
        <v>1348</v>
      </c>
      <c r="N524" s="3" t="s">
        <v>1328</v>
      </c>
      <c r="O524" s="3" t="s">
        <v>1329</v>
      </c>
      <c r="P524" s="3" t="s">
        <v>24</v>
      </c>
      <c r="Q524" s="2" t="s">
        <v>1330</v>
      </c>
    </row>
    <row r="525">
      <c r="A525" s="2" t="s">
        <v>1388</v>
      </c>
      <c r="B525" s="2"/>
      <c r="C525" s="2"/>
      <c r="D525" s="2"/>
      <c r="E525" s="2"/>
      <c r="F525" s="3">
        <v>1.0</v>
      </c>
      <c r="G525" s="3">
        <v>1.0</v>
      </c>
      <c r="H525" s="3">
        <v>0.5</v>
      </c>
      <c r="I525" s="3">
        <v>0.5</v>
      </c>
      <c r="J525" s="3">
        <v>1.0</v>
      </c>
      <c r="K525" s="3">
        <v>0.0</v>
      </c>
      <c r="L525" s="2"/>
      <c r="M525" s="3">
        <v>1.0</v>
      </c>
      <c r="N525" s="3">
        <v>1.0</v>
      </c>
      <c r="O525" s="3">
        <v>1.0</v>
      </c>
      <c r="P525" s="3">
        <v>1.0</v>
      </c>
      <c r="Q525" s="2"/>
      <c r="V525" s="5">
        <f>SUM(B525:P525)/10</f>
        <v>0.8</v>
      </c>
    </row>
    <row r="526">
      <c r="A526" s="2">
        <v>153.0</v>
      </c>
      <c r="B526" s="2">
        <v>7.0038399E7</v>
      </c>
      <c r="C526" s="2">
        <v>529.0</v>
      </c>
      <c r="D526" s="1"/>
      <c r="E526" s="1"/>
      <c r="F526" s="3">
        <v>39.0264</v>
      </c>
      <c r="G526" s="3">
        <v>-121.4361</v>
      </c>
      <c r="H526" s="3" t="s">
        <v>1389</v>
      </c>
      <c r="I526" s="3" t="s">
        <v>18</v>
      </c>
      <c r="J526" s="3" t="s">
        <v>1390</v>
      </c>
      <c r="K526" s="3" t="s">
        <v>557</v>
      </c>
      <c r="L526" s="2" t="s">
        <v>557</v>
      </c>
      <c r="M526" s="3" t="s">
        <v>1391</v>
      </c>
      <c r="N526" s="3" t="s">
        <v>1328</v>
      </c>
      <c r="O526" s="3" t="s">
        <v>1329</v>
      </c>
      <c r="P526" s="3" t="s">
        <v>24</v>
      </c>
      <c r="Q526" s="2" t="s">
        <v>1330</v>
      </c>
    </row>
    <row r="527">
      <c r="A527" s="2" t="s">
        <v>1392</v>
      </c>
      <c r="B527" s="2"/>
      <c r="C527" s="2"/>
      <c r="D527" s="1"/>
      <c r="E527" s="1"/>
      <c r="F527" s="3">
        <v>1.0</v>
      </c>
      <c r="G527" s="3">
        <v>1.0</v>
      </c>
      <c r="H527" s="3">
        <v>1.0</v>
      </c>
      <c r="I527" s="3">
        <v>1.0</v>
      </c>
      <c r="J527" s="3">
        <v>1.0</v>
      </c>
      <c r="K527" s="3">
        <v>0.0</v>
      </c>
      <c r="L527" s="2"/>
      <c r="M527" s="3">
        <v>1.0</v>
      </c>
      <c r="N527" s="3">
        <v>1.0</v>
      </c>
      <c r="O527" s="3">
        <v>1.0</v>
      </c>
      <c r="P527" s="3">
        <v>1.0</v>
      </c>
      <c r="Q527" s="2"/>
      <c r="V527" s="5">
        <f>SUM(B527:P527)/10</f>
        <v>0.9</v>
      </c>
    </row>
    <row r="528">
      <c r="A528" s="2">
        <v>264.0</v>
      </c>
      <c r="B528" s="2">
        <v>7.00384E7</v>
      </c>
      <c r="C528" s="2">
        <v>232.0</v>
      </c>
      <c r="D528" s="1"/>
      <c r="E528" s="1"/>
      <c r="F528" s="3">
        <v>38.834722</v>
      </c>
      <c r="G528" s="3">
        <v>-121.752778</v>
      </c>
      <c r="H528" s="3" t="s">
        <v>1393</v>
      </c>
      <c r="I528" s="3" t="s">
        <v>18</v>
      </c>
      <c r="J528" s="3" t="s">
        <v>1394</v>
      </c>
      <c r="K528" s="3" t="s">
        <v>1113</v>
      </c>
      <c r="L528" s="1"/>
      <c r="M528" s="3" t="s">
        <v>1395</v>
      </c>
      <c r="N528" s="3" t="s">
        <v>1396</v>
      </c>
      <c r="O528" s="3" t="s">
        <v>1397</v>
      </c>
      <c r="P528" s="3" t="s">
        <v>24</v>
      </c>
      <c r="Q528" s="2" t="s">
        <v>1398</v>
      </c>
    </row>
    <row r="529">
      <c r="A529" s="2" t="s">
        <v>1399</v>
      </c>
      <c r="B529" s="2"/>
      <c r="C529" s="2"/>
      <c r="D529" s="1"/>
      <c r="E529" s="1"/>
      <c r="F529" s="3">
        <v>1.0</v>
      </c>
      <c r="G529" s="3">
        <v>1.0</v>
      </c>
      <c r="H529" s="3">
        <v>1.0</v>
      </c>
      <c r="I529" s="3">
        <v>1.0</v>
      </c>
      <c r="J529" s="3">
        <v>1.0</v>
      </c>
      <c r="K529" s="3">
        <v>1.0</v>
      </c>
      <c r="L529" s="1"/>
      <c r="M529" s="3">
        <v>1.0</v>
      </c>
      <c r="N529" s="3">
        <v>1.0</v>
      </c>
      <c r="O529" s="3">
        <v>1.0</v>
      </c>
      <c r="P529" s="3">
        <v>1.0</v>
      </c>
      <c r="Q529" s="2"/>
      <c r="V529" s="5">
        <f>SUM(B529:P529)/10</f>
        <v>1</v>
      </c>
    </row>
    <row r="530">
      <c r="A530" s="2">
        <v>229.0</v>
      </c>
      <c r="B530" s="2">
        <v>7.00384E7</v>
      </c>
      <c r="C530" s="2">
        <v>393.0</v>
      </c>
      <c r="D530" s="2">
        <v>39.5833</v>
      </c>
      <c r="E530" s="2">
        <v>-123.1667</v>
      </c>
      <c r="H530" s="3" t="s">
        <v>1400</v>
      </c>
      <c r="I530" s="3" t="s">
        <v>18</v>
      </c>
      <c r="J530" s="3" t="s">
        <v>1401</v>
      </c>
      <c r="L530" s="2" t="s">
        <v>319</v>
      </c>
      <c r="M530" s="3" t="s">
        <v>1402</v>
      </c>
      <c r="N530" s="3" t="s">
        <v>1403</v>
      </c>
      <c r="O530" s="3" t="s">
        <v>1404</v>
      </c>
      <c r="P530" s="3" t="s">
        <v>24</v>
      </c>
      <c r="Q530" s="2" t="s">
        <v>1405</v>
      </c>
    </row>
    <row r="531">
      <c r="A531" s="2" t="s">
        <v>1406</v>
      </c>
      <c r="B531" s="2"/>
      <c r="C531" s="2"/>
      <c r="D531" s="2"/>
      <c r="E531" s="2"/>
      <c r="F531" s="3">
        <v>1.0</v>
      </c>
      <c r="G531" s="3">
        <v>1.0</v>
      </c>
      <c r="H531" s="3">
        <v>0.5</v>
      </c>
      <c r="I531" s="3">
        <v>1.0</v>
      </c>
      <c r="J531" s="3">
        <v>1.0</v>
      </c>
      <c r="K531" s="3">
        <v>1.0</v>
      </c>
      <c r="L531" s="2"/>
      <c r="M531" s="3">
        <v>1.0</v>
      </c>
      <c r="N531" s="3">
        <v>1.0</v>
      </c>
      <c r="O531" s="3">
        <v>1.0</v>
      </c>
      <c r="P531" s="3">
        <v>1.0</v>
      </c>
      <c r="Q531" s="2"/>
      <c r="V531" s="5">
        <f>SUM(B531:P531)/10</f>
        <v>0.95</v>
      </c>
    </row>
    <row r="532">
      <c r="A532" s="2">
        <v>39.0</v>
      </c>
      <c r="B532" s="2">
        <v>7.0038402E7</v>
      </c>
      <c r="C532" s="2">
        <v>33.0</v>
      </c>
      <c r="D532" s="1"/>
      <c r="E532" s="1"/>
      <c r="F532" s="3">
        <v>38.173611</v>
      </c>
      <c r="G532" s="3">
        <v>-119.233333</v>
      </c>
      <c r="H532" s="3" t="s">
        <v>1407</v>
      </c>
      <c r="I532" s="3" t="s">
        <v>1408</v>
      </c>
      <c r="J532" s="3" t="s">
        <v>1409</v>
      </c>
      <c r="K532" s="3" t="s">
        <v>1217</v>
      </c>
      <c r="L532" s="1"/>
      <c r="M532" s="3" t="s">
        <v>649</v>
      </c>
      <c r="N532" s="3" t="s">
        <v>56</v>
      </c>
      <c r="O532" s="3" t="s">
        <v>132</v>
      </c>
      <c r="P532" s="3" t="s">
        <v>24</v>
      </c>
      <c r="Q532" s="2" t="s">
        <v>1410</v>
      </c>
    </row>
    <row r="533">
      <c r="A533" s="2" t="s">
        <v>1411</v>
      </c>
      <c r="B533" s="2"/>
      <c r="C533" s="2"/>
      <c r="D533" s="1"/>
      <c r="E533" s="1"/>
      <c r="F533" s="3">
        <v>1.0</v>
      </c>
      <c r="G533" s="3">
        <v>1.0</v>
      </c>
      <c r="H533" s="3">
        <v>1.0</v>
      </c>
      <c r="I533" s="3">
        <v>0.5</v>
      </c>
      <c r="J533" s="3">
        <v>1.0</v>
      </c>
      <c r="K533" s="3">
        <v>0.0</v>
      </c>
      <c r="L533" s="1"/>
      <c r="M533" s="3">
        <v>1.0</v>
      </c>
      <c r="N533" s="3">
        <v>1.0</v>
      </c>
      <c r="O533" s="3">
        <v>1.0</v>
      </c>
      <c r="P533" s="3">
        <v>1.0</v>
      </c>
      <c r="Q533" s="2"/>
      <c r="V533" s="5">
        <f>SUM(B533:P533)/10</f>
        <v>0.85</v>
      </c>
    </row>
    <row r="534">
      <c r="A534" s="2">
        <v>83.0</v>
      </c>
      <c r="B534" s="2">
        <v>7.0038402E7</v>
      </c>
      <c r="C534" s="2">
        <v>374.0</v>
      </c>
      <c r="D534" s="1"/>
      <c r="E534" s="1"/>
      <c r="F534" s="3">
        <v>39.7519</v>
      </c>
      <c r="G534" s="3">
        <v>-120.9564</v>
      </c>
      <c r="H534" s="3" t="s">
        <v>1412</v>
      </c>
      <c r="I534" s="3" t="s">
        <v>1413</v>
      </c>
      <c r="J534" s="3" t="s">
        <v>1414</v>
      </c>
      <c r="K534" s="3" t="s">
        <v>200</v>
      </c>
      <c r="L534" s="1"/>
      <c r="M534" s="3" t="s">
        <v>649</v>
      </c>
      <c r="N534" s="3" t="s">
        <v>186</v>
      </c>
      <c r="O534" s="3" t="s">
        <v>132</v>
      </c>
      <c r="P534" s="3" t="s">
        <v>24</v>
      </c>
      <c r="Q534" s="2" t="s">
        <v>1415</v>
      </c>
    </row>
    <row r="535">
      <c r="A535" s="2" t="s">
        <v>1416</v>
      </c>
      <c r="B535" s="2"/>
      <c r="C535" s="2"/>
      <c r="D535" s="1"/>
      <c r="E535" s="1"/>
      <c r="F535" s="3">
        <v>1.0</v>
      </c>
      <c r="G535" s="3">
        <v>1.0</v>
      </c>
      <c r="H535" s="3">
        <v>1.0</v>
      </c>
      <c r="I535" s="3">
        <v>0.5</v>
      </c>
      <c r="J535" s="3">
        <v>1.0</v>
      </c>
      <c r="K535" s="3">
        <v>0.0</v>
      </c>
      <c r="L535" s="1"/>
      <c r="M535" s="3">
        <v>1.0</v>
      </c>
      <c r="N535" s="3">
        <v>1.0</v>
      </c>
      <c r="O535" s="3">
        <v>1.0</v>
      </c>
      <c r="P535" s="3">
        <v>1.0</v>
      </c>
      <c r="Q535" s="2"/>
      <c r="V535" s="5">
        <f>SUM(B535:P535)/10</f>
        <v>0.85</v>
      </c>
    </row>
    <row r="536">
      <c r="A536" s="2">
        <v>132.0</v>
      </c>
      <c r="B536" s="2">
        <v>7.0038406E7</v>
      </c>
      <c r="C536" s="2">
        <v>213.0</v>
      </c>
      <c r="D536" s="1"/>
      <c r="E536" s="1"/>
      <c r="H536" s="3" t="s">
        <v>1417</v>
      </c>
      <c r="I536" s="3" t="s">
        <v>1418</v>
      </c>
      <c r="J536" s="3" t="s">
        <v>1419</v>
      </c>
      <c r="K536" s="3" t="s">
        <v>192</v>
      </c>
      <c r="L536" s="1"/>
      <c r="M536" s="3" t="s">
        <v>1420</v>
      </c>
      <c r="N536" s="3" t="s">
        <v>1421</v>
      </c>
      <c r="O536" s="3" t="s">
        <v>284</v>
      </c>
      <c r="P536" s="3" t="s">
        <v>232</v>
      </c>
      <c r="Q536" s="2" t="s">
        <v>1422</v>
      </c>
    </row>
    <row r="537">
      <c r="A537" s="2" t="s">
        <v>1423</v>
      </c>
      <c r="B537" s="2"/>
      <c r="C537" s="2"/>
      <c r="D537" s="1"/>
      <c r="E537" s="1"/>
      <c r="F537" s="3">
        <v>1.0</v>
      </c>
      <c r="G537" s="3">
        <v>1.0</v>
      </c>
      <c r="H537" s="3">
        <v>1.0</v>
      </c>
      <c r="I537" s="3">
        <v>1.0</v>
      </c>
      <c r="J537" s="3">
        <v>1.0</v>
      </c>
      <c r="K537" s="3">
        <v>1.0</v>
      </c>
      <c r="L537" s="1"/>
      <c r="M537" s="3">
        <v>1.0</v>
      </c>
      <c r="N537" s="3">
        <v>1.0</v>
      </c>
      <c r="O537" s="3">
        <v>1.0</v>
      </c>
      <c r="P537" s="3">
        <v>1.0</v>
      </c>
      <c r="Q537" s="2"/>
      <c r="V537" s="5">
        <f>SUM(B537:P537)/10</f>
        <v>1</v>
      </c>
    </row>
    <row r="538">
      <c r="A538" s="2">
        <v>133.0</v>
      </c>
      <c r="B538" s="2">
        <v>7.0038406E7</v>
      </c>
      <c r="C538" s="2">
        <v>213.0</v>
      </c>
      <c r="D538" s="1"/>
      <c r="E538" s="1"/>
      <c r="H538" s="3" t="s">
        <v>1424</v>
      </c>
      <c r="I538" s="3" t="s">
        <v>1425</v>
      </c>
      <c r="J538" s="3" t="s">
        <v>1426</v>
      </c>
      <c r="K538" s="3" t="s">
        <v>192</v>
      </c>
      <c r="L538" s="1"/>
      <c r="M538" s="3" t="s">
        <v>1427</v>
      </c>
      <c r="N538" s="3" t="s">
        <v>1421</v>
      </c>
      <c r="O538" s="3" t="s">
        <v>284</v>
      </c>
      <c r="P538" s="3" t="s">
        <v>232</v>
      </c>
      <c r="Q538" s="2" t="s">
        <v>1428</v>
      </c>
    </row>
    <row r="539">
      <c r="A539" s="2" t="s">
        <v>1429</v>
      </c>
      <c r="B539" s="2"/>
      <c r="C539" s="2"/>
      <c r="D539" s="1"/>
      <c r="E539" s="1"/>
      <c r="F539" s="3">
        <v>1.0</v>
      </c>
      <c r="G539" s="3">
        <v>1.0</v>
      </c>
      <c r="H539" s="3">
        <v>1.0</v>
      </c>
      <c r="I539" s="3">
        <v>1.0</v>
      </c>
      <c r="J539" s="3">
        <v>1.0</v>
      </c>
      <c r="K539" s="3">
        <v>1.0</v>
      </c>
      <c r="L539" s="1"/>
      <c r="M539" s="3">
        <v>1.0</v>
      </c>
      <c r="N539" s="3">
        <v>1.0</v>
      </c>
      <c r="O539" s="3">
        <v>1.0</v>
      </c>
      <c r="P539" s="3">
        <v>1.0</v>
      </c>
      <c r="Q539" s="2"/>
      <c r="V539" s="5">
        <f>SUM(B539:P539)/10</f>
        <v>1</v>
      </c>
    </row>
    <row r="540">
      <c r="A540" s="2">
        <v>134.0</v>
      </c>
      <c r="B540" s="2">
        <v>7.0038406E7</v>
      </c>
      <c r="C540" s="2">
        <v>213.0</v>
      </c>
      <c r="D540" s="1"/>
      <c r="E540" s="1"/>
      <c r="H540" s="3" t="s">
        <v>1424</v>
      </c>
      <c r="I540" s="3" t="s">
        <v>1430</v>
      </c>
      <c r="J540" s="3" t="s">
        <v>1431</v>
      </c>
      <c r="K540" s="3" t="s">
        <v>192</v>
      </c>
      <c r="L540" s="1"/>
      <c r="M540" s="3" t="s">
        <v>1427</v>
      </c>
      <c r="N540" s="3" t="s">
        <v>1421</v>
      </c>
      <c r="O540" s="3" t="s">
        <v>284</v>
      </c>
      <c r="P540" s="3" t="s">
        <v>232</v>
      </c>
      <c r="Q540" s="2" t="s">
        <v>1428</v>
      </c>
    </row>
    <row r="541">
      <c r="A541" s="2" t="s">
        <v>1432</v>
      </c>
      <c r="B541" s="2"/>
      <c r="C541" s="2"/>
      <c r="D541" s="1"/>
      <c r="E541" s="1"/>
      <c r="F541" s="3">
        <v>1.0</v>
      </c>
      <c r="G541" s="3">
        <v>1.0</v>
      </c>
      <c r="H541" s="3">
        <v>1.0</v>
      </c>
      <c r="I541" s="3">
        <v>1.0</v>
      </c>
      <c r="J541" s="3">
        <v>1.0</v>
      </c>
      <c r="K541" s="3">
        <v>1.0</v>
      </c>
      <c r="L541" s="1"/>
      <c r="M541" s="3">
        <v>1.0</v>
      </c>
      <c r="N541" s="3">
        <v>1.0</v>
      </c>
      <c r="O541" s="3">
        <v>1.0</v>
      </c>
      <c r="P541" s="3">
        <v>1.0</v>
      </c>
      <c r="Q541" s="2"/>
      <c r="V541" s="5">
        <f>SUM(B541:P541)/10</f>
        <v>1</v>
      </c>
    </row>
    <row r="542">
      <c r="A542" s="2">
        <v>135.0</v>
      </c>
      <c r="B542" s="2">
        <v>7.0038406E7</v>
      </c>
      <c r="C542" s="2">
        <v>213.0</v>
      </c>
      <c r="D542" s="1"/>
      <c r="E542" s="1"/>
      <c r="H542" s="3" t="s">
        <v>1424</v>
      </c>
      <c r="I542" s="3" t="s">
        <v>1433</v>
      </c>
      <c r="J542" s="3" t="s">
        <v>1434</v>
      </c>
      <c r="K542" s="3" t="s">
        <v>192</v>
      </c>
      <c r="L542" s="1"/>
      <c r="M542" s="3" t="s">
        <v>1427</v>
      </c>
      <c r="N542" s="3" t="s">
        <v>1421</v>
      </c>
      <c r="O542" s="3" t="s">
        <v>284</v>
      </c>
      <c r="P542" s="3" t="s">
        <v>232</v>
      </c>
      <c r="Q542" s="2" t="s">
        <v>1428</v>
      </c>
    </row>
    <row r="543">
      <c r="A543" s="2" t="s">
        <v>1435</v>
      </c>
      <c r="B543" s="2"/>
      <c r="C543" s="2"/>
      <c r="D543" s="1"/>
      <c r="E543" s="1"/>
      <c r="F543" s="3">
        <v>1.0</v>
      </c>
      <c r="G543" s="3">
        <v>1.0</v>
      </c>
      <c r="H543" s="3">
        <v>1.0</v>
      </c>
      <c r="I543" s="3">
        <v>1.0</v>
      </c>
      <c r="J543" s="3">
        <v>1.0</v>
      </c>
      <c r="K543" s="3">
        <v>1.0</v>
      </c>
      <c r="L543" s="1"/>
      <c r="M543" s="3">
        <v>1.0</v>
      </c>
      <c r="N543" s="3">
        <v>1.0</v>
      </c>
      <c r="O543" s="3">
        <v>1.0</v>
      </c>
      <c r="P543" s="3">
        <v>1.0</v>
      </c>
      <c r="Q543" s="2"/>
      <c r="V543" s="5">
        <f>SUM(B543:P543)/10</f>
        <v>1</v>
      </c>
    </row>
    <row r="544">
      <c r="A544" s="2">
        <v>136.0</v>
      </c>
      <c r="B544" s="2">
        <v>7.0038406E7</v>
      </c>
      <c r="C544" s="2">
        <v>213.0</v>
      </c>
      <c r="D544" s="1"/>
      <c r="E544" s="1"/>
      <c r="H544" s="3" t="s">
        <v>1436</v>
      </c>
      <c r="I544" s="3" t="s">
        <v>1437</v>
      </c>
      <c r="J544" s="3" t="s">
        <v>1438</v>
      </c>
      <c r="K544" s="3" t="s">
        <v>192</v>
      </c>
      <c r="L544" s="1"/>
      <c r="M544" s="3" t="s">
        <v>1439</v>
      </c>
      <c r="N544" s="3" t="s">
        <v>1421</v>
      </c>
      <c r="O544" s="3" t="s">
        <v>284</v>
      </c>
      <c r="P544" s="3" t="s">
        <v>232</v>
      </c>
      <c r="Q544" s="2" t="s">
        <v>1440</v>
      </c>
    </row>
    <row r="545">
      <c r="A545" s="2" t="s">
        <v>1441</v>
      </c>
      <c r="B545" s="2"/>
      <c r="C545" s="2"/>
      <c r="D545" s="1"/>
      <c r="E545" s="1"/>
      <c r="F545" s="3">
        <v>1.0</v>
      </c>
      <c r="G545" s="3">
        <v>1.0</v>
      </c>
      <c r="H545" s="3">
        <v>1.0</v>
      </c>
      <c r="I545" s="3">
        <v>1.0</v>
      </c>
      <c r="J545" s="3">
        <v>1.0</v>
      </c>
      <c r="K545" s="3">
        <v>1.0</v>
      </c>
      <c r="L545" s="1"/>
      <c r="M545" s="3">
        <v>0.5</v>
      </c>
      <c r="N545" s="3">
        <v>1.0</v>
      </c>
      <c r="O545" s="3">
        <v>1.0</v>
      </c>
      <c r="P545" s="3">
        <v>1.0</v>
      </c>
      <c r="Q545" s="2"/>
      <c r="V545" s="5">
        <f>SUM(B545:P545)/10</f>
        <v>0.95</v>
      </c>
    </row>
    <row r="546">
      <c r="A546" s="2">
        <v>137.0</v>
      </c>
      <c r="B546" s="2">
        <v>7.0038406E7</v>
      </c>
      <c r="C546" s="2">
        <v>213.0</v>
      </c>
      <c r="D546" s="1"/>
      <c r="E546" s="1"/>
      <c r="H546" s="3" t="s">
        <v>1442</v>
      </c>
      <c r="I546" s="3" t="s">
        <v>1443</v>
      </c>
      <c r="J546" s="3" t="s">
        <v>1444</v>
      </c>
      <c r="K546" s="3" t="s">
        <v>192</v>
      </c>
      <c r="L546" s="1"/>
      <c r="M546" s="3" t="s">
        <v>1445</v>
      </c>
      <c r="N546" s="3" t="s">
        <v>1421</v>
      </c>
      <c r="O546" s="3" t="s">
        <v>284</v>
      </c>
      <c r="P546" s="3" t="s">
        <v>232</v>
      </c>
      <c r="Q546" s="2" t="s">
        <v>1440</v>
      </c>
    </row>
    <row r="547">
      <c r="A547" s="2" t="s">
        <v>1446</v>
      </c>
      <c r="B547" s="2"/>
      <c r="C547" s="2"/>
      <c r="D547" s="1"/>
      <c r="E547" s="1"/>
      <c r="F547" s="3">
        <v>1.0</v>
      </c>
      <c r="G547" s="3">
        <v>1.0</v>
      </c>
      <c r="H547" s="3">
        <v>1.0</v>
      </c>
      <c r="I547" s="3">
        <v>1.0</v>
      </c>
      <c r="J547" s="3">
        <v>1.0</v>
      </c>
      <c r="K547" s="3">
        <v>1.0</v>
      </c>
      <c r="L547" s="1"/>
      <c r="M547" s="3">
        <v>0.5</v>
      </c>
      <c r="N547" s="3">
        <v>1.0</v>
      </c>
      <c r="O547" s="3">
        <v>1.0</v>
      </c>
      <c r="P547" s="3">
        <v>1.0</v>
      </c>
      <c r="Q547" s="2"/>
      <c r="V547" s="5">
        <f>SUM(B547:P547)/10</f>
        <v>0.95</v>
      </c>
    </row>
    <row r="548">
      <c r="A548" s="2">
        <v>274.0</v>
      </c>
      <c r="B548" s="2">
        <v>7.0038413E7</v>
      </c>
      <c r="C548" s="2">
        <v>241.0</v>
      </c>
      <c r="D548" s="1"/>
      <c r="E548" s="1"/>
      <c r="F548" s="3">
        <v>34.1916667</v>
      </c>
      <c r="G548" s="3">
        <v>-118.0163889</v>
      </c>
      <c r="H548" s="3" t="s">
        <v>1447</v>
      </c>
      <c r="I548" s="3" t="s">
        <v>1448</v>
      </c>
      <c r="J548" s="3" t="s">
        <v>1449</v>
      </c>
      <c r="K548" s="3" t="s">
        <v>130</v>
      </c>
      <c r="L548" s="1"/>
      <c r="M548" s="3" t="s">
        <v>1450</v>
      </c>
      <c r="N548" s="3" t="s">
        <v>56</v>
      </c>
      <c r="O548" s="3" t="s">
        <v>1451</v>
      </c>
      <c r="P548" s="3" t="s">
        <v>24</v>
      </c>
      <c r="Q548" s="2" t="s">
        <v>1452</v>
      </c>
    </row>
    <row r="549">
      <c r="A549" s="2" t="s">
        <v>1453</v>
      </c>
      <c r="B549" s="2"/>
      <c r="C549" s="2"/>
      <c r="D549" s="1"/>
      <c r="E549" s="1"/>
      <c r="F549" s="3">
        <v>1.0</v>
      </c>
      <c r="G549" s="3">
        <v>1.0</v>
      </c>
      <c r="H549" s="3">
        <v>1.0</v>
      </c>
      <c r="I549" s="3">
        <v>0.5</v>
      </c>
      <c r="J549" s="3">
        <v>1.0</v>
      </c>
      <c r="K549" s="3">
        <v>1.0</v>
      </c>
      <c r="L549" s="1"/>
      <c r="M549" s="3">
        <v>1.0</v>
      </c>
      <c r="N549" s="3">
        <v>1.0</v>
      </c>
      <c r="O549" s="3">
        <v>1.0</v>
      </c>
      <c r="P549" s="3">
        <v>1.0</v>
      </c>
      <c r="Q549" s="2"/>
      <c r="V549" s="5">
        <f>SUM(B549:P549)/10</f>
        <v>0.95</v>
      </c>
    </row>
    <row r="550">
      <c r="A550" s="2">
        <v>100.0</v>
      </c>
      <c r="B550" s="2">
        <v>7.0038414E7</v>
      </c>
      <c r="C550" s="2">
        <v>210.0</v>
      </c>
      <c r="D550" s="1"/>
      <c r="E550" s="1"/>
      <c r="F550" s="3">
        <v>37.9375</v>
      </c>
      <c r="G550" s="3">
        <v>-119.7972222</v>
      </c>
      <c r="H550" s="3" t="s">
        <v>1454</v>
      </c>
      <c r="I550" s="3" t="s">
        <v>1455</v>
      </c>
      <c r="J550" s="3" t="s">
        <v>1456</v>
      </c>
      <c r="K550" s="3" t="s">
        <v>162</v>
      </c>
      <c r="L550" s="1"/>
      <c r="M550" s="3" t="s">
        <v>1457</v>
      </c>
      <c r="N550" s="3" t="s">
        <v>56</v>
      </c>
      <c r="O550" s="3" t="s">
        <v>1458</v>
      </c>
      <c r="P550" s="3" t="s">
        <v>24</v>
      </c>
      <c r="Q550" s="2" t="s">
        <v>1459</v>
      </c>
    </row>
    <row r="551">
      <c r="A551" s="2" t="s">
        <v>1460</v>
      </c>
      <c r="B551" s="2"/>
      <c r="C551" s="2"/>
      <c r="D551" s="1"/>
      <c r="E551" s="1"/>
      <c r="F551" s="3">
        <v>1.0</v>
      </c>
      <c r="G551" s="3">
        <v>1.0</v>
      </c>
      <c r="H551" s="3">
        <v>1.0</v>
      </c>
      <c r="I551" s="3">
        <v>0.5</v>
      </c>
      <c r="J551" s="3">
        <v>1.0</v>
      </c>
      <c r="K551" s="3">
        <v>1.0</v>
      </c>
      <c r="L551" s="1"/>
      <c r="M551" s="3">
        <v>1.0</v>
      </c>
      <c r="N551" s="3">
        <v>1.0</v>
      </c>
      <c r="O551" s="3">
        <v>1.0</v>
      </c>
      <c r="P551" s="3">
        <v>1.0</v>
      </c>
      <c r="Q551" s="2"/>
      <c r="V551" s="5">
        <f>SUM(B551:P551)/10</f>
        <v>0.95</v>
      </c>
    </row>
    <row r="552">
      <c r="A552" s="2">
        <v>272.0</v>
      </c>
      <c r="B552" s="2">
        <v>7.0038668E7</v>
      </c>
      <c r="C552" s="2">
        <v>242.0</v>
      </c>
      <c r="D552" s="1"/>
      <c r="E552" s="1"/>
      <c r="F552" s="3">
        <v>34.4591666667</v>
      </c>
      <c r="G552" s="3">
        <v>-119.808055556</v>
      </c>
      <c r="H552" s="3" t="s">
        <v>1461</v>
      </c>
      <c r="J552" s="3" t="s">
        <v>1462</v>
      </c>
      <c r="K552" s="3" t="s">
        <v>192</v>
      </c>
      <c r="L552" s="1"/>
      <c r="M552" s="3" t="s">
        <v>1463</v>
      </c>
      <c r="N552" s="3" t="s">
        <v>56</v>
      </c>
      <c r="O552" s="3" t="s">
        <v>1464</v>
      </c>
      <c r="P552" s="3" t="s">
        <v>24</v>
      </c>
      <c r="Q552" s="2" t="s">
        <v>1465</v>
      </c>
    </row>
    <row r="553">
      <c r="A553" s="2" t="s">
        <v>1466</v>
      </c>
      <c r="B553" s="2"/>
      <c r="C553" s="2"/>
      <c r="D553" s="1"/>
      <c r="E553" s="1"/>
      <c r="F553" s="3">
        <v>1.0</v>
      </c>
      <c r="G553" s="3">
        <v>1.0</v>
      </c>
      <c r="H553" s="3">
        <v>1.0</v>
      </c>
      <c r="I553" s="3">
        <v>1.0</v>
      </c>
      <c r="J553" s="3">
        <v>1.0</v>
      </c>
      <c r="K553" s="3">
        <v>1.0</v>
      </c>
      <c r="L553" s="1"/>
      <c r="M553" s="3">
        <v>1.0</v>
      </c>
      <c r="N553" s="3">
        <v>1.0</v>
      </c>
      <c r="O553" s="3">
        <v>1.0</v>
      </c>
      <c r="P553" s="3">
        <v>1.0</v>
      </c>
      <c r="Q553" s="2"/>
      <c r="V553" s="5">
        <f>SUM(B553:P553)/10</f>
        <v>1</v>
      </c>
    </row>
    <row r="554">
      <c r="A554" s="2">
        <v>121.0</v>
      </c>
      <c r="B554" s="2">
        <v>7.0038668E7</v>
      </c>
      <c r="C554" s="2">
        <v>444.0</v>
      </c>
      <c r="D554" s="1"/>
      <c r="E554" s="1"/>
      <c r="F554" s="3">
        <v>42.084722</v>
      </c>
      <c r="G554" s="3">
        <v>-122.072222</v>
      </c>
      <c r="H554" s="3" t="s">
        <v>1467</v>
      </c>
      <c r="I554" s="3" t="s">
        <v>1468</v>
      </c>
      <c r="J554" s="3" t="s">
        <v>1469</v>
      </c>
      <c r="L554" s="2" t="s">
        <v>864</v>
      </c>
      <c r="M554" s="3" t="s">
        <v>1470</v>
      </c>
      <c r="N554" s="3" t="s">
        <v>56</v>
      </c>
      <c r="O554" s="3" t="s">
        <v>165</v>
      </c>
      <c r="P554" s="3" t="s">
        <v>24</v>
      </c>
      <c r="Q554" s="2" t="s">
        <v>1471</v>
      </c>
    </row>
    <row r="555">
      <c r="A555" s="2" t="s">
        <v>1472</v>
      </c>
      <c r="B555" s="2"/>
      <c r="C555" s="2"/>
      <c r="D555" s="1"/>
      <c r="E555" s="1"/>
      <c r="F555" s="3">
        <v>1.0</v>
      </c>
      <c r="G555" s="3">
        <v>1.0</v>
      </c>
      <c r="H555" s="3">
        <v>1.0</v>
      </c>
      <c r="I555" s="3">
        <v>0.5</v>
      </c>
      <c r="J555" s="3">
        <v>1.0</v>
      </c>
      <c r="K555" s="3">
        <v>1.0</v>
      </c>
      <c r="L555" s="2"/>
      <c r="M555" s="3">
        <v>1.0</v>
      </c>
      <c r="N555" s="3">
        <v>1.0</v>
      </c>
      <c r="O555" s="3">
        <v>1.0</v>
      </c>
      <c r="P555" s="3">
        <v>1.0</v>
      </c>
      <c r="Q555" s="2"/>
      <c r="V555" s="5">
        <f>SUM(B555:P555)/10</f>
        <v>0.95</v>
      </c>
    </row>
    <row r="556">
      <c r="A556" s="2">
        <v>154.0</v>
      </c>
      <c r="B556" s="2">
        <v>7.0038673E7</v>
      </c>
      <c r="C556" s="2">
        <v>137.0</v>
      </c>
      <c r="D556" s="1"/>
      <c r="E556" s="1"/>
      <c r="F556" s="3">
        <v>32.4444</v>
      </c>
      <c r="G556" s="3">
        <v>-116.9069</v>
      </c>
      <c r="H556" s="3" t="s">
        <v>1473</v>
      </c>
      <c r="I556" s="3" t="s">
        <v>18</v>
      </c>
      <c r="J556" s="3" t="s">
        <v>1474</v>
      </c>
      <c r="L556" s="2" t="s">
        <v>1475</v>
      </c>
      <c r="M556" s="3" t="s">
        <v>1476</v>
      </c>
      <c r="N556" s="3" t="s">
        <v>22</v>
      </c>
      <c r="O556" s="3" t="s">
        <v>613</v>
      </c>
      <c r="P556" s="3" t="s">
        <v>74</v>
      </c>
      <c r="Q556" s="2" t="s">
        <v>1477</v>
      </c>
    </row>
    <row r="557">
      <c r="A557" s="2" t="s">
        <v>1478</v>
      </c>
      <c r="B557" s="2"/>
      <c r="C557" s="2"/>
      <c r="D557" s="1"/>
      <c r="E557" s="1"/>
      <c r="F557" s="3">
        <v>1.0</v>
      </c>
      <c r="G557" s="3">
        <v>1.0</v>
      </c>
      <c r="H557" s="3">
        <v>1.0</v>
      </c>
      <c r="I557" s="3">
        <v>1.0</v>
      </c>
      <c r="J557" s="3">
        <v>1.0</v>
      </c>
      <c r="K557" s="3">
        <v>1.0</v>
      </c>
      <c r="L557" s="2"/>
      <c r="M557" s="3">
        <v>1.0</v>
      </c>
      <c r="N557" s="3">
        <v>1.0</v>
      </c>
      <c r="O557" s="3">
        <v>1.0</v>
      </c>
      <c r="P557" s="3">
        <v>1.0</v>
      </c>
      <c r="Q557" s="2"/>
      <c r="V557" s="5">
        <f>SUM(B557:P557)/10</f>
        <v>1</v>
      </c>
    </row>
    <row r="558">
      <c r="A558" s="2">
        <v>228.0</v>
      </c>
      <c r="B558" s="2">
        <v>7.0038673E7</v>
      </c>
      <c r="C558" s="2">
        <v>351.0</v>
      </c>
      <c r="D558" s="1"/>
      <c r="E558" s="1"/>
      <c r="F558" s="3">
        <v>36.992917</v>
      </c>
      <c r="G558" s="3">
        <v>-121.572222</v>
      </c>
      <c r="H558" s="3" t="s">
        <v>1479</v>
      </c>
      <c r="I558" s="3" t="s">
        <v>18</v>
      </c>
      <c r="J558" s="3" t="s">
        <v>1480</v>
      </c>
      <c r="K558" s="3" t="s">
        <v>372</v>
      </c>
      <c r="L558" s="1"/>
      <c r="M558" s="3" t="s">
        <v>652</v>
      </c>
      <c r="N558" s="3" t="s">
        <v>56</v>
      </c>
      <c r="O558" s="3" t="s">
        <v>1481</v>
      </c>
      <c r="P558" s="3" t="s">
        <v>24</v>
      </c>
      <c r="Q558" s="2" t="s">
        <v>1482</v>
      </c>
    </row>
    <row r="559">
      <c r="A559" s="2" t="s">
        <v>1483</v>
      </c>
      <c r="B559" s="2"/>
      <c r="C559" s="2"/>
      <c r="D559" s="1"/>
      <c r="E559" s="1"/>
      <c r="F559" s="3">
        <v>1.0</v>
      </c>
      <c r="G559" s="3">
        <v>1.0</v>
      </c>
      <c r="H559" s="3">
        <v>1.0</v>
      </c>
      <c r="I559" s="3">
        <v>1.0</v>
      </c>
      <c r="J559" s="3">
        <v>1.0</v>
      </c>
      <c r="K559" s="3">
        <v>1.0</v>
      </c>
      <c r="L559" s="1"/>
      <c r="M559" s="3">
        <v>1.0</v>
      </c>
      <c r="N559" s="3">
        <v>1.0</v>
      </c>
      <c r="O559" s="3">
        <v>1.0</v>
      </c>
      <c r="P559" s="3">
        <v>1.0</v>
      </c>
      <c r="Q559" s="2"/>
      <c r="V559" s="5">
        <f>SUM(B559:P559)/10</f>
        <v>1</v>
      </c>
    </row>
    <row r="560">
      <c r="A560" s="2">
        <v>126.0</v>
      </c>
      <c r="B560" s="2">
        <v>7.0038675E7</v>
      </c>
      <c r="C560" s="2">
        <v>322.0</v>
      </c>
      <c r="D560" s="1"/>
      <c r="E560" s="1"/>
      <c r="F560" s="3">
        <v>35.337222</v>
      </c>
      <c r="G560" s="3">
        <v>-120.502222</v>
      </c>
      <c r="H560" s="3" t="s">
        <v>1484</v>
      </c>
      <c r="I560" s="3" t="s">
        <v>1485</v>
      </c>
      <c r="J560" s="3" t="s">
        <v>1486</v>
      </c>
      <c r="K560" s="3" t="s">
        <v>138</v>
      </c>
      <c r="L560" s="1"/>
      <c r="M560" s="3" t="s">
        <v>1487</v>
      </c>
      <c r="N560" s="3" t="s">
        <v>56</v>
      </c>
      <c r="O560" s="3" t="s">
        <v>1488</v>
      </c>
      <c r="P560" s="3" t="s">
        <v>74</v>
      </c>
      <c r="Q560" s="2" t="s">
        <v>1489</v>
      </c>
    </row>
    <row r="561">
      <c r="A561" s="2" t="s">
        <v>1490</v>
      </c>
      <c r="B561" s="2"/>
      <c r="C561" s="2"/>
      <c r="D561" s="1"/>
      <c r="E561" s="1"/>
      <c r="F561" s="3">
        <v>1.0</v>
      </c>
      <c r="G561" s="3">
        <v>1.0</v>
      </c>
      <c r="H561" s="3">
        <v>0.0</v>
      </c>
      <c r="I561" s="3">
        <v>0.5</v>
      </c>
      <c r="J561" s="3">
        <v>1.0</v>
      </c>
      <c r="K561" s="3">
        <v>1.0</v>
      </c>
      <c r="L561" s="1"/>
      <c r="M561" s="3">
        <v>1.0</v>
      </c>
      <c r="N561" s="3">
        <v>1.0</v>
      </c>
      <c r="O561" s="3">
        <v>1.0</v>
      </c>
      <c r="P561" s="3">
        <v>1.0</v>
      </c>
      <c r="Q561" s="2"/>
      <c r="V561" s="5">
        <f>SUM(B561:P561)/10</f>
        <v>0.85</v>
      </c>
    </row>
    <row r="562">
      <c r="A562" s="2">
        <v>158.0</v>
      </c>
      <c r="B562" s="2">
        <v>7.0038675E7</v>
      </c>
      <c r="C562" s="2">
        <v>402.0</v>
      </c>
      <c r="D562" s="1"/>
      <c r="E562" s="1"/>
      <c r="F562" s="3">
        <v>37.9613888889</v>
      </c>
      <c r="G562" s="3">
        <v>-122.3591666667</v>
      </c>
      <c r="H562" s="3" t="s">
        <v>1491</v>
      </c>
      <c r="J562" s="3" t="s">
        <v>1492</v>
      </c>
      <c r="K562" s="3" t="s">
        <v>700</v>
      </c>
      <c r="L562" s="1"/>
      <c r="M562" s="3" t="s">
        <v>1493</v>
      </c>
      <c r="N562" s="3" t="s">
        <v>56</v>
      </c>
      <c r="O562" s="3" t="s">
        <v>1494</v>
      </c>
      <c r="P562" s="3" t="s">
        <v>24</v>
      </c>
      <c r="Q562" s="2" t="s">
        <v>1495</v>
      </c>
    </row>
    <row r="563">
      <c r="A563" s="2" t="s">
        <v>1496</v>
      </c>
      <c r="B563" s="2"/>
      <c r="C563" s="2"/>
      <c r="D563" s="1"/>
      <c r="E563" s="1"/>
      <c r="F563" s="3">
        <v>1.0</v>
      </c>
      <c r="G563" s="3">
        <v>1.0</v>
      </c>
      <c r="H563" s="3">
        <v>1.0</v>
      </c>
      <c r="I563" s="3">
        <v>1.0</v>
      </c>
      <c r="J563" s="3">
        <v>1.0</v>
      </c>
      <c r="K563" s="3">
        <v>1.0</v>
      </c>
      <c r="L563" s="1"/>
      <c r="M563" s="3">
        <v>1.0</v>
      </c>
      <c r="N563" s="3">
        <v>1.0</v>
      </c>
      <c r="O563" s="3">
        <v>1.0</v>
      </c>
      <c r="P563" s="3">
        <v>1.0</v>
      </c>
      <c r="Q563" s="2"/>
      <c r="V563" s="5">
        <f>SUM(B563:P563)/10</f>
        <v>1</v>
      </c>
    </row>
    <row r="564">
      <c r="A564" s="2">
        <v>88.0</v>
      </c>
      <c r="B564" s="2">
        <v>7.0038676E7</v>
      </c>
      <c r="C564" s="2">
        <v>134.0</v>
      </c>
      <c r="D564" s="1"/>
      <c r="E564" s="1"/>
      <c r="F564" s="3">
        <v>36.9163889</v>
      </c>
      <c r="G564" s="3">
        <v>-119.2436111</v>
      </c>
      <c r="H564" s="3" t="s">
        <v>1497</v>
      </c>
      <c r="I564" s="3" t="s">
        <v>1498</v>
      </c>
      <c r="J564" s="3" t="s">
        <v>1499</v>
      </c>
      <c r="K564" s="3" t="s">
        <v>618</v>
      </c>
      <c r="L564" s="1"/>
      <c r="M564" s="3" t="s">
        <v>1493</v>
      </c>
      <c r="N564" s="3" t="s">
        <v>56</v>
      </c>
      <c r="O564" s="3" t="s">
        <v>1500</v>
      </c>
      <c r="P564" s="3" t="s">
        <v>24</v>
      </c>
      <c r="Q564" s="2" t="s">
        <v>1501</v>
      </c>
    </row>
    <row r="565">
      <c r="A565" s="2" t="s">
        <v>1502</v>
      </c>
      <c r="B565" s="2"/>
      <c r="C565" s="2"/>
      <c r="D565" s="1"/>
      <c r="E565" s="1"/>
      <c r="F565" s="3">
        <v>1.0</v>
      </c>
      <c r="G565" s="3">
        <v>1.0</v>
      </c>
      <c r="H565" s="3">
        <v>1.0</v>
      </c>
      <c r="I565" s="3">
        <v>0.5</v>
      </c>
      <c r="J565" s="3">
        <v>1.0</v>
      </c>
      <c r="K565" s="3">
        <v>1.0</v>
      </c>
      <c r="L565" s="1"/>
      <c r="M565" s="3">
        <v>1.0</v>
      </c>
      <c r="N565" s="3">
        <v>1.0</v>
      </c>
      <c r="O565" s="3">
        <v>1.0</v>
      </c>
      <c r="P565" s="3">
        <v>1.0</v>
      </c>
      <c r="Q565" s="2"/>
      <c r="V565" s="5">
        <f>SUM(B565:P565)/10</f>
        <v>0.95</v>
      </c>
    </row>
    <row r="566">
      <c r="A566" s="2">
        <v>74.0</v>
      </c>
      <c r="B566" s="2">
        <v>7.0038677E7</v>
      </c>
      <c r="C566" s="2">
        <v>457.0</v>
      </c>
      <c r="D566" s="2">
        <v>35.5167</v>
      </c>
      <c r="E566" s="2">
        <v>-118.8667</v>
      </c>
      <c r="H566" s="3" t="s">
        <v>1503</v>
      </c>
      <c r="I566" s="3" t="s">
        <v>18</v>
      </c>
      <c r="J566" s="3" t="s">
        <v>1504</v>
      </c>
      <c r="K566" s="3" t="s">
        <v>573</v>
      </c>
      <c r="L566" s="2" t="s">
        <v>573</v>
      </c>
      <c r="M566" s="3" t="s">
        <v>1505</v>
      </c>
      <c r="N566" s="3" t="s">
        <v>1506</v>
      </c>
      <c r="O566" s="3" t="s">
        <v>1507</v>
      </c>
      <c r="P566" s="3" t="s">
        <v>24</v>
      </c>
      <c r="Q566" s="2" t="s">
        <v>1508</v>
      </c>
    </row>
    <row r="567">
      <c r="A567" s="2" t="s">
        <v>1509</v>
      </c>
      <c r="B567" s="2"/>
      <c r="C567" s="2"/>
      <c r="D567" s="2"/>
      <c r="E567" s="2"/>
      <c r="F567" s="3">
        <v>1.0</v>
      </c>
      <c r="G567" s="3">
        <v>1.0</v>
      </c>
      <c r="H567" s="3">
        <v>1.0</v>
      </c>
      <c r="I567" s="3">
        <v>1.0</v>
      </c>
      <c r="J567" s="3">
        <v>1.0</v>
      </c>
      <c r="K567" s="3">
        <v>0.0</v>
      </c>
      <c r="L567" s="2"/>
      <c r="M567" s="3">
        <v>1.0</v>
      </c>
      <c r="N567" s="3">
        <v>1.0</v>
      </c>
      <c r="O567" s="3">
        <v>1.0</v>
      </c>
      <c r="P567" s="3">
        <v>1.0</v>
      </c>
      <c r="Q567" s="2"/>
      <c r="V567" s="5">
        <f>SUM(B567:P567)/10</f>
        <v>0.9</v>
      </c>
    </row>
    <row r="568">
      <c r="A568" s="2">
        <v>75.0</v>
      </c>
      <c r="B568" s="2">
        <v>7.0038677E7</v>
      </c>
      <c r="C568" s="2">
        <v>457.0</v>
      </c>
      <c r="D568" s="2">
        <v>36.4833</v>
      </c>
      <c r="E568" s="2">
        <v>-119.7</v>
      </c>
      <c r="H568" s="3" t="s">
        <v>1510</v>
      </c>
      <c r="I568" s="3" t="s">
        <v>18</v>
      </c>
      <c r="J568" s="3" t="s">
        <v>1511</v>
      </c>
      <c r="K568" s="3" t="s">
        <v>618</v>
      </c>
      <c r="L568" s="2" t="s">
        <v>618</v>
      </c>
      <c r="M568" s="3" t="s">
        <v>1512</v>
      </c>
      <c r="N568" s="3" t="s">
        <v>1513</v>
      </c>
      <c r="O568" s="3" t="s">
        <v>1507</v>
      </c>
      <c r="P568" s="3" t="s">
        <v>24</v>
      </c>
      <c r="Q568" s="2" t="s">
        <v>1508</v>
      </c>
    </row>
    <row r="569">
      <c r="A569" s="2" t="s">
        <v>1514</v>
      </c>
      <c r="B569" s="2"/>
      <c r="C569" s="2"/>
      <c r="D569" s="2"/>
      <c r="E569" s="2"/>
      <c r="F569" s="3">
        <v>1.0</v>
      </c>
      <c r="G569" s="3">
        <v>1.0</v>
      </c>
      <c r="H569" s="3">
        <v>1.0</v>
      </c>
      <c r="I569" s="3">
        <v>1.0</v>
      </c>
      <c r="J569" s="3">
        <v>1.0</v>
      </c>
      <c r="K569" s="3">
        <v>0.0</v>
      </c>
      <c r="L569" s="2"/>
      <c r="M569" s="3">
        <v>1.0</v>
      </c>
      <c r="N569" s="3">
        <v>1.0</v>
      </c>
      <c r="O569" s="3">
        <v>1.0</v>
      </c>
      <c r="P569" s="3">
        <v>1.0</v>
      </c>
      <c r="Q569" s="2"/>
      <c r="V569" s="5">
        <f>SUM(B569:P569)/10</f>
        <v>0.9</v>
      </c>
    </row>
    <row r="570">
      <c r="A570" s="2">
        <v>76.0</v>
      </c>
      <c r="B570" s="2">
        <v>7.0038677E7</v>
      </c>
      <c r="C570" s="2">
        <v>457.0</v>
      </c>
      <c r="D570" s="2">
        <v>37.5325</v>
      </c>
      <c r="E570" s="2">
        <v>-120.9</v>
      </c>
      <c r="H570" s="3" t="s">
        <v>1515</v>
      </c>
      <c r="I570" s="3" t="s">
        <v>18</v>
      </c>
      <c r="J570" s="3" t="s">
        <v>1516</v>
      </c>
      <c r="K570" s="3" t="s">
        <v>54</v>
      </c>
      <c r="L570" s="2" t="s">
        <v>54</v>
      </c>
      <c r="M570" s="3" t="s">
        <v>1517</v>
      </c>
      <c r="N570" s="3" t="s">
        <v>1518</v>
      </c>
      <c r="O570" s="3" t="s">
        <v>1507</v>
      </c>
      <c r="P570" s="3" t="s">
        <v>1519</v>
      </c>
      <c r="Q570" s="2" t="s">
        <v>1508</v>
      </c>
    </row>
    <row r="571">
      <c r="A571" s="2" t="s">
        <v>1520</v>
      </c>
      <c r="B571" s="2"/>
      <c r="C571" s="2"/>
      <c r="D571" s="2"/>
      <c r="E571" s="2"/>
      <c r="F571" s="3">
        <v>1.0</v>
      </c>
      <c r="G571" s="3">
        <v>1.0</v>
      </c>
      <c r="H571" s="3">
        <v>1.0</v>
      </c>
      <c r="I571" s="3">
        <v>1.0</v>
      </c>
      <c r="J571" s="3">
        <v>1.0</v>
      </c>
      <c r="K571" s="3">
        <v>0.0</v>
      </c>
      <c r="L571" s="2"/>
      <c r="M571" s="3">
        <v>1.0</v>
      </c>
      <c r="N571" s="3">
        <v>1.0</v>
      </c>
      <c r="O571" s="3">
        <v>1.0</v>
      </c>
      <c r="P571" s="3">
        <v>1.0</v>
      </c>
      <c r="Q571" s="2"/>
      <c r="V571" s="5">
        <f>SUM(B571:P571)/10</f>
        <v>0.9</v>
      </c>
    </row>
    <row r="572">
      <c r="A572" s="2">
        <v>77.0</v>
      </c>
      <c r="B572" s="2">
        <v>7.0038677E7</v>
      </c>
      <c r="C572" s="2">
        <v>457.0</v>
      </c>
      <c r="D572" s="2">
        <v>35.5667</v>
      </c>
      <c r="E572" s="2">
        <v>-118.8333</v>
      </c>
      <c r="H572" s="3" t="s">
        <v>1521</v>
      </c>
      <c r="I572" s="3" t="s">
        <v>18</v>
      </c>
      <c r="J572" s="3" t="s">
        <v>1522</v>
      </c>
      <c r="K572" s="3" t="s">
        <v>573</v>
      </c>
      <c r="L572" s="2" t="s">
        <v>573</v>
      </c>
      <c r="M572" s="3" t="s">
        <v>1523</v>
      </c>
      <c r="N572" s="3" t="s">
        <v>1524</v>
      </c>
      <c r="O572" s="3" t="s">
        <v>1525</v>
      </c>
      <c r="P572" s="3" t="s">
        <v>1526</v>
      </c>
      <c r="Q572" s="2" t="s">
        <v>1527</v>
      </c>
    </row>
    <row r="573">
      <c r="A573" s="2" t="s">
        <v>1528</v>
      </c>
      <c r="B573" s="2"/>
      <c r="C573" s="2"/>
      <c r="D573" s="2"/>
      <c r="E573" s="2"/>
      <c r="F573" s="3">
        <v>1.0</v>
      </c>
      <c r="G573" s="3">
        <v>1.0</v>
      </c>
      <c r="H573" s="3">
        <v>1.0</v>
      </c>
      <c r="I573" s="3">
        <v>1.0</v>
      </c>
      <c r="J573" s="3">
        <v>1.0</v>
      </c>
      <c r="K573" s="3">
        <v>0.0</v>
      </c>
      <c r="L573" s="2"/>
      <c r="M573" s="3">
        <v>1.0</v>
      </c>
      <c r="N573" s="3">
        <v>1.0</v>
      </c>
      <c r="O573" s="3">
        <v>1.0</v>
      </c>
      <c r="P573" s="3">
        <v>1.0</v>
      </c>
      <c r="Q573" s="2"/>
      <c r="V573" s="5">
        <f>SUM(B573:P573)/10</f>
        <v>0.9</v>
      </c>
    </row>
    <row r="574">
      <c r="A574" s="2">
        <v>78.0</v>
      </c>
      <c r="B574" s="2">
        <v>7.0038677E7</v>
      </c>
      <c r="C574" s="2">
        <v>457.0</v>
      </c>
      <c r="D574" s="2">
        <v>35.5667</v>
      </c>
      <c r="E574" s="2">
        <v>-118.8333</v>
      </c>
      <c r="H574" s="3" t="s">
        <v>1529</v>
      </c>
      <c r="I574" s="3" t="s">
        <v>18</v>
      </c>
      <c r="J574" s="3" t="s">
        <v>1530</v>
      </c>
      <c r="K574" s="3" t="s">
        <v>573</v>
      </c>
      <c r="L574" s="2" t="s">
        <v>573</v>
      </c>
      <c r="M574" s="3" t="s">
        <v>1531</v>
      </c>
      <c r="N574" s="3" t="s">
        <v>1524</v>
      </c>
      <c r="O574" s="3" t="s">
        <v>1525</v>
      </c>
      <c r="P574" s="3" t="s">
        <v>1526</v>
      </c>
      <c r="Q574" s="2" t="s">
        <v>1527</v>
      </c>
    </row>
    <row r="575">
      <c r="A575" s="2" t="s">
        <v>1532</v>
      </c>
      <c r="B575" s="2"/>
      <c r="C575" s="2"/>
      <c r="D575" s="2"/>
      <c r="E575" s="2"/>
      <c r="F575" s="3">
        <v>1.0</v>
      </c>
      <c r="G575" s="3">
        <v>1.0</v>
      </c>
      <c r="H575" s="3">
        <v>1.0</v>
      </c>
      <c r="I575" s="3">
        <v>1.0</v>
      </c>
      <c r="J575" s="3">
        <v>1.0</v>
      </c>
      <c r="K575" s="3">
        <v>0.0</v>
      </c>
      <c r="L575" s="2"/>
      <c r="M575" s="3">
        <v>1.0</v>
      </c>
      <c r="N575" s="3">
        <v>1.0</v>
      </c>
      <c r="O575" s="3">
        <v>1.0</v>
      </c>
      <c r="P575" s="3">
        <v>1.0</v>
      </c>
      <c r="Q575" s="2"/>
      <c r="V575" s="5">
        <f>SUM(B575:P575)/10</f>
        <v>0.9</v>
      </c>
    </row>
    <row r="576">
      <c r="A576" s="2">
        <v>79.0</v>
      </c>
      <c r="B576" s="2">
        <v>7.0038677E7</v>
      </c>
      <c r="C576" s="2">
        <v>457.0</v>
      </c>
      <c r="D576" s="2">
        <v>35.5667</v>
      </c>
      <c r="E576" s="2">
        <v>-118.8333</v>
      </c>
      <c r="H576" s="3" t="s">
        <v>1521</v>
      </c>
      <c r="I576" s="3" t="s">
        <v>18</v>
      </c>
      <c r="J576" s="3" t="s">
        <v>1533</v>
      </c>
      <c r="K576" s="3" t="s">
        <v>573</v>
      </c>
      <c r="L576" s="2" t="s">
        <v>573</v>
      </c>
      <c r="M576" s="3" t="s">
        <v>1534</v>
      </c>
      <c r="N576" s="3" t="s">
        <v>1524</v>
      </c>
      <c r="O576" s="3" t="s">
        <v>1525</v>
      </c>
      <c r="P576" s="3" t="s">
        <v>1526</v>
      </c>
      <c r="Q576" s="2" t="s">
        <v>1527</v>
      </c>
    </row>
    <row r="577">
      <c r="A577" s="2" t="s">
        <v>1535</v>
      </c>
      <c r="B577" s="2"/>
      <c r="C577" s="2"/>
      <c r="D577" s="2"/>
      <c r="E577" s="2"/>
      <c r="F577" s="3">
        <v>1.0</v>
      </c>
      <c r="G577" s="3">
        <v>1.0</v>
      </c>
      <c r="H577" s="3">
        <v>1.0</v>
      </c>
      <c r="I577" s="3">
        <v>1.0</v>
      </c>
      <c r="J577" s="3">
        <v>1.0</v>
      </c>
      <c r="K577" s="3">
        <v>0.0</v>
      </c>
      <c r="L577" s="2"/>
      <c r="M577" s="3">
        <v>1.0</v>
      </c>
      <c r="N577" s="3">
        <v>1.0</v>
      </c>
      <c r="O577" s="3">
        <v>1.0</v>
      </c>
      <c r="P577" s="3">
        <v>1.0</v>
      </c>
      <c r="Q577" s="2"/>
      <c r="V577" s="5">
        <f>SUM(B577:P577)/10</f>
        <v>0.9</v>
      </c>
    </row>
    <row r="578">
      <c r="A578" s="2">
        <v>80.0</v>
      </c>
      <c r="B578" s="2">
        <v>7.0038677E7</v>
      </c>
      <c r="C578" s="2">
        <v>457.0</v>
      </c>
      <c r="D578" s="2">
        <v>40.7167</v>
      </c>
      <c r="E578" s="2">
        <v>-121.8</v>
      </c>
      <c r="H578" s="3" t="s">
        <v>1536</v>
      </c>
      <c r="I578" s="3" t="s">
        <v>18</v>
      </c>
      <c r="J578" s="3" t="s">
        <v>1537</v>
      </c>
      <c r="K578" s="3" t="s">
        <v>642</v>
      </c>
      <c r="L578" s="2" t="s">
        <v>642</v>
      </c>
      <c r="M578" s="3" t="s">
        <v>1538</v>
      </c>
      <c r="N578" s="3" t="s">
        <v>1539</v>
      </c>
      <c r="O578" s="3" t="s">
        <v>1540</v>
      </c>
      <c r="P578" s="3" t="s">
        <v>24</v>
      </c>
      <c r="Q578" s="2" t="s">
        <v>1541</v>
      </c>
    </row>
    <row r="579">
      <c r="A579" s="2" t="s">
        <v>1542</v>
      </c>
      <c r="B579" s="2"/>
      <c r="C579" s="2"/>
      <c r="D579" s="2"/>
      <c r="E579" s="2"/>
      <c r="F579" s="3">
        <v>1.0</v>
      </c>
      <c r="G579" s="3">
        <v>1.0</v>
      </c>
      <c r="H579" s="3">
        <v>1.0</v>
      </c>
      <c r="I579" s="3">
        <v>1.0</v>
      </c>
      <c r="J579" s="3">
        <v>1.0</v>
      </c>
      <c r="K579" s="3">
        <v>0.0</v>
      </c>
      <c r="L579" s="2"/>
      <c r="M579" s="3">
        <v>1.0</v>
      </c>
      <c r="N579" s="3">
        <v>1.0</v>
      </c>
      <c r="O579" s="3">
        <v>1.0</v>
      </c>
      <c r="P579" s="3">
        <v>1.0</v>
      </c>
      <c r="Q579" s="2"/>
      <c r="V579" s="5">
        <f>SUM(B579:P579)/10</f>
        <v>0.9</v>
      </c>
    </row>
    <row r="580">
      <c r="A580" s="2">
        <v>81.0</v>
      </c>
      <c r="B580" s="2">
        <v>7.0038677E7</v>
      </c>
      <c r="C580" s="2">
        <v>457.0</v>
      </c>
      <c r="D580" s="2">
        <v>40.7167</v>
      </c>
      <c r="E580" s="2">
        <v>-121.8</v>
      </c>
      <c r="H580" s="3" t="s">
        <v>1543</v>
      </c>
      <c r="I580" s="3" t="s">
        <v>18</v>
      </c>
      <c r="J580" s="3" t="s">
        <v>1544</v>
      </c>
      <c r="K580" s="3" t="s">
        <v>642</v>
      </c>
      <c r="L580" s="2" t="s">
        <v>642</v>
      </c>
      <c r="M580" s="3" t="s">
        <v>1545</v>
      </c>
      <c r="N580" s="3" t="s">
        <v>1546</v>
      </c>
      <c r="O580" s="3" t="s">
        <v>1540</v>
      </c>
      <c r="P580" s="3" t="s">
        <v>24</v>
      </c>
      <c r="Q580" s="2" t="s">
        <v>1541</v>
      </c>
    </row>
    <row r="581">
      <c r="A581" s="2" t="s">
        <v>1547</v>
      </c>
      <c r="B581" s="2"/>
      <c r="C581" s="2"/>
      <c r="D581" s="2"/>
      <c r="E581" s="2"/>
      <c r="F581" s="3">
        <v>1.0</v>
      </c>
      <c r="G581" s="3">
        <v>1.0</v>
      </c>
      <c r="H581" s="3">
        <v>1.0</v>
      </c>
      <c r="I581" s="3">
        <v>1.0</v>
      </c>
      <c r="J581" s="3">
        <v>1.0</v>
      </c>
      <c r="K581" s="3">
        <v>0.0</v>
      </c>
      <c r="L581" s="2"/>
      <c r="M581" s="3">
        <v>0.5</v>
      </c>
      <c r="N581" s="3">
        <v>1.0</v>
      </c>
      <c r="O581" s="3">
        <v>1.0</v>
      </c>
      <c r="P581" s="3">
        <v>1.0</v>
      </c>
      <c r="Q581" s="2"/>
      <c r="V581" s="5">
        <f>SUM(B581:P581)/10</f>
        <v>0.85</v>
      </c>
    </row>
    <row r="582">
      <c r="A582" s="2">
        <v>252.0</v>
      </c>
      <c r="B582" s="2">
        <v>7.0038678E7</v>
      </c>
      <c r="C582" s="2">
        <v>265.0</v>
      </c>
      <c r="D582" s="1"/>
      <c r="E582" s="1"/>
      <c r="F582" s="3">
        <v>40.5488889</v>
      </c>
      <c r="G582" s="3">
        <v>-122.0913889</v>
      </c>
      <c r="H582" s="3" t="s">
        <v>1548</v>
      </c>
      <c r="I582" s="3" t="s">
        <v>1549</v>
      </c>
      <c r="J582" s="3" t="s">
        <v>1550</v>
      </c>
      <c r="K582" s="3" t="s">
        <v>642</v>
      </c>
      <c r="L582" s="2" t="s">
        <v>642</v>
      </c>
      <c r="M582" s="3" t="s">
        <v>1551</v>
      </c>
      <c r="N582" s="3" t="s">
        <v>56</v>
      </c>
      <c r="O582" s="3" t="s">
        <v>1552</v>
      </c>
      <c r="P582" s="3" t="s">
        <v>24</v>
      </c>
      <c r="Q582" s="2" t="s">
        <v>1553</v>
      </c>
    </row>
    <row r="583">
      <c r="A583" s="2" t="s">
        <v>1554</v>
      </c>
      <c r="B583" s="2"/>
      <c r="C583" s="2"/>
      <c r="D583" s="1"/>
      <c r="E583" s="1"/>
      <c r="F583" s="3">
        <v>1.0</v>
      </c>
      <c r="G583" s="3">
        <v>1.0</v>
      </c>
      <c r="H583" s="3">
        <v>0.0</v>
      </c>
      <c r="I583" s="3">
        <v>0.5</v>
      </c>
      <c r="J583" s="3">
        <v>1.0</v>
      </c>
      <c r="K583" s="3">
        <v>1.0</v>
      </c>
      <c r="L583" s="2"/>
      <c r="M583" s="3">
        <v>1.0</v>
      </c>
      <c r="N583" s="3">
        <v>1.0</v>
      </c>
      <c r="O583" s="3">
        <v>1.0</v>
      </c>
      <c r="P583" s="3">
        <v>1.0</v>
      </c>
      <c r="Q583" s="2"/>
      <c r="V583" s="5">
        <f>SUM(B583:P583)/10</f>
        <v>0.85</v>
      </c>
    </row>
    <row r="584">
      <c r="A584" s="2">
        <v>118.0</v>
      </c>
      <c r="B584" s="2">
        <v>7.0039753E7</v>
      </c>
      <c r="C584" s="2">
        <v>288.0</v>
      </c>
      <c r="D584" s="2">
        <v>40.5</v>
      </c>
      <c r="E584" s="2">
        <v>-123.75</v>
      </c>
      <c r="F584" s="3">
        <v>40.5</v>
      </c>
      <c r="G584" s="3">
        <v>-123.75</v>
      </c>
      <c r="H584" s="3" t="s">
        <v>1555</v>
      </c>
      <c r="I584" s="3" t="s">
        <v>588</v>
      </c>
      <c r="J584" s="3" t="s">
        <v>1556</v>
      </c>
      <c r="K584" s="3" t="s">
        <v>295</v>
      </c>
      <c r="L584" s="1"/>
      <c r="M584" s="3" t="s">
        <v>1557</v>
      </c>
      <c r="N584" s="3" t="s">
        <v>56</v>
      </c>
      <c r="O584" s="3" t="s">
        <v>1558</v>
      </c>
      <c r="P584" s="3" t="s">
        <v>24</v>
      </c>
      <c r="Q584" s="2" t="s">
        <v>1559</v>
      </c>
    </row>
    <row r="585">
      <c r="A585" s="2" t="s">
        <v>1560</v>
      </c>
      <c r="B585" s="2"/>
      <c r="C585" s="1"/>
      <c r="D585" s="1"/>
      <c r="E585" s="1"/>
      <c r="F585" s="3">
        <v>0.0</v>
      </c>
      <c r="G585" s="3">
        <v>0.0</v>
      </c>
      <c r="H585" s="3">
        <v>1.0</v>
      </c>
      <c r="I585" s="3">
        <v>1.0</v>
      </c>
      <c r="J585" s="3">
        <v>1.0</v>
      </c>
      <c r="K585" s="3">
        <v>0.0</v>
      </c>
      <c r="L585" s="2"/>
      <c r="M585" s="3">
        <v>1.0</v>
      </c>
      <c r="N585" s="3">
        <v>1.0</v>
      </c>
      <c r="O585" s="3">
        <v>1.0</v>
      </c>
      <c r="P585" s="3">
        <v>1.0</v>
      </c>
      <c r="Q585" s="2"/>
      <c r="V585" s="5">
        <f>SUM(B585:P585)/10</f>
        <v>0.7</v>
      </c>
    </row>
    <row r="586">
      <c r="A586" s="28" t="s">
        <v>1561</v>
      </c>
      <c r="B586" s="29"/>
      <c r="C586" s="29"/>
      <c r="D586" s="29"/>
      <c r="E586" s="29"/>
      <c r="F586" s="30">
        <f t="shared" ref="F586:K586" si="1">(countif(F2:F585, 1) + countif(F2:F585, 0.5)*0.5) / (countif(F2:F585, 1) + countif(F2:F585, 0) + countif(F2:F585, 0.5)) </f>
        <v>0.8515283843</v>
      </c>
      <c r="G586" s="30">
        <f t="shared" si="1"/>
        <v>0.8515283843</v>
      </c>
      <c r="H586" s="30">
        <f t="shared" si="1"/>
        <v>0.8793859649</v>
      </c>
      <c r="I586" s="30">
        <f t="shared" si="1"/>
        <v>0.8100436681</v>
      </c>
      <c r="J586" s="30">
        <f t="shared" si="1"/>
        <v>0.9934497817</v>
      </c>
      <c r="K586" s="30">
        <f t="shared" si="1"/>
        <v>0.519650655</v>
      </c>
      <c r="L586" s="29"/>
      <c r="M586" s="30">
        <f t="shared" ref="M586:P586" si="2">(countif(M2:M585, 1) + countif(M2:M585, 0.5)*0.5) / (countif(M2:M585, 1) + countif(M2:M585, 0) + countif(M2:M585, 0.5)) </f>
        <v>0.9213973799</v>
      </c>
      <c r="N586" s="30">
        <f t="shared" si="2"/>
        <v>0.9213973799</v>
      </c>
      <c r="O586" s="30">
        <f t="shared" si="2"/>
        <v>0.9912663755</v>
      </c>
      <c r="P586" s="30">
        <f t="shared" si="2"/>
        <v>0.9802631579</v>
      </c>
      <c r="Q586" s="31"/>
    </row>
    <row r="587">
      <c r="A587" s="1"/>
      <c r="B587" s="1"/>
      <c r="C587" s="1"/>
      <c r="D587" s="1"/>
      <c r="E587" s="1"/>
      <c r="L587" s="1"/>
      <c r="Q587" s="1"/>
    </row>
    <row r="588">
      <c r="A588" s="1"/>
      <c r="B588" s="1"/>
      <c r="C588" s="1"/>
      <c r="D588" s="1"/>
      <c r="E588" s="1"/>
      <c r="L588" s="1"/>
      <c r="Q588" s="1"/>
    </row>
    <row r="589">
      <c r="A589" s="1"/>
      <c r="B589" s="1"/>
      <c r="C589" s="1"/>
      <c r="D589" s="1"/>
      <c r="E589" s="1"/>
      <c r="L589" s="1"/>
      <c r="Q589" s="1"/>
    </row>
    <row r="590">
      <c r="A590" s="1"/>
      <c r="B590" s="1"/>
      <c r="C590" s="1"/>
      <c r="D590" s="1"/>
      <c r="E590" s="1"/>
      <c r="L590" s="1"/>
      <c r="Q590" s="1"/>
    </row>
    <row r="591">
      <c r="A591" s="1"/>
      <c r="B591" s="1"/>
      <c r="C591" s="1"/>
      <c r="D591" s="1"/>
      <c r="E591" s="1"/>
      <c r="L591" s="1"/>
      <c r="Q591" s="1"/>
    </row>
    <row r="592">
      <c r="A592" s="1"/>
      <c r="B592" s="1"/>
      <c r="C592" s="1"/>
      <c r="D592" s="1"/>
      <c r="E592" s="1"/>
      <c r="L592" s="1"/>
      <c r="Q592" s="1"/>
    </row>
    <row r="593">
      <c r="A593" s="1"/>
      <c r="B593" s="1"/>
      <c r="C593" s="1"/>
      <c r="D593" s="1"/>
      <c r="E593" s="1"/>
      <c r="L593" s="1"/>
      <c r="Q593" s="1"/>
    </row>
    <row r="594">
      <c r="A594" s="1"/>
      <c r="B594" s="1"/>
      <c r="C594" s="1"/>
      <c r="D594" s="1"/>
      <c r="E594" s="1"/>
      <c r="L594" s="1"/>
      <c r="Q594" s="1"/>
    </row>
    <row r="595">
      <c r="A595" s="1"/>
      <c r="B595" s="1"/>
      <c r="C595" s="1"/>
      <c r="D595" s="1"/>
      <c r="E595" s="1"/>
      <c r="L595" s="1"/>
      <c r="Q595" s="1"/>
    </row>
    <row r="596">
      <c r="A596" s="1"/>
      <c r="B596" s="1"/>
      <c r="C596" s="1"/>
      <c r="D596" s="1"/>
      <c r="E596" s="1"/>
      <c r="L596" s="1"/>
      <c r="Q596" s="1"/>
    </row>
    <row r="597">
      <c r="A597" s="1"/>
      <c r="B597" s="1"/>
      <c r="C597" s="1"/>
      <c r="D597" s="1"/>
      <c r="E597" s="1"/>
      <c r="L597" s="1"/>
      <c r="Q597" s="1"/>
    </row>
    <row r="598">
      <c r="A598" s="1"/>
      <c r="B598" s="1"/>
      <c r="C598" s="1"/>
      <c r="D598" s="1"/>
      <c r="E598" s="1"/>
      <c r="L598" s="1"/>
      <c r="Q598" s="1"/>
    </row>
    <row r="599">
      <c r="A599" s="1"/>
      <c r="B599" s="1"/>
      <c r="C599" s="1"/>
      <c r="D599" s="1"/>
      <c r="E599" s="1"/>
      <c r="L599" s="1"/>
      <c r="Q599" s="1"/>
    </row>
    <row r="600">
      <c r="A600" s="1"/>
      <c r="B600" s="1"/>
      <c r="C600" s="1"/>
      <c r="D600" s="1"/>
      <c r="E600" s="1"/>
      <c r="L600" s="1"/>
      <c r="Q600" s="1"/>
    </row>
    <row r="601">
      <c r="A601" s="1"/>
      <c r="B601" s="1"/>
      <c r="C601" s="1"/>
      <c r="D601" s="1"/>
      <c r="E601" s="1"/>
      <c r="L601" s="1"/>
      <c r="Q601" s="1"/>
    </row>
    <row r="602">
      <c r="A602" s="1"/>
      <c r="B602" s="1"/>
      <c r="C602" s="1"/>
      <c r="D602" s="1"/>
      <c r="E602" s="1"/>
      <c r="L602" s="1"/>
      <c r="Q602" s="1"/>
    </row>
    <row r="603">
      <c r="A603" s="1"/>
      <c r="B603" s="1"/>
      <c r="C603" s="1"/>
      <c r="D603" s="1"/>
      <c r="E603" s="1"/>
      <c r="L603" s="1"/>
      <c r="Q603" s="1"/>
    </row>
    <row r="604">
      <c r="A604" s="1"/>
      <c r="B604" s="1"/>
      <c r="C604" s="1"/>
      <c r="D604" s="1"/>
      <c r="E604" s="1"/>
      <c r="L604" s="1"/>
      <c r="Q604" s="1"/>
    </row>
    <row r="605">
      <c r="A605" s="1"/>
      <c r="B605" s="1"/>
      <c r="C605" s="1"/>
      <c r="D605" s="1"/>
      <c r="E605" s="1"/>
      <c r="L605" s="1"/>
      <c r="Q605" s="1"/>
    </row>
    <row r="606">
      <c r="A606" s="1"/>
      <c r="B606" s="1"/>
      <c r="C606" s="1"/>
      <c r="D606" s="1"/>
      <c r="E606" s="1"/>
      <c r="L606" s="1"/>
      <c r="Q606" s="1"/>
    </row>
    <row r="607">
      <c r="A607" s="1"/>
      <c r="B607" s="1"/>
      <c r="C607" s="1"/>
      <c r="D607" s="1"/>
      <c r="E607" s="1"/>
      <c r="L607" s="1"/>
      <c r="Q607" s="1"/>
    </row>
    <row r="608">
      <c r="A608" s="1"/>
      <c r="B608" s="1"/>
      <c r="C608" s="1"/>
      <c r="D608" s="1"/>
      <c r="E608" s="1"/>
      <c r="L608" s="1"/>
      <c r="Q608" s="1"/>
    </row>
    <row r="609">
      <c r="A609" s="1"/>
      <c r="B609" s="1"/>
      <c r="C609" s="1"/>
      <c r="D609" s="1"/>
      <c r="E609" s="1"/>
      <c r="L609" s="1"/>
      <c r="Q609" s="1"/>
    </row>
    <row r="610">
      <c r="A610" s="1"/>
      <c r="B610" s="1"/>
      <c r="C610" s="1"/>
      <c r="D610" s="1"/>
      <c r="E610" s="1"/>
      <c r="L610" s="1"/>
      <c r="Q610" s="1"/>
    </row>
    <row r="611">
      <c r="A611" s="1"/>
      <c r="B611" s="1"/>
      <c r="C611" s="1"/>
      <c r="D611" s="1"/>
      <c r="E611" s="1"/>
      <c r="L611" s="1"/>
      <c r="Q611" s="1"/>
    </row>
    <row r="612">
      <c r="A612" s="1"/>
      <c r="B612" s="1"/>
      <c r="C612" s="1"/>
      <c r="D612" s="1"/>
      <c r="E612" s="1"/>
      <c r="L612" s="1"/>
      <c r="Q612" s="1"/>
    </row>
    <row r="613">
      <c r="A613" s="1"/>
      <c r="B613" s="1"/>
      <c r="C613" s="1"/>
      <c r="D613" s="1"/>
      <c r="E613" s="1"/>
      <c r="L613" s="1"/>
      <c r="Q613" s="1"/>
    </row>
    <row r="614">
      <c r="A614" s="1"/>
      <c r="B614" s="1"/>
      <c r="C614" s="1"/>
      <c r="D614" s="1"/>
      <c r="E614" s="1"/>
      <c r="L614" s="1"/>
      <c r="Q614" s="1"/>
    </row>
    <row r="615">
      <c r="A615" s="1"/>
      <c r="B615" s="1"/>
      <c r="C615" s="1"/>
      <c r="D615" s="1"/>
      <c r="E615" s="1"/>
      <c r="L615" s="1"/>
      <c r="Q615" s="1"/>
    </row>
    <row r="616">
      <c r="A616" s="1"/>
      <c r="B616" s="1"/>
      <c r="C616" s="1"/>
      <c r="D616" s="1"/>
      <c r="E616" s="1"/>
      <c r="L616" s="1"/>
      <c r="Q616" s="1"/>
    </row>
    <row r="617">
      <c r="A617" s="1"/>
      <c r="B617" s="1"/>
      <c r="C617" s="1"/>
      <c r="D617" s="1"/>
      <c r="E617" s="1"/>
      <c r="L617" s="1"/>
      <c r="Q617" s="1"/>
    </row>
    <row r="618">
      <c r="A618" s="1"/>
      <c r="B618" s="1"/>
      <c r="C618" s="1"/>
      <c r="D618" s="1"/>
      <c r="E618" s="1"/>
      <c r="L618" s="1"/>
      <c r="Q618" s="1"/>
    </row>
    <row r="619">
      <c r="A619" s="1"/>
      <c r="B619" s="1"/>
      <c r="C619" s="1"/>
      <c r="D619" s="1"/>
      <c r="E619" s="1"/>
      <c r="L619" s="1"/>
      <c r="Q619" s="1"/>
    </row>
    <row r="620">
      <c r="A620" s="1"/>
      <c r="B620" s="1"/>
      <c r="C620" s="1"/>
      <c r="D620" s="1"/>
      <c r="E620" s="1"/>
      <c r="L620" s="1"/>
      <c r="Q620" s="1"/>
    </row>
    <row r="621">
      <c r="A621" s="1"/>
      <c r="B621" s="1"/>
      <c r="C621" s="1"/>
      <c r="D621" s="1"/>
      <c r="E621" s="1"/>
      <c r="L621" s="1"/>
      <c r="Q621" s="1"/>
    </row>
    <row r="622">
      <c r="A622" s="1"/>
      <c r="B622" s="1"/>
      <c r="C622" s="1"/>
      <c r="D622" s="1"/>
      <c r="E622" s="1"/>
      <c r="L622" s="1"/>
      <c r="Q622" s="1"/>
    </row>
    <row r="623">
      <c r="A623" s="1"/>
      <c r="B623" s="1"/>
      <c r="C623" s="1"/>
      <c r="D623" s="1"/>
      <c r="E623" s="1"/>
      <c r="L623" s="1"/>
      <c r="Q623" s="1"/>
    </row>
    <row r="624">
      <c r="A624" s="1"/>
      <c r="B624" s="1"/>
      <c r="C624" s="1"/>
      <c r="D624" s="1"/>
      <c r="E624" s="1"/>
      <c r="L624" s="1"/>
      <c r="Q624" s="1"/>
    </row>
    <row r="625">
      <c r="A625" s="1"/>
      <c r="B625" s="1"/>
      <c r="C625" s="1"/>
      <c r="D625" s="1"/>
      <c r="E625" s="1"/>
      <c r="L625" s="1"/>
      <c r="Q625" s="1"/>
    </row>
    <row r="626">
      <c r="A626" s="1"/>
      <c r="B626" s="1"/>
      <c r="C626" s="1"/>
      <c r="D626" s="1"/>
      <c r="E626" s="1"/>
      <c r="L626" s="1"/>
      <c r="Q626" s="1"/>
    </row>
    <row r="627">
      <c r="A627" s="1"/>
      <c r="B627" s="1"/>
      <c r="C627" s="1"/>
      <c r="D627" s="1"/>
      <c r="E627" s="1"/>
      <c r="L627" s="1"/>
      <c r="Q627" s="1"/>
    </row>
    <row r="628">
      <c r="A628" s="1"/>
      <c r="B628" s="1"/>
      <c r="C628" s="1"/>
      <c r="D628" s="1"/>
      <c r="E628" s="1"/>
      <c r="L628" s="1"/>
      <c r="Q628" s="1"/>
    </row>
    <row r="629">
      <c r="A629" s="1"/>
      <c r="B629" s="1"/>
      <c r="C629" s="1"/>
      <c r="D629" s="1"/>
      <c r="E629" s="1"/>
      <c r="L629" s="1"/>
      <c r="Q629" s="1"/>
    </row>
    <row r="630">
      <c r="A630" s="1"/>
      <c r="B630" s="1"/>
      <c r="C630" s="1"/>
      <c r="D630" s="1"/>
      <c r="E630" s="1"/>
      <c r="L630" s="1"/>
      <c r="Q630" s="1"/>
    </row>
    <row r="631">
      <c r="A631" s="1"/>
      <c r="B631" s="1"/>
      <c r="C631" s="1"/>
      <c r="D631" s="1"/>
      <c r="E631" s="1"/>
      <c r="L631" s="1"/>
      <c r="Q631" s="1"/>
    </row>
    <row r="632">
      <c r="A632" s="1"/>
      <c r="B632" s="1"/>
      <c r="C632" s="1"/>
      <c r="D632" s="1"/>
      <c r="E632" s="1"/>
      <c r="L632" s="1"/>
      <c r="Q632" s="1"/>
    </row>
    <row r="633">
      <c r="A633" s="1"/>
      <c r="B633" s="1"/>
      <c r="C633" s="1"/>
      <c r="D633" s="1"/>
      <c r="E633" s="1"/>
      <c r="L633" s="1"/>
      <c r="Q633" s="1"/>
    </row>
    <row r="634">
      <c r="A634" s="1"/>
      <c r="B634" s="1"/>
      <c r="C634" s="1"/>
      <c r="D634" s="1"/>
      <c r="E634" s="1"/>
      <c r="L634" s="1"/>
      <c r="Q634" s="1"/>
    </row>
    <row r="635">
      <c r="A635" s="1"/>
      <c r="B635" s="1"/>
      <c r="C635" s="1"/>
      <c r="D635" s="1"/>
      <c r="E635" s="1"/>
      <c r="L635" s="1"/>
      <c r="Q635" s="1"/>
    </row>
    <row r="636">
      <c r="A636" s="1"/>
      <c r="B636" s="1"/>
      <c r="C636" s="1"/>
      <c r="D636" s="1"/>
      <c r="E636" s="1"/>
      <c r="L636" s="1"/>
      <c r="Q636" s="1"/>
    </row>
    <row r="637">
      <c r="A637" s="1"/>
      <c r="B637" s="1"/>
      <c r="C637" s="1"/>
      <c r="D637" s="1"/>
      <c r="E637" s="1"/>
      <c r="L637" s="1"/>
      <c r="Q637" s="1"/>
    </row>
    <row r="638">
      <c r="A638" s="1"/>
      <c r="B638" s="1"/>
      <c r="C638" s="1"/>
      <c r="D638" s="1"/>
      <c r="E638" s="1"/>
      <c r="L638" s="1"/>
      <c r="Q638" s="1"/>
    </row>
    <row r="639">
      <c r="A639" s="1"/>
      <c r="B639" s="1"/>
      <c r="C639" s="1"/>
      <c r="D639" s="1"/>
      <c r="E639" s="1"/>
      <c r="L639" s="1"/>
      <c r="Q639" s="1"/>
    </row>
    <row r="640">
      <c r="A640" s="1"/>
      <c r="B640" s="1"/>
      <c r="C640" s="1"/>
      <c r="D640" s="1"/>
      <c r="E640" s="1"/>
      <c r="L640" s="1"/>
      <c r="Q640" s="1"/>
    </row>
    <row r="641">
      <c r="A641" s="1"/>
      <c r="B641" s="1"/>
      <c r="C641" s="1"/>
      <c r="D641" s="1"/>
      <c r="E641" s="1"/>
      <c r="L641" s="1"/>
      <c r="Q641" s="1"/>
    </row>
    <row r="642">
      <c r="A642" s="1"/>
      <c r="B642" s="1"/>
      <c r="C642" s="1"/>
      <c r="D642" s="1"/>
      <c r="E642" s="1"/>
      <c r="L642" s="1"/>
      <c r="Q642" s="1"/>
    </row>
    <row r="643">
      <c r="A643" s="1"/>
      <c r="B643" s="1"/>
      <c r="C643" s="1"/>
      <c r="D643" s="1"/>
      <c r="E643" s="1"/>
      <c r="L643" s="1"/>
      <c r="Q643" s="1"/>
    </row>
    <row r="644">
      <c r="A644" s="1"/>
      <c r="B644" s="1"/>
      <c r="C644" s="1"/>
      <c r="D644" s="1"/>
      <c r="E644" s="1"/>
      <c r="L644" s="1"/>
      <c r="Q644" s="1"/>
    </row>
    <row r="645">
      <c r="A645" s="1"/>
      <c r="B645" s="1"/>
      <c r="C645" s="1"/>
      <c r="D645" s="1"/>
      <c r="E645" s="1"/>
      <c r="L645" s="1"/>
      <c r="Q645" s="1"/>
    </row>
    <row r="646">
      <c r="A646" s="1"/>
      <c r="B646" s="1"/>
      <c r="C646" s="1"/>
      <c r="D646" s="1"/>
      <c r="E646" s="1"/>
      <c r="L646" s="1"/>
      <c r="Q646" s="1"/>
    </row>
    <row r="647">
      <c r="A647" s="1"/>
      <c r="B647" s="1"/>
      <c r="C647" s="1"/>
      <c r="D647" s="1"/>
      <c r="E647" s="1"/>
      <c r="L647" s="1"/>
      <c r="Q647" s="1"/>
    </row>
    <row r="648">
      <c r="A648" s="1"/>
      <c r="B648" s="1"/>
      <c r="C648" s="1"/>
      <c r="D648" s="1"/>
      <c r="E648" s="1"/>
      <c r="L648" s="1"/>
      <c r="Q648" s="1"/>
    </row>
    <row r="649">
      <c r="A649" s="1"/>
      <c r="B649" s="1"/>
      <c r="C649" s="1"/>
      <c r="D649" s="1"/>
      <c r="E649" s="1"/>
      <c r="L649" s="1"/>
      <c r="Q649" s="1"/>
    </row>
    <row r="650">
      <c r="A650" s="1"/>
      <c r="B650" s="1"/>
      <c r="C650" s="1"/>
      <c r="D650" s="1"/>
      <c r="E650" s="1"/>
      <c r="L650" s="1"/>
      <c r="Q650" s="1"/>
    </row>
    <row r="651">
      <c r="A651" s="1"/>
      <c r="B651" s="1"/>
      <c r="C651" s="1"/>
      <c r="D651" s="1"/>
      <c r="E651" s="1"/>
      <c r="L651" s="1"/>
      <c r="Q651" s="1"/>
    </row>
    <row r="652">
      <c r="A652" s="1"/>
      <c r="B652" s="1"/>
      <c r="C652" s="1"/>
      <c r="D652" s="1"/>
      <c r="E652" s="1"/>
      <c r="L652" s="1"/>
      <c r="Q652" s="1"/>
    </row>
    <row r="653">
      <c r="A653" s="1"/>
      <c r="B653" s="1"/>
      <c r="C653" s="1"/>
      <c r="D653" s="1"/>
      <c r="E653" s="1"/>
      <c r="L653" s="1"/>
      <c r="Q653" s="1"/>
    </row>
    <row r="654">
      <c r="A654" s="1"/>
      <c r="B654" s="1"/>
      <c r="C654" s="1"/>
      <c r="D654" s="1"/>
      <c r="E654" s="1"/>
      <c r="L654" s="1"/>
      <c r="Q654" s="1"/>
    </row>
    <row r="655">
      <c r="A655" s="1"/>
      <c r="B655" s="1"/>
      <c r="C655" s="1"/>
      <c r="D655" s="1"/>
      <c r="E655" s="1"/>
      <c r="L655" s="1"/>
      <c r="Q655" s="1"/>
    </row>
    <row r="656">
      <c r="A656" s="1"/>
      <c r="B656" s="1"/>
      <c r="C656" s="1"/>
      <c r="D656" s="1"/>
      <c r="E656" s="1"/>
      <c r="L656" s="1"/>
      <c r="Q656" s="1"/>
    </row>
    <row r="657">
      <c r="A657" s="1"/>
      <c r="B657" s="1"/>
      <c r="C657" s="1"/>
      <c r="D657" s="1"/>
      <c r="E657" s="1"/>
      <c r="L657" s="1"/>
      <c r="Q657" s="1"/>
    </row>
    <row r="658">
      <c r="A658" s="1"/>
      <c r="B658" s="1"/>
      <c r="C658" s="1"/>
      <c r="D658" s="1"/>
      <c r="E658" s="1"/>
      <c r="L658" s="1"/>
      <c r="Q658" s="1"/>
    </row>
    <row r="659">
      <c r="A659" s="1"/>
      <c r="B659" s="1"/>
      <c r="C659" s="1"/>
      <c r="D659" s="1"/>
      <c r="E659" s="1"/>
      <c r="L659" s="1"/>
      <c r="Q659" s="1"/>
    </row>
    <row r="660">
      <c r="A660" s="1"/>
      <c r="B660" s="1"/>
      <c r="C660" s="1"/>
      <c r="D660" s="1"/>
      <c r="E660" s="1"/>
      <c r="L660" s="1"/>
      <c r="Q660" s="1"/>
    </row>
    <row r="661">
      <c r="A661" s="1"/>
      <c r="B661" s="1"/>
      <c r="C661" s="1"/>
      <c r="D661" s="1"/>
      <c r="E661" s="1"/>
      <c r="L661" s="1"/>
      <c r="Q661" s="1"/>
    </row>
    <row r="662">
      <c r="A662" s="1"/>
      <c r="B662" s="1"/>
      <c r="C662" s="1"/>
      <c r="D662" s="1"/>
      <c r="E662" s="1"/>
      <c r="L662" s="1"/>
      <c r="Q662" s="1"/>
    </row>
    <row r="663">
      <c r="A663" s="1"/>
      <c r="B663" s="1"/>
      <c r="C663" s="1"/>
      <c r="D663" s="1"/>
      <c r="E663" s="1"/>
      <c r="L663" s="1"/>
      <c r="Q663" s="1"/>
    </row>
    <row r="664">
      <c r="A664" s="1"/>
      <c r="B664" s="1"/>
      <c r="C664" s="1"/>
      <c r="D664" s="1"/>
      <c r="E664" s="1"/>
      <c r="L664" s="1"/>
      <c r="Q664" s="1"/>
    </row>
    <row r="665">
      <c r="A665" s="1"/>
      <c r="B665" s="1"/>
      <c r="C665" s="1"/>
      <c r="D665" s="1"/>
      <c r="E665" s="1"/>
      <c r="L665" s="1"/>
      <c r="Q665" s="1"/>
    </row>
    <row r="666">
      <c r="A666" s="1"/>
      <c r="B666" s="1"/>
      <c r="C666" s="1"/>
      <c r="D666" s="1"/>
      <c r="E666" s="1"/>
      <c r="L666" s="1"/>
      <c r="Q666" s="1"/>
    </row>
    <row r="667">
      <c r="A667" s="1"/>
      <c r="B667" s="1"/>
      <c r="C667" s="1"/>
      <c r="D667" s="1"/>
      <c r="E667" s="1"/>
      <c r="L667" s="1"/>
      <c r="Q667" s="1"/>
    </row>
    <row r="668">
      <c r="A668" s="1"/>
      <c r="B668" s="1"/>
      <c r="C668" s="1"/>
      <c r="D668" s="1"/>
      <c r="E668" s="1"/>
      <c r="L668" s="1"/>
      <c r="Q668" s="1"/>
    </row>
    <row r="669">
      <c r="A669" s="1"/>
      <c r="B669" s="1"/>
      <c r="C669" s="1"/>
      <c r="D669" s="1"/>
      <c r="E669" s="1"/>
      <c r="L669" s="1"/>
      <c r="Q669" s="1"/>
    </row>
    <row r="670">
      <c r="A670" s="1"/>
      <c r="B670" s="1"/>
      <c r="C670" s="1"/>
      <c r="D670" s="1"/>
      <c r="E670" s="1"/>
      <c r="L670" s="1"/>
      <c r="Q670" s="1"/>
    </row>
    <row r="671">
      <c r="A671" s="1"/>
      <c r="B671" s="1"/>
      <c r="C671" s="1"/>
      <c r="D671" s="1"/>
      <c r="E671" s="1"/>
      <c r="L671" s="1"/>
      <c r="Q671" s="1"/>
    </row>
    <row r="672">
      <c r="A672" s="1"/>
      <c r="B672" s="1"/>
      <c r="C672" s="1"/>
      <c r="D672" s="1"/>
      <c r="E672" s="1"/>
      <c r="L672" s="1"/>
      <c r="Q672" s="1"/>
    </row>
    <row r="673">
      <c r="A673" s="1"/>
      <c r="B673" s="1"/>
      <c r="C673" s="1"/>
      <c r="D673" s="1"/>
      <c r="E673" s="1"/>
      <c r="L673" s="1"/>
      <c r="Q673" s="1"/>
    </row>
    <row r="674">
      <c r="A674" s="1"/>
      <c r="B674" s="1"/>
      <c r="C674" s="1"/>
      <c r="D674" s="1"/>
      <c r="E674" s="1"/>
      <c r="L674" s="1"/>
      <c r="Q674" s="1"/>
    </row>
    <row r="675">
      <c r="A675" s="1"/>
      <c r="B675" s="1"/>
      <c r="C675" s="1"/>
      <c r="D675" s="1"/>
      <c r="E675" s="1"/>
      <c r="L675" s="1"/>
      <c r="Q675" s="1"/>
    </row>
    <row r="676">
      <c r="A676" s="1"/>
      <c r="B676" s="1"/>
      <c r="C676" s="1"/>
      <c r="D676" s="1"/>
      <c r="E676" s="1"/>
      <c r="L676" s="1"/>
      <c r="Q676" s="1"/>
    </row>
    <row r="677">
      <c r="A677" s="1"/>
      <c r="B677" s="1"/>
      <c r="C677" s="1"/>
      <c r="D677" s="1"/>
      <c r="E677" s="1"/>
      <c r="L677" s="1"/>
      <c r="Q677" s="1"/>
    </row>
    <row r="678">
      <c r="A678" s="1"/>
      <c r="B678" s="1"/>
      <c r="C678" s="1"/>
      <c r="D678" s="1"/>
      <c r="E678" s="1"/>
      <c r="L678" s="1"/>
      <c r="Q678" s="1"/>
    </row>
    <row r="679">
      <c r="A679" s="1"/>
      <c r="B679" s="1"/>
      <c r="C679" s="1"/>
      <c r="D679" s="1"/>
      <c r="E679" s="1"/>
      <c r="L679" s="1"/>
      <c r="Q679" s="1"/>
    </row>
    <row r="680">
      <c r="A680" s="1"/>
      <c r="B680" s="1"/>
      <c r="C680" s="1"/>
      <c r="D680" s="1"/>
      <c r="E680" s="1"/>
      <c r="L680" s="1"/>
      <c r="Q680" s="1"/>
    </row>
    <row r="681">
      <c r="A681" s="1"/>
      <c r="B681" s="1"/>
      <c r="C681" s="1"/>
      <c r="D681" s="1"/>
      <c r="E681" s="1"/>
      <c r="L681" s="1"/>
      <c r="Q681" s="1"/>
    </row>
    <row r="682">
      <c r="A682" s="1"/>
      <c r="B682" s="1"/>
      <c r="C682" s="1"/>
      <c r="D682" s="1"/>
      <c r="E682" s="1"/>
      <c r="L682" s="1"/>
      <c r="Q682" s="1"/>
    </row>
    <row r="683">
      <c r="A683" s="1"/>
      <c r="B683" s="1"/>
      <c r="C683" s="1"/>
      <c r="D683" s="1"/>
      <c r="E683" s="1"/>
      <c r="L683" s="1"/>
      <c r="Q683" s="1"/>
    </row>
    <row r="684">
      <c r="A684" s="1"/>
      <c r="B684" s="1"/>
      <c r="C684" s="1"/>
      <c r="D684" s="1"/>
      <c r="E684" s="1"/>
      <c r="L684" s="1"/>
      <c r="Q684" s="1"/>
    </row>
    <row r="685">
      <c r="A685" s="1"/>
      <c r="B685" s="1"/>
      <c r="C685" s="1"/>
      <c r="D685" s="1"/>
      <c r="E685" s="1"/>
      <c r="L685" s="1"/>
      <c r="Q685" s="1"/>
    </row>
    <row r="686">
      <c r="A686" s="1"/>
      <c r="B686" s="1"/>
      <c r="C686" s="1"/>
      <c r="D686" s="1"/>
      <c r="E686" s="1"/>
      <c r="L686" s="1"/>
      <c r="Q686" s="1"/>
    </row>
    <row r="687">
      <c r="A687" s="1"/>
      <c r="B687" s="1"/>
      <c r="C687" s="1"/>
      <c r="D687" s="1"/>
      <c r="E687" s="1"/>
      <c r="L687" s="1"/>
      <c r="Q687" s="1"/>
    </row>
    <row r="688">
      <c r="A688" s="1"/>
      <c r="B688" s="1"/>
      <c r="C688" s="1"/>
      <c r="D688" s="1"/>
      <c r="E688" s="1"/>
      <c r="L688" s="1"/>
      <c r="Q688" s="1"/>
    </row>
    <row r="689">
      <c r="A689" s="1"/>
      <c r="B689" s="1"/>
      <c r="C689" s="1"/>
      <c r="D689" s="1"/>
      <c r="E689" s="1"/>
      <c r="L689" s="1"/>
      <c r="Q689" s="1"/>
    </row>
    <row r="690">
      <c r="A690" s="1"/>
      <c r="B690" s="1"/>
      <c r="C690" s="1"/>
      <c r="D690" s="1"/>
      <c r="E690" s="1"/>
      <c r="L690" s="1"/>
      <c r="Q690" s="1"/>
    </row>
    <row r="691">
      <c r="A691" s="1"/>
      <c r="B691" s="1"/>
      <c r="C691" s="1"/>
      <c r="D691" s="1"/>
      <c r="E691" s="1"/>
      <c r="L691" s="1"/>
      <c r="Q691" s="1"/>
    </row>
    <row r="692">
      <c r="A692" s="1"/>
      <c r="B692" s="1"/>
      <c r="C692" s="1"/>
      <c r="D692" s="1"/>
      <c r="E692" s="1"/>
      <c r="L692" s="1"/>
      <c r="Q692" s="1"/>
    </row>
    <row r="693">
      <c r="A693" s="1"/>
      <c r="B693" s="1"/>
      <c r="C693" s="1"/>
      <c r="D693" s="1"/>
      <c r="E693" s="1"/>
      <c r="L693" s="1"/>
      <c r="Q693" s="1"/>
    </row>
    <row r="694">
      <c r="A694" s="1"/>
      <c r="B694" s="1"/>
      <c r="C694" s="1"/>
      <c r="D694" s="1"/>
      <c r="E694" s="1"/>
      <c r="L694" s="1"/>
      <c r="Q694" s="1"/>
    </row>
    <row r="695">
      <c r="A695" s="1"/>
      <c r="B695" s="1"/>
      <c r="C695" s="1"/>
      <c r="D695" s="1"/>
      <c r="E695" s="1"/>
      <c r="L695" s="1"/>
      <c r="Q695" s="1"/>
    </row>
    <row r="696">
      <c r="A696" s="1"/>
      <c r="B696" s="1"/>
      <c r="C696" s="1"/>
      <c r="D696" s="1"/>
      <c r="E696" s="1"/>
      <c r="L696" s="1"/>
      <c r="Q696" s="1"/>
    </row>
    <row r="697">
      <c r="A697" s="1"/>
      <c r="B697" s="1"/>
      <c r="C697" s="1"/>
      <c r="D697" s="1"/>
      <c r="E697" s="1"/>
      <c r="L697" s="1"/>
      <c r="Q697" s="1"/>
    </row>
    <row r="698">
      <c r="A698" s="1"/>
      <c r="B698" s="1"/>
      <c r="C698" s="1"/>
      <c r="D698" s="1"/>
      <c r="E698" s="1"/>
      <c r="L698" s="1"/>
      <c r="Q698" s="1"/>
    </row>
    <row r="699">
      <c r="A699" s="1"/>
      <c r="B699" s="1"/>
      <c r="C699" s="1"/>
      <c r="D699" s="1"/>
      <c r="E699" s="1"/>
      <c r="L699" s="1"/>
      <c r="Q699" s="1"/>
    </row>
    <row r="700">
      <c r="A700" s="1"/>
      <c r="B700" s="1"/>
      <c r="C700" s="1"/>
      <c r="D700" s="1"/>
      <c r="E700" s="1"/>
      <c r="L700" s="1"/>
      <c r="Q700" s="1"/>
    </row>
    <row r="701">
      <c r="A701" s="1"/>
      <c r="B701" s="1"/>
      <c r="C701" s="1"/>
      <c r="D701" s="1"/>
      <c r="E701" s="1"/>
      <c r="L701" s="1"/>
      <c r="Q701" s="1"/>
    </row>
    <row r="702">
      <c r="A702" s="1"/>
      <c r="B702" s="1"/>
      <c r="C702" s="1"/>
      <c r="D702" s="1"/>
      <c r="E702" s="1"/>
      <c r="L702" s="1"/>
      <c r="Q702" s="1"/>
    </row>
    <row r="703">
      <c r="A703" s="1"/>
      <c r="B703" s="1"/>
      <c r="C703" s="1"/>
      <c r="D703" s="1"/>
      <c r="E703" s="1"/>
      <c r="L703" s="1"/>
      <c r="Q703" s="1"/>
    </row>
    <row r="704">
      <c r="A704" s="1"/>
      <c r="B704" s="1"/>
      <c r="C704" s="1"/>
      <c r="D704" s="1"/>
      <c r="E704" s="1"/>
      <c r="L704" s="1"/>
      <c r="Q704" s="1"/>
    </row>
    <row r="705">
      <c r="A705" s="1"/>
      <c r="B705" s="1"/>
      <c r="C705" s="1"/>
      <c r="D705" s="1"/>
      <c r="E705" s="1"/>
      <c r="L705" s="1"/>
      <c r="Q705" s="1"/>
    </row>
    <row r="706">
      <c r="A706" s="1"/>
      <c r="B706" s="1"/>
      <c r="C706" s="1"/>
      <c r="D706" s="1"/>
      <c r="E706" s="1"/>
      <c r="L706" s="1"/>
      <c r="Q706" s="1"/>
    </row>
    <row r="707">
      <c r="A707" s="1"/>
      <c r="B707" s="1"/>
      <c r="C707" s="1"/>
      <c r="D707" s="1"/>
      <c r="E707" s="1"/>
      <c r="L707" s="1"/>
      <c r="Q707" s="1"/>
    </row>
    <row r="708">
      <c r="A708" s="1"/>
      <c r="B708" s="1"/>
      <c r="C708" s="1"/>
      <c r="D708" s="1"/>
      <c r="E708" s="1"/>
      <c r="L708" s="1"/>
      <c r="Q708" s="1"/>
    </row>
    <row r="709">
      <c r="A709" s="1"/>
      <c r="B709" s="1"/>
      <c r="C709" s="1"/>
      <c r="D709" s="1"/>
      <c r="E709" s="1"/>
      <c r="L709" s="1"/>
      <c r="Q709" s="1"/>
    </row>
    <row r="710">
      <c r="A710" s="1"/>
      <c r="B710" s="1"/>
      <c r="C710" s="1"/>
      <c r="D710" s="1"/>
      <c r="E710" s="1"/>
      <c r="L710" s="1"/>
      <c r="Q710" s="1"/>
    </row>
    <row r="711">
      <c r="A711" s="1"/>
      <c r="B711" s="1"/>
      <c r="C711" s="1"/>
      <c r="D711" s="1"/>
      <c r="E711" s="1"/>
      <c r="L711" s="1"/>
      <c r="Q711" s="1"/>
    </row>
    <row r="712">
      <c r="A712" s="1"/>
      <c r="B712" s="1"/>
      <c r="C712" s="1"/>
      <c r="D712" s="1"/>
      <c r="E712" s="1"/>
      <c r="L712" s="1"/>
      <c r="Q712" s="1"/>
    </row>
    <row r="713">
      <c r="A713" s="1"/>
      <c r="B713" s="1"/>
      <c r="C713" s="1"/>
      <c r="D713" s="1"/>
      <c r="E713" s="1"/>
      <c r="L713" s="1"/>
      <c r="Q713" s="1"/>
    </row>
    <row r="714">
      <c r="A714" s="1"/>
      <c r="B714" s="1"/>
      <c r="C714" s="1"/>
      <c r="D714" s="1"/>
      <c r="E714" s="1"/>
      <c r="L714" s="1"/>
      <c r="Q714" s="1"/>
    </row>
    <row r="715">
      <c r="A715" s="1"/>
      <c r="B715" s="1"/>
      <c r="C715" s="1"/>
      <c r="D715" s="1"/>
      <c r="E715" s="1"/>
      <c r="L715" s="1"/>
      <c r="Q715" s="1"/>
    </row>
    <row r="716">
      <c r="A716" s="1"/>
      <c r="B716" s="1"/>
      <c r="C716" s="1"/>
      <c r="D716" s="1"/>
      <c r="E716" s="1"/>
      <c r="L716" s="1"/>
      <c r="Q716" s="1"/>
    </row>
    <row r="717">
      <c r="A717" s="1"/>
      <c r="B717" s="1"/>
      <c r="C717" s="1"/>
      <c r="D717" s="1"/>
      <c r="E717" s="1"/>
      <c r="L717" s="1"/>
      <c r="Q717" s="1"/>
    </row>
    <row r="718">
      <c r="A718" s="1"/>
      <c r="B718" s="1"/>
      <c r="C718" s="1"/>
      <c r="D718" s="1"/>
      <c r="E718" s="1"/>
      <c r="L718" s="1"/>
      <c r="Q718" s="1"/>
    </row>
    <row r="719">
      <c r="A719" s="1"/>
      <c r="B719" s="1"/>
      <c r="C719" s="1"/>
      <c r="D719" s="1"/>
      <c r="E719" s="1"/>
      <c r="L719" s="1"/>
      <c r="Q719" s="1"/>
    </row>
    <row r="720">
      <c r="A720" s="1"/>
      <c r="B720" s="1"/>
      <c r="C720" s="1"/>
      <c r="D720" s="1"/>
      <c r="E720" s="1"/>
      <c r="L720" s="1"/>
      <c r="Q720" s="1"/>
    </row>
    <row r="721">
      <c r="A721" s="1"/>
      <c r="B721" s="1"/>
      <c r="C721" s="1"/>
      <c r="D721" s="1"/>
      <c r="E721" s="1"/>
      <c r="L721" s="1"/>
      <c r="Q721" s="1"/>
    </row>
    <row r="722">
      <c r="A722" s="1"/>
      <c r="B722" s="1"/>
      <c r="C722" s="1"/>
      <c r="D722" s="1"/>
      <c r="E722" s="1"/>
      <c r="L722" s="1"/>
      <c r="Q722" s="1"/>
    </row>
    <row r="723">
      <c r="A723" s="1"/>
      <c r="B723" s="1"/>
      <c r="C723" s="1"/>
      <c r="D723" s="1"/>
      <c r="E723" s="1"/>
      <c r="L723" s="1"/>
      <c r="Q723" s="1"/>
    </row>
    <row r="724">
      <c r="A724" s="1"/>
      <c r="B724" s="1"/>
      <c r="C724" s="1"/>
      <c r="D724" s="1"/>
      <c r="E724" s="1"/>
      <c r="L724" s="1"/>
      <c r="Q724" s="1"/>
    </row>
    <row r="725">
      <c r="A725" s="1"/>
      <c r="B725" s="1"/>
      <c r="C725" s="1"/>
      <c r="D725" s="1"/>
      <c r="E725" s="1"/>
      <c r="L725" s="1"/>
      <c r="Q725" s="1"/>
    </row>
    <row r="726">
      <c r="A726" s="1"/>
      <c r="B726" s="1"/>
      <c r="C726" s="1"/>
      <c r="D726" s="1"/>
      <c r="E726" s="1"/>
      <c r="L726" s="1"/>
      <c r="Q726" s="1"/>
    </row>
    <row r="727">
      <c r="A727" s="1"/>
      <c r="B727" s="1"/>
      <c r="C727" s="1"/>
      <c r="D727" s="1"/>
      <c r="E727" s="1"/>
      <c r="L727" s="1"/>
      <c r="Q727" s="1"/>
    </row>
    <row r="728">
      <c r="A728" s="1"/>
      <c r="B728" s="1"/>
      <c r="C728" s="1"/>
      <c r="D728" s="1"/>
      <c r="E728" s="1"/>
      <c r="L728" s="1"/>
      <c r="Q728" s="1"/>
    </row>
    <row r="729">
      <c r="A729" s="1"/>
      <c r="B729" s="1"/>
      <c r="C729" s="1"/>
      <c r="D729" s="1"/>
      <c r="E729" s="1"/>
      <c r="L729" s="1"/>
      <c r="Q729" s="1"/>
    </row>
    <row r="730">
      <c r="A730" s="1"/>
      <c r="B730" s="1"/>
      <c r="C730" s="1"/>
      <c r="D730" s="1"/>
      <c r="E730" s="1"/>
      <c r="L730" s="1"/>
      <c r="Q730" s="1"/>
    </row>
    <row r="731">
      <c r="A731" s="1"/>
      <c r="B731" s="1"/>
      <c r="C731" s="1"/>
      <c r="D731" s="1"/>
      <c r="E731" s="1"/>
      <c r="L731" s="1"/>
      <c r="Q731" s="1"/>
    </row>
    <row r="732">
      <c r="A732" s="1"/>
      <c r="B732" s="1"/>
      <c r="C732" s="1"/>
      <c r="D732" s="1"/>
      <c r="E732" s="1"/>
      <c r="L732" s="1"/>
      <c r="Q732" s="1"/>
    </row>
    <row r="733">
      <c r="A733" s="1"/>
      <c r="B733" s="1"/>
      <c r="C733" s="1"/>
      <c r="D733" s="1"/>
      <c r="E733" s="1"/>
      <c r="L733" s="1"/>
      <c r="Q733" s="1"/>
    </row>
    <row r="734">
      <c r="A734" s="1"/>
      <c r="B734" s="1"/>
      <c r="C734" s="1"/>
      <c r="D734" s="1"/>
      <c r="E734" s="1"/>
      <c r="L734" s="1"/>
      <c r="Q734" s="1"/>
    </row>
    <row r="735">
      <c r="A735" s="1"/>
      <c r="B735" s="1"/>
      <c r="C735" s="1"/>
      <c r="D735" s="1"/>
      <c r="E735" s="1"/>
      <c r="L735" s="1"/>
      <c r="Q735" s="1"/>
    </row>
    <row r="736">
      <c r="A736" s="1"/>
      <c r="B736" s="1"/>
      <c r="C736" s="1"/>
      <c r="D736" s="1"/>
      <c r="E736" s="1"/>
      <c r="L736" s="1"/>
      <c r="Q736" s="1"/>
    </row>
    <row r="737">
      <c r="A737" s="1"/>
      <c r="B737" s="1"/>
      <c r="C737" s="1"/>
      <c r="D737" s="1"/>
      <c r="E737" s="1"/>
      <c r="L737" s="1"/>
      <c r="Q737" s="1"/>
    </row>
    <row r="738">
      <c r="A738" s="1"/>
      <c r="B738" s="1"/>
      <c r="C738" s="1"/>
      <c r="D738" s="1"/>
      <c r="E738" s="1"/>
      <c r="L738" s="1"/>
      <c r="Q738" s="1"/>
    </row>
    <row r="739">
      <c r="A739" s="1"/>
      <c r="B739" s="1"/>
      <c r="C739" s="1"/>
      <c r="D739" s="1"/>
      <c r="E739" s="1"/>
      <c r="L739" s="1"/>
      <c r="Q739" s="1"/>
    </row>
    <row r="740">
      <c r="A740" s="1"/>
      <c r="B740" s="1"/>
      <c r="C740" s="1"/>
      <c r="D740" s="1"/>
      <c r="E740" s="1"/>
      <c r="L740" s="1"/>
      <c r="Q740" s="1"/>
    </row>
    <row r="741">
      <c r="A741" s="1"/>
      <c r="B741" s="1"/>
      <c r="C741" s="1"/>
      <c r="D741" s="1"/>
      <c r="E741" s="1"/>
      <c r="L741" s="1"/>
      <c r="Q741" s="1"/>
    </row>
    <row r="742">
      <c r="A742" s="1"/>
      <c r="B742" s="1"/>
      <c r="C742" s="1"/>
      <c r="D742" s="1"/>
      <c r="E742" s="1"/>
      <c r="L742" s="1"/>
      <c r="Q742" s="1"/>
    </row>
    <row r="743">
      <c r="A743" s="1"/>
      <c r="B743" s="1"/>
      <c r="C743" s="1"/>
      <c r="D743" s="1"/>
      <c r="E743" s="1"/>
      <c r="L743" s="1"/>
      <c r="Q743" s="1"/>
    </row>
    <row r="744">
      <c r="A744" s="1"/>
      <c r="B744" s="1"/>
      <c r="C744" s="1"/>
      <c r="D744" s="1"/>
      <c r="E744" s="1"/>
      <c r="L744" s="1"/>
      <c r="Q744" s="1"/>
    </row>
    <row r="745">
      <c r="A745" s="1"/>
      <c r="B745" s="1"/>
      <c r="C745" s="1"/>
      <c r="D745" s="1"/>
      <c r="E745" s="1"/>
      <c r="L745" s="1"/>
      <c r="Q745" s="1"/>
    </row>
    <row r="746">
      <c r="A746" s="1"/>
      <c r="B746" s="1"/>
      <c r="C746" s="1"/>
      <c r="D746" s="1"/>
      <c r="E746" s="1"/>
      <c r="L746" s="1"/>
      <c r="Q746" s="1"/>
    </row>
    <row r="747">
      <c r="A747" s="1"/>
      <c r="B747" s="1"/>
      <c r="C747" s="1"/>
      <c r="D747" s="1"/>
      <c r="E747" s="1"/>
      <c r="L747" s="1"/>
      <c r="Q747" s="1"/>
    </row>
    <row r="748">
      <c r="A748" s="1"/>
      <c r="B748" s="1"/>
      <c r="C748" s="1"/>
      <c r="D748" s="1"/>
      <c r="E748" s="1"/>
      <c r="L748" s="1"/>
      <c r="Q748" s="1"/>
    </row>
    <row r="749">
      <c r="A749" s="1"/>
      <c r="B749" s="1"/>
      <c r="C749" s="1"/>
      <c r="D749" s="1"/>
      <c r="E749" s="1"/>
      <c r="L749" s="1"/>
      <c r="Q749" s="1"/>
    </row>
    <row r="750">
      <c r="A750" s="1"/>
      <c r="B750" s="1"/>
      <c r="C750" s="1"/>
      <c r="D750" s="1"/>
      <c r="E750" s="1"/>
      <c r="L750" s="1"/>
      <c r="Q750" s="1"/>
    </row>
    <row r="751">
      <c r="A751" s="1"/>
      <c r="B751" s="1"/>
      <c r="C751" s="1"/>
      <c r="D751" s="1"/>
      <c r="E751" s="1"/>
      <c r="L751" s="1"/>
      <c r="Q751" s="1"/>
    </row>
    <row r="752">
      <c r="A752" s="1"/>
      <c r="B752" s="1"/>
      <c r="C752" s="1"/>
      <c r="D752" s="1"/>
      <c r="E752" s="1"/>
      <c r="L752" s="1"/>
      <c r="Q752" s="1"/>
    </row>
    <row r="753">
      <c r="A753" s="1"/>
      <c r="B753" s="1"/>
      <c r="C753" s="1"/>
      <c r="D753" s="1"/>
      <c r="E753" s="1"/>
      <c r="L753" s="1"/>
      <c r="Q753" s="1"/>
    </row>
    <row r="754">
      <c r="A754" s="1"/>
      <c r="B754" s="1"/>
      <c r="C754" s="1"/>
      <c r="D754" s="1"/>
      <c r="E754" s="1"/>
      <c r="L754" s="1"/>
      <c r="Q754" s="1"/>
    </row>
    <row r="755">
      <c r="A755" s="1"/>
      <c r="B755" s="1"/>
      <c r="C755" s="1"/>
      <c r="D755" s="1"/>
      <c r="E755" s="1"/>
      <c r="L755" s="1"/>
      <c r="Q755" s="1"/>
    </row>
    <row r="756">
      <c r="A756" s="1"/>
      <c r="B756" s="1"/>
      <c r="C756" s="1"/>
      <c r="D756" s="1"/>
      <c r="E756" s="1"/>
      <c r="L756" s="1"/>
      <c r="Q756" s="1"/>
    </row>
    <row r="757">
      <c r="A757" s="1"/>
      <c r="B757" s="1"/>
      <c r="C757" s="1"/>
      <c r="D757" s="1"/>
      <c r="E757" s="1"/>
      <c r="L757" s="1"/>
      <c r="Q757" s="1"/>
    </row>
    <row r="758">
      <c r="A758" s="1"/>
      <c r="B758" s="1"/>
      <c r="C758" s="1"/>
      <c r="D758" s="1"/>
      <c r="E758" s="1"/>
      <c r="L758" s="1"/>
      <c r="Q758" s="1"/>
    </row>
    <row r="759">
      <c r="A759" s="1"/>
      <c r="B759" s="1"/>
      <c r="C759" s="1"/>
      <c r="D759" s="1"/>
      <c r="E759" s="1"/>
      <c r="L759" s="1"/>
      <c r="Q759" s="1"/>
    </row>
    <row r="760">
      <c r="A760" s="1"/>
      <c r="B760" s="1"/>
      <c r="C760" s="1"/>
      <c r="D760" s="1"/>
      <c r="E760" s="1"/>
      <c r="L760" s="1"/>
      <c r="Q760" s="1"/>
    </row>
    <row r="761">
      <c r="A761" s="1"/>
      <c r="B761" s="1"/>
      <c r="C761" s="1"/>
      <c r="D761" s="1"/>
      <c r="E761" s="1"/>
      <c r="L761" s="1"/>
      <c r="Q761" s="1"/>
    </row>
    <row r="762">
      <c r="A762" s="1"/>
      <c r="B762" s="1"/>
      <c r="C762" s="1"/>
      <c r="D762" s="1"/>
      <c r="E762" s="1"/>
      <c r="L762" s="1"/>
      <c r="Q762" s="1"/>
    </row>
    <row r="763">
      <c r="A763" s="1"/>
      <c r="B763" s="1"/>
      <c r="C763" s="1"/>
      <c r="D763" s="1"/>
      <c r="E763" s="1"/>
      <c r="L763" s="1"/>
      <c r="Q763" s="1"/>
    </row>
    <row r="764">
      <c r="A764" s="1"/>
      <c r="B764" s="1"/>
      <c r="C764" s="1"/>
      <c r="D764" s="1"/>
      <c r="E764" s="1"/>
      <c r="L764" s="1"/>
      <c r="Q764" s="1"/>
    </row>
    <row r="765">
      <c r="A765" s="1"/>
      <c r="B765" s="1"/>
      <c r="C765" s="1"/>
      <c r="D765" s="1"/>
      <c r="E765" s="1"/>
      <c r="L765" s="1"/>
      <c r="Q765" s="1"/>
    </row>
    <row r="766">
      <c r="A766" s="1"/>
      <c r="B766" s="1"/>
      <c r="C766" s="1"/>
      <c r="D766" s="1"/>
      <c r="E766" s="1"/>
      <c r="L766" s="1"/>
      <c r="Q766" s="1"/>
    </row>
    <row r="767">
      <c r="A767" s="1"/>
      <c r="B767" s="1"/>
      <c r="C767" s="1"/>
      <c r="D767" s="1"/>
      <c r="E767" s="1"/>
      <c r="L767" s="1"/>
      <c r="Q767" s="1"/>
    </row>
    <row r="768">
      <c r="A768" s="1"/>
      <c r="B768" s="1"/>
      <c r="C768" s="1"/>
      <c r="D768" s="1"/>
      <c r="E768" s="1"/>
      <c r="L768" s="1"/>
      <c r="Q768" s="1"/>
    </row>
    <row r="769">
      <c r="A769" s="1"/>
      <c r="B769" s="1"/>
      <c r="C769" s="1"/>
      <c r="D769" s="1"/>
      <c r="E769" s="1"/>
      <c r="L769" s="1"/>
      <c r="Q769" s="1"/>
    </row>
    <row r="770">
      <c r="A770" s="1"/>
      <c r="B770" s="1"/>
      <c r="C770" s="1"/>
      <c r="D770" s="1"/>
      <c r="E770" s="1"/>
      <c r="L770" s="1"/>
      <c r="Q770" s="1"/>
    </row>
    <row r="771">
      <c r="A771" s="1"/>
      <c r="B771" s="1"/>
      <c r="C771" s="1"/>
      <c r="D771" s="1"/>
      <c r="E771" s="1"/>
      <c r="L771" s="1"/>
      <c r="Q771" s="1"/>
    </row>
    <row r="772">
      <c r="A772" s="1"/>
      <c r="B772" s="1"/>
      <c r="C772" s="1"/>
      <c r="D772" s="1"/>
      <c r="E772" s="1"/>
      <c r="L772" s="1"/>
      <c r="Q772" s="1"/>
    </row>
    <row r="773">
      <c r="A773" s="1"/>
      <c r="B773" s="1"/>
      <c r="C773" s="1"/>
      <c r="D773" s="1"/>
      <c r="E773" s="1"/>
      <c r="L773" s="1"/>
      <c r="Q773" s="1"/>
    </row>
    <row r="774">
      <c r="A774" s="1"/>
      <c r="B774" s="1"/>
      <c r="C774" s="1"/>
      <c r="D774" s="1"/>
      <c r="E774" s="1"/>
      <c r="L774" s="1"/>
      <c r="Q774" s="1"/>
    </row>
    <row r="775">
      <c r="A775" s="1"/>
      <c r="B775" s="1"/>
      <c r="C775" s="1"/>
      <c r="D775" s="1"/>
      <c r="E775" s="1"/>
      <c r="L775" s="1"/>
      <c r="Q775" s="1"/>
    </row>
    <row r="776">
      <c r="A776" s="1"/>
      <c r="B776" s="1"/>
      <c r="C776" s="1"/>
      <c r="D776" s="1"/>
      <c r="E776" s="1"/>
      <c r="L776" s="1"/>
      <c r="Q776" s="1"/>
    </row>
    <row r="777">
      <c r="A777" s="1"/>
      <c r="B777" s="1"/>
      <c r="C777" s="1"/>
      <c r="D777" s="1"/>
      <c r="E777" s="1"/>
      <c r="L777" s="1"/>
      <c r="Q777" s="1"/>
    </row>
    <row r="778">
      <c r="A778" s="1"/>
      <c r="B778" s="1"/>
      <c r="C778" s="1"/>
      <c r="D778" s="1"/>
      <c r="E778" s="1"/>
      <c r="L778" s="1"/>
      <c r="Q778" s="1"/>
    </row>
    <row r="779">
      <c r="A779" s="1"/>
      <c r="B779" s="1"/>
      <c r="C779" s="1"/>
      <c r="D779" s="1"/>
      <c r="E779" s="1"/>
      <c r="L779" s="1"/>
      <c r="Q779" s="1"/>
    </row>
    <row r="780">
      <c r="A780" s="1"/>
      <c r="B780" s="1"/>
      <c r="C780" s="1"/>
      <c r="D780" s="1"/>
      <c r="E780" s="1"/>
      <c r="L780" s="1"/>
      <c r="Q780" s="1"/>
    </row>
    <row r="781">
      <c r="A781" s="1"/>
      <c r="B781" s="1"/>
      <c r="C781" s="1"/>
      <c r="D781" s="1"/>
      <c r="E781" s="1"/>
      <c r="L781" s="1"/>
      <c r="Q781" s="1"/>
    </row>
    <row r="782">
      <c r="A782" s="1"/>
      <c r="B782" s="1"/>
      <c r="C782" s="1"/>
      <c r="D782" s="1"/>
      <c r="E782" s="1"/>
      <c r="L782" s="1"/>
      <c r="Q782" s="1"/>
    </row>
    <row r="783">
      <c r="A783" s="1"/>
      <c r="B783" s="1"/>
      <c r="C783" s="1"/>
      <c r="D783" s="1"/>
      <c r="E783" s="1"/>
      <c r="L783" s="1"/>
      <c r="Q783" s="1"/>
    </row>
    <row r="784">
      <c r="A784" s="1"/>
      <c r="B784" s="1"/>
      <c r="C784" s="1"/>
      <c r="D784" s="1"/>
      <c r="E784" s="1"/>
      <c r="L784" s="1"/>
      <c r="Q784" s="1"/>
    </row>
    <row r="785">
      <c r="A785" s="1"/>
      <c r="B785" s="1"/>
      <c r="C785" s="1"/>
      <c r="D785" s="1"/>
      <c r="E785" s="1"/>
      <c r="L785" s="1"/>
      <c r="Q785" s="1"/>
    </row>
    <row r="786">
      <c r="A786" s="1"/>
      <c r="B786" s="1"/>
      <c r="C786" s="1"/>
      <c r="D786" s="1"/>
      <c r="E786" s="1"/>
      <c r="L786" s="1"/>
      <c r="Q786" s="1"/>
    </row>
    <row r="787">
      <c r="A787" s="1"/>
      <c r="B787" s="1"/>
      <c r="C787" s="1"/>
      <c r="D787" s="1"/>
      <c r="E787" s="1"/>
      <c r="L787" s="1"/>
      <c r="Q787" s="1"/>
    </row>
    <row r="788">
      <c r="A788" s="1"/>
      <c r="B788" s="1"/>
      <c r="C788" s="1"/>
      <c r="D788" s="1"/>
      <c r="E788" s="1"/>
      <c r="L788" s="1"/>
      <c r="Q788" s="1"/>
    </row>
    <row r="789">
      <c r="A789" s="1"/>
      <c r="B789" s="1"/>
      <c r="C789" s="1"/>
      <c r="D789" s="1"/>
      <c r="E789" s="1"/>
      <c r="L789" s="1"/>
      <c r="Q789" s="1"/>
    </row>
    <row r="790">
      <c r="A790" s="1"/>
      <c r="B790" s="1"/>
      <c r="C790" s="1"/>
      <c r="D790" s="1"/>
      <c r="E790" s="1"/>
      <c r="L790" s="1"/>
      <c r="Q790" s="1"/>
    </row>
    <row r="791">
      <c r="A791" s="1"/>
      <c r="B791" s="1"/>
      <c r="C791" s="1"/>
      <c r="D791" s="1"/>
      <c r="E791" s="1"/>
      <c r="L791" s="1"/>
      <c r="Q791" s="1"/>
    </row>
    <row r="792">
      <c r="A792" s="1"/>
      <c r="B792" s="1"/>
      <c r="C792" s="1"/>
      <c r="D792" s="1"/>
      <c r="E792" s="1"/>
      <c r="L792" s="1"/>
      <c r="Q792" s="1"/>
    </row>
    <row r="793">
      <c r="A793" s="1"/>
      <c r="B793" s="1"/>
      <c r="C793" s="1"/>
      <c r="D793" s="1"/>
      <c r="E793" s="1"/>
      <c r="L793" s="1"/>
      <c r="Q793" s="1"/>
    </row>
    <row r="794">
      <c r="A794" s="1"/>
      <c r="B794" s="1"/>
      <c r="C794" s="1"/>
      <c r="D794" s="1"/>
      <c r="E794" s="1"/>
      <c r="L794" s="1"/>
      <c r="Q794" s="1"/>
    </row>
    <row r="795">
      <c r="A795" s="1"/>
      <c r="B795" s="1"/>
      <c r="C795" s="1"/>
      <c r="D795" s="1"/>
      <c r="E795" s="1"/>
      <c r="L795" s="1"/>
      <c r="Q795" s="1"/>
    </row>
    <row r="796">
      <c r="A796" s="1"/>
      <c r="B796" s="1"/>
      <c r="C796" s="1"/>
      <c r="D796" s="1"/>
      <c r="E796" s="1"/>
      <c r="L796" s="1"/>
      <c r="Q796" s="1"/>
    </row>
    <row r="797">
      <c r="A797" s="1"/>
      <c r="B797" s="1"/>
      <c r="C797" s="1"/>
      <c r="D797" s="1"/>
      <c r="E797" s="1"/>
      <c r="L797" s="1"/>
      <c r="Q797" s="1"/>
    </row>
    <row r="798">
      <c r="A798" s="1"/>
      <c r="B798" s="1"/>
      <c r="C798" s="1"/>
      <c r="D798" s="1"/>
      <c r="E798" s="1"/>
      <c r="L798" s="1"/>
      <c r="Q798" s="1"/>
    </row>
    <row r="799">
      <c r="A799" s="1"/>
      <c r="B799" s="1"/>
      <c r="C799" s="1"/>
      <c r="D799" s="1"/>
      <c r="E799" s="1"/>
      <c r="L799" s="1"/>
      <c r="Q799" s="1"/>
    </row>
    <row r="800">
      <c r="A800" s="1"/>
      <c r="B800" s="1"/>
      <c r="C800" s="1"/>
      <c r="D800" s="1"/>
      <c r="E800" s="1"/>
      <c r="L800" s="1"/>
      <c r="Q800" s="1"/>
    </row>
    <row r="801">
      <c r="A801" s="1"/>
      <c r="B801" s="1"/>
      <c r="C801" s="1"/>
      <c r="D801" s="1"/>
      <c r="E801" s="1"/>
      <c r="L801" s="1"/>
      <c r="Q801" s="1"/>
    </row>
    <row r="802">
      <c r="A802" s="1"/>
      <c r="B802" s="1"/>
      <c r="C802" s="1"/>
      <c r="D802" s="1"/>
      <c r="E802" s="1"/>
      <c r="L802" s="1"/>
      <c r="Q802" s="1"/>
    </row>
    <row r="803">
      <c r="A803" s="1"/>
      <c r="B803" s="1"/>
      <c r="C803" s="1"/>
      <c r="D803" s="1"/>
      <c r="E803" s="1"/>
      <c r="L803" s="1"/>
      <c r="Q803" s="1"/>
    </row>
    <row r="804">
      <c r="A804" s="1"/>
      <c r="B804" s="1"/>
      <c r="C804" s="1"/>
      <c r="D804" s="1"/>
      <c r="E804" s="1"/>
      <c r="L804" s="1"/>
      <c r="Q804" s="1"/>
    </row>
    <row r="805">
      <c r="A805" s="1"/>
      <c r="B805" s="1"/>
      <c r="C805" s="1"/>
      <c r="D805" s="1"/>
      <c r="E805" s="1"/>
      <c r="L805" s="1"/>
      <c r="Q805" s="1"/>
    </row>
    <row r="806">
      <c r="A806" s="1"/>
      <c r="B806" s="1"/>
      <c r="C806" s="1"/>
      <c r="D806" s="1"/>
      <c r="E806" s="1"/>
      <c r="L806" s="1"/>
      <c r="Q806" s="1"/>
    </row>
    <row r="807">
      <c r="A807" s="1"/>
      <c r="B807" s="1"/>
      <c r="C807" s="1"/>
      <c r="D807" s="1"/>
      <c r="E807" s="1"/>
      <c r="L807" s="1"/>
      <c r="Q807" s="1"/>
    </row>
    <row r="808">
      <c r="A808" s="1"/>
      <c r="B808" s="1"/>
      <c r="C808" s="1"/>
      <c r="D808" s="1"/>
      <c r="E808" s="1"/>
      <c r="L808" s="1"/>
      <c r="Q808" s="1"/>
    </row>
    <row r="809">
      <c r="A809" s="1"/>
      <c r="B809" s="1"/>
      <c r="C809" s="1"/>
      <c r="D809" s="1"/>
      <c r="E809" s="1"/>
      <c r="L809" s="1"/>
      <c r="Q809" s="1"/>
    </row>
    <row r="810">
      <c r="A810" s="1"/>
      <c r="B810" s="1"/>
      <c r="C810" s="1"/>
      <c r="D810" s="1"/>
      <c r="E810" s="1"/>
      <c r="L810" s="1"/>
      <c r="Q810" s="1"/>
    </row>
    <row r="811">
      <c r="A811" s="1"/>
      <c r="B811" s="1"/>
      <c r="C811" s="1"/>
      <c r="D811" s="1"/>
      <c r="E811" s="1"/>
      <c r="L811" s="1"/>
      <c r="Q811" s="1"/>
    </row>
    <row r="812">
      <c r="A812" s="1"/>
      <c r="B812" s="1"/>
      <c r="C812" s="1"/>
      <c r="D812" s="1"/>
      <c r="E812" s="1"/>
      <c r="L812" s="1"/>
      <c r="Q812" s="1"/>
    </row>
    <row r="813">
      <c r="A813" s="1"/>
      <c r="B813" s="1"/>
      <c r="C813" s="1"/>
      <c r="D813" s="1"/>
      <c r="E813" s="1"/>
      <c r="L813" s="1"/>
      <c r="Q813" s="1"/>
    </row>
    <row r="814">
      <c r="A814" s="1"/>
      <c r="B814" s="1"/>
      <c r="C814" s="1"/>
      <c r="D814" s="1"/>
      <c r="E814" s="1"/>
      <c r="L814" s="1"/>
      <c r="Q814" s="1"/>
    </row>
    <row r="815">
      <c r="A815" s="1"/>
      <c r="B815" s="1"/>
      <c r="C815" s="1"/>
      <c r="D815" s="1"/>
      <c r="E815" s="1"/>
      <c r="L815" s="1"/>
      <c r="Q815" s="1"/>
    </row>
    <row r="816">
      <c r="A816" s="1"/>
      <c r="B816" s="1"/>
      <c r="C816" s="1"/>
      <c r="D816" s="1"/>
      <c r="E816" s="1"/>
      <c r="L816" s="1"/>
      <c r="Q816" s="1"/>
    </row>
    <row r="817">
      <c r="A817" s="1"/>
      <c r="B817" s="1"/>
      <c r="C817" s="1"/>
      <c r="D817" s="1"/>
      <c r="E817" s="1"/>
      <c r="L817" s="1"/>
      <c r="Q817" s="1"/>
    </row>
    <row r="818">
      <c r="A818" s="1"/>
      <c r="B818" s="1"/>
      <c r="C818" s="1"/>
      <c r="D818" s="1"/>
      <c r="E818" s="1"/>
      <c r="L818" s="1"/>
      <c r="Q818" s="1"/>
    </row>
    <row r="819">
      <c r="A819" s="1"/>
      <c r="B819" s="1"/>
      <c r="C819" s="1"/>
      <c r="D819" s="1"/>
      <c r="E819" s="1"/>
      <c r="L819" s="1"/>
      <c r="Q819" s="1"/>
    </row>
    <row r="820">
      <c r="A820" s="1"/>
      <c r="B820" s="1"/>
      <c r="C820" s="1"/>
      <c r="D820" s="1"/>
      <c r="E820" s="1"/>
      <c r="L820" s="1"/>
      <c r="Q820" s="1"/>
    </row>
    <row r="821">
      <c r="A821" s="1"/>
      <c r="B821" s="1"/>
      <c r="C821" s="1"/>
      <c r="D821" s="1"/>
      <c r="E821" s="1"/>
      <c r="L821" s="1"/>
      <c r="Q821" s="1"/>
    </row>
    <row r="822">
      <c r="A822" s="1"/>
      <c r="B822" s="1"/>
      <c r="C822" s="1"/>
      <c r="D822" s="1"/>
      <c r="E822" s="1"/>
      <c r="L822" s="1"/>
      <c r="Q822" s="1"/>
    </row>
    <row r="823">
      <c r="A823" s="1"/>
      <c r="B823" s="1"/>
      <c r="C823" s="1"/>
      <c r="D823" s="1"/>
      <c r="E823" s="1"/>
      <c r="L823" s="1"/>
      <c r="Q823" s="1"/>
    </row>
    <row r="824">
      <c r="A824" s="1"/>
      <c r="B824" s="1"/>
      <c r="C824" s="1"/>
      <c r="D824" s="1"/>
      <c r="E824" s="1"/>
      <c r="L824" s="1"/>
      <c r="Q824" s="1"/>
    </row>
    <row r="825">
      <c r="A825" s="1"/>
      <c r="B825" s="1"/>
      <c r="C825" s="1"/>
      <c r="D825" s="1"/>
      <c r="E825" s="1"/>
      <c r="L825" s="1"/>
      <c r="Q825" s="1"/>
    </row>
    <row r="826">
      <c r="A826" s="1"/>
      <c r="B826" s="1"/>
      <c r="C826" s="1"/>
      <c r="D826" s="1"/>
      <c r="E826" s="1"/>
      <c r="L826" s="1"/>
      <c r="Q826" s="1"/>
    </row>
    <row r="827">
      <c r="A827" s="1"/>
      <c r="B827" s="1"/>
      <c r="C827" s="1"/>
      <c r="D827" s="1"/>
      <c r="E827" s="1"/>
      <c r="L827" s="1"/>
      <c r="Q827" s="1"/>
    </row>
    <row r="828">
      <c r="A828" s="1"/>
      <c r="B828" s="1"/>
      <c r="C828" s="1"/>
      <c r="D828" s="1"/>
      <c r="E828" s="1"/>
      <c r="L828" s="1"/>
      <c r="Q828" s="1"/>
    </row>
    <row r="829">
      <c r="A829" s="1"/>
      <c r="B829" s="1"/>
      <c r="C829" s="1"/>
      <c r="D829" s="1"/>
      <c r="E829" s="1"/>
      <c r="L829" s="1"/>
      <c r="Q829" s="1"/>
    </row>
    <row r="830">
      <c r="A830" s="1"/>
      <c r="B830" s="1"/>
      <c r="C830" s="1"/>
      <c r="D830" s="1"/>
      <c r="E830" s="1"/>
      <c r="L830" s="1"/>
      <c r="Q830" s="1"/>
    </row>
    <row r="831">
      <c r="A831" s="1"/>
      <c r="B831" s="1"/>
      <c r="C831" s="1"/>
      <c r="D831" s="1"/>
      <c r="E831" s="1"/>
      <c r="L831" s="1"/>
      <c r="Q831" s="1"/>
    </row>
    <row r="832">
      <c r="A832" s="1"/>
      <c r="B832" s="1"/>
      <c r="C832" s="1"/>
      <c r="D832" s="1"/>
      <c r="E832" s="1"/>
      <c r="L832" s="1"/>
      <c r="Q832" s="1"/>
    </row>
    <row r="833">
      <c r="A833" s="1"/>
      <c r="B833" s="1"/>
      <c r="C833" s="1"/>
      <c r="D833" s="1"/>
      <c r="E833" s="1"/>
      <c r="L833" s="1"/>
      <c r="Q833" s="1"/>
    </row>
    <row r="834">
      <c r="A834" s="1"/>
      <c r="B834" s="1"/>
      <c r="C834" s="1"/>
      <c r="D834" s="1"/>
      <c r="E834" s="1"/>
      <c r="L834" s="1"/>
      <c r="Q834" s="1"/>
    </row>
    <row r="835">
      <c r="A835" s="1"/>
      <c r="B835" s="1"/>
      <c r="C835" s="1"/>
      <c r="D835" s="1"/>
      <c r="E835" s="1"/>
      <c r="L835" s="1"/>
      <c r="Q835" s="1"/>
    </row>
    <row r="836">
      <c r="A836" s="1"/>
      <c r="B836" s="1"/>
      <c r="C836" s="1"/>
      <c r="D836" s="1"/>
      <c r="E836" s="1"/>
      <c r="L836" s="1"/>
      <c r="Q836" s="1"/>
    </row>
    <row r="837">
      <c r="A837" s="1"/>
      <c r="B837" s="1"/>
      <c r="C837" s="1"/>
      <c r="D837" s="1"/>
      <c r="E837" s="1"/>
      <c r="L837" s="1"/>
      <c r="Q837" s="1"/>
    </row>
    <row r="838">
      <c r="A838" s="1"/>
      <c r="B838" s="1"/>
      <c r="C838" s="1"/>
      <c r="D838" s="1"/>
      <c r="E838" s="1"/>
      <c r="L838" s="1"/>
      <c r="Q838" s="1"/>
    </row>
    <row r="839">
      <c r="A839" s="1"/>
      <c r="B839" s="1"/>
      <c r="C839" s="1"/>
      <c r="D839" s="1"/>
      <c r="E839" s="1"/>
      <c r="L839" s="1"/>
      <c r="Q839" s="1"/>
    </row>
    <row r="840">
      <c r="A840" s="1"/>
      <c r="B840" s="1"/>
      <c r="C840" s="1"/>
      <c r="D840" s="1"/>
      <c r="E840" s="1"/>
      <c r="L840" s="1"/>
      <c r="Q840" s="1"/>
    </row>
    <row r="841">
      <c r="A841" s="1"/>
      <c r="B841" s="1"/>
      <c r="C841" s="1"/>
      <c r="D841" s="1"/>
      <c r="E841" s="1"/>
      <c r="L841" s="1"/>
      <c r="Q841" s="1"/>
    </row>
    <row r="842">
      <c r="A842" s="1"/>
      <c r="B842" s="1"/>
      <c r="C842" s="1"/>
      <c r="D842" s="1"/>
      <c r="E842" s="1"/>
      <c r="L842" s="1"/>
      <c r="Q842" s="1"/>
    </row>
    <row r="843">
      <c r="A843" s="1"/>
      <c r="B843" s="1"/>
      <c r="C843" s="1"/>
      <c r="D843" s="1"/>
      <c r="E843" s="1"/>
      <c r="L843" s="1"/>
      <c r="Q843" s="1"/>
    </row>
    <row r="844">
      <c r="A844" s="1"/>
      <c r="B844" s="1"/>
      <c r="C844" s="1"/>
      <c r="D844" s="1"/>
      <c r="E844" s="1"/>
      <c r="L844" s="1"/>
      <c r="Q844" s="1"/>
    </row>
    <row r="845">
      <c r="A845" s="1"/>
      <c r="B845" s="1"/>
      <c r="C845" s="1"/>
      <c r="D845" s="1"/>
      <c r="E845" s="1"/>
      <c r="L845" s="1"/>
      <c r="Q845" s="1"/>
    </row>
    <row r="846">
      <c r="A846" s="1"/>
      <c r="B846" s="1"/>
      <c r="C846" s="1"/>
      <c r="D846" s="1"/>
      <c r="E846" s="1"/>
      <c r="L846" s="1"/>
      <c r="Q846" s="1"/>
    </row>
    <row r="847">
      <c r="A847" s="1"/>
      <c r="B847" s="1"/>
      <c r="C847" s="1"/>
      <c r="D847" s="1"/>
      <c r="E847" s="1"/>
      <c r="L847" s="1"/>
      <c r="Q847" s="1"/>
    </row>
    <row r="848">
      <c r="A848" s="1"/>
      <c r="B848" s="1"/>
      <c r="C848" s="1"/>
      <c r="D848" s="1"/>
      <c r="E848" s="1"/>
      <c r="L848" s="1"/>
      <c r="Q848" s="1"/>
    </row>
    <row r="849">
      <c r="A849" s="1"/>
      <c r="B849" s="1"/>
      <c r="C849" s="1"/>
      <c r="D849" s="1"/>
      <c r="E849" s="1"/>
      <c r="L849" s="1"/>
      <c r="Q849" s="1"/>
    </row>
    <row r="850">
      <c r="A850" s="1"/>
      <c r="B850" s="1"/>
      <c r="C850" s="1"/>
      <c r="D850" s="1"/>
      <c r="E850" s="1"/>
      <c r="L850" s="1"/>
      <c r="Q850" s="1"/>
    </row>
    <row r="851">
      <c r="A851" s="1"/>
      <c r="B851" s="1"/>
      <c r="C851" s="1"/>
      <c r="D851" s="1"/>
      <c r="E851" s="1"/>
      <c r="L851" s="1"/>
      <c r="Q851" s="1"/>
    </row>
    <row r="852">
      <c r="A852" s="1"/>
      <c r="B852" s="1"/>
      <c r="C852" s="1"/>
      <c r="D852" s="1"/>
      <c r="E852" s="1"/>
      <c r="L852" s="1"/>
      <c r="Q852" s="1"/>
    </row>
    <row r="853">
      <c r="A853" s="1"/>
      <c r="B853" s="1"/>
      <c r="C853" s="1"/>
      <c r="D853" s="1"/>
      <c r="E853" s="1"/>
      <c r="L853" s="1"/>
      <c r="Q853" s="1"/>
    </row>
    <row r="854">
      <c r="A854" s="1"/>
      <c r="B854" s="1"/>
      <c r="C854" s="1"/>
      <c r="D854" s="1"/>
      <c r="E854" s="1"/>
      <c r="L854" s="1"/>
      <c r="Q854" s="1"/>
    </row>
    <row r="855">
      <c r="A855" s="1"/>
      <c r="B855" s="1"/>
      <c r="C855" s="1"/>
      <c r="D855" s="1"/>
      <c r="E855" s="1"/>
      <c r="L855" s="1"/>
      <c r="Q855" s="1"/>
    </row>
    <row r="856">
      <c r="A856" s="1"/>
      <c r="B856" s="1"/>
      <c r="C856" s="1"/>
      <c r="D856" s="1"/>
      <c r="E856" s="1"/>
      <c r="L856" s="1"/>
      <c r="Q856" s="1"/>
    </row>
    <row r="857">
      <c r="A857" s="1"/>
      <c r="B857" s="1"/>
      <c r="C857" s="1"/>
      <c r="D857" s="1"/>
      <c r="E857" s="1"/>
      <c r="L857" s="1"/>
      <c r="Q857" s="1"/>
    </row>
    <row r="858">
      <c r="A858" s="1"/>
      <c r="B858" s="1"/>
      <c r="C858" s="1"/>
      <c r="D858" s="1"/>
      <c r="E858" s="1"/>
      <c r="L858" s="1"/>
      <c r="Q858" s="1"/>
    </row>
    <row r="859">
      <c r="A859" s="1"/>
      <c r="B859" s="1"/>
      <c r="C859" s="1"/>
      <c r="D859" s="1"/>
      <c r="E859" s="1"/>
      <c r="L859" s="1"/>
      <c r="Q859" s="1"/>
    </row>
    <row r="860">
      <c r="A860" s="1"/>
      <c r="B860" s="1"/>
      <c r="C860" s="1"/>
      <c r="D860" s="1"/>
      <c r="E860" s="1"/>
      <c r="L860" s="1"/>
      <c r="Q860" s="1"/>
    </row>
    <row r="861">
      <c r="A861" s="1"/>
      <c r="B861" s="1"/>
      <c r="C861" s="1"/>
      <c r="D861" s="1"/>
      <c r="E861" s="1"/>
      <c r="L861" s="1"/>
      <c r="Q861" s="1"/>
    </row>
    <row r="862">
      <c r="A862" s="1"/>
      <c r="B862" s="1"/>
      <c r="C862" s="1"/>
      <c r="D862" s="1"/>
      <c r="E862" s="1"/>
      <c r="L862" s="1"/>
      <c r="Q862" s="1"/>
    </row>
    <row r="863">
      <c r="A863" s="1"/>
      <c r="B863" s="1"/>
      <c r="C863" s="1"/>
      <c r="D863" s="1"/>
      <c r="E863" s="1"/>
      <c r="L863" s="1"/>
      <c r="Q863" s="1"/>
    </row>
    <row r="864">
      <c r="A864" s="1"/>
      <c r="B864" s="1"/>
      <c r="C864" s="1"/>
      <c r="D864" s="1"/>
      <c r="E864" s="1"/>
      <c r="L864" s="1"/>
      <c r="Q864" s="1"/>
    </row>
    <row r="865">
      <c r="A865" s="1"/>
      <c r="B865" s="1"/>
      <c r="C865" s="1"/>
      <c r="D865" s="1"/>
      <c r="E865" s="1"/>
      <c r="L865" s="1"/>
      <c r="Q865" s="1"/>
    </row>
    <row r="866">
      <c r="A866" s="1"/>
      <c r="B866" s="1"/>
      <c r="C866" s="1"/>
      <c r="D866" s="1"/>
      <c r="E866" s="1"/>
      <c r="L866" s="1"/>
      <c r="Q866" s="1"/>
    </row>
    <row r="867">
      <c r="A867" s="1"/>
      <c r="B867" s="1"/>
      <c r="C867" s="1"/>
      <c r="D867" s="1"/>
      <c r="E867" s="1"/>
      <c r="L867" s="1"/>
      <c r="Q867" s="1"/>
    </row>
    <row r="868">
      <c r="A868" s="1"/>
      <c r="B868" s="1"/>
      <c r="C868" s="1"/>
      <c r="D868" s="1"/>
      <c r="E868" s="1"/>
      <c r="L868" s="1"/>
      <c r="Q868" s="1"/>
    </row>
    <row r="869">
      <c r="A869" s="1"/>
      <c r="B869" s="1"/>
      <c r="C869" s="1"/>
      <c r="D869" s="1"/>
      <c r="E869" s="1"/>
      <c r="L869" s="1"/>
      <c r="Q869" s="1"/>
    </row>
    <row r="870">
      <c r="A870" s="1"/>
      <c r="B870" s="1"/>
      <c r="C870" s="1"/>
      <c r="D870" s="1"/>
      <c r="E870" s="1"/>
      <c r="L870" s="1"/>
      <c r="Q870" s="1"/>
    </row>
    <row r="871">
      <c r="A871" s="1"/>
      <c r="B871" s="1"/>
      <c r="C871" s="1"/>
      <c r="D871" s="1"/>
      <c r="E871" s="1"/>
      <c r="L871" s="1"/>
      <c r="Q871" s="1"/>
    </row>
    <row r="872">
      <c r="A872" s="1"/>
      <c r="B872" s="1"/>
      <c r="C872" s="1"/>
      <c r="D872" s="1"/>
      <c r="E872" s="1"/>
      <c r="L872" s="1"/>
      <c r="Q872" s="1"/>
    </row>
    <row r="873">
      <c r="A873" s="1"/>
      <c r="B873" s="1"/>
      <c r="C873" s="1"/>
      <c r="D873" s="1"/>
      <c r="E873" s="1"/>
      <c r="L873" s="1"/>
      <c r="Q873" s="1"/>
    </row>
    <row r="874">
      <c r="A874" s="1"/>
      <c r="B874" s="1"/>
      <c r="C874" s="1"/>
      <c r="D874" s="1"/>
      <c r="E874" s="1"/>
      <c r="L874" s="1"/>
      <c r="Q874" s="1"/>
    </row>
    <row r="875">
      <c r="A875" s="1"/>
      <c r="B875" s="1"/>
      <c r="C875" s="1"/>
      <c r="D875" s="1"/>
      <c r="E875" s="1"/>
      <c r="L875" s="1"/>
      <c r="Q875" s="1"/>
    </row>
    <row r="876">
      <c r="A876" s="1"/>
      <c r="B876" s="1"/>
      <c r="C876" s="1"/>
      <c r="D876" s="1"/>
      <c r="E876" s="1"/>
      <c r="L876" s="1"/>
      <c r="Q876" s="1"/>
    </row>
    <row r="877">
      <c r="A877" s="1"/>
      <c r="B877" s="1"/>
      <c r="C877" s="1"/>
      <c r="D877" s="1"/>
      <c r="E877" s="1"/>
      <c r="L877" s="1"/>
      <c r="Q877" s="1"/>
    </row>
    <row r="878">
      <c r="A878" s="1"/>
      <c r="B878" s="1"/>
      <c r="C878" s="1"/>
      <c r="D878" s="1"/>
      <c r="E878" s="1"/>
      <c r="L878" s="1"/>
      <c r="Q878" s="1"/>
    </row>
    <row r="879">
      <c r="A879" s="1"/>
      <c r="B879" s="1"/>
      <c r="C879" s="1"/>
      <c r="D879" s="1"/>
      <c r="E879" s="1"/>
      <c r="L879" s="1"/>
      <c r="Q879" s="1"/>
    </row>
    <row r="880">
      <c r="A880" s="1"/>
      <c r="B880" s="1"/>
      <c r="C880" s="1"/>
      <c r="D880" s="1"/>
      <c r="E880" s="1"/>
      <c r="L880" s="1"/>
      <c r="Q880" s="1"/>
    </row>
    <row r="881">
      <c r="A881" s="1"/>
      <c r="B881" s="1"/>
      <c r="C881" s="1"/>
      <c r="D881" s="1"/>
      <c r="E881" s="1"/>
      <c r="L881" s="1"/>
      <c r="Q881" s="1"/>
    </row>
    <row r="882">
      <c r="A882" s="1"/>
      <c r="B882" s="1"/>
      <c r="C882" s="1"/>
      <c r="D882" s="1"/>
      <c r="E882" s="1"/>
      <c r="L882" s="1"/>
      <c r="Q882" s="1"/>
    </row>
    <row r="883">
      <c r="A883" s="1"/>
      <c r="B883" s="1"/>
      <c r="C883" s="1"/>
      <c r="D883" s="1"/>
      <c r="E883" s="1"/>
      <c r="L883" s="1"/>
      <c r="Q883" s="1"/>
    </row>
    <row r="884">
      <c r="A884" s="1"/>
      <c r="B884" s="1"/>
      <c r="C884" s="1"/>
      <c r="D884" s="1"/>
      <c r="E884" s="1"/>
      <c r="L884" s="1"/>
      <c r="Q884" s="1"/>
    </row>
    <row r="885">
      <c r="A885" s="1"/>
      <c r="B885" s="1"/>
      <c r="C885" s="1"/>
      <c r="D885" s="1"/>
      <c r="E885" s="1"/>
      <c r="L885" s="1"/>
      <c r="Q885" s="1"/>
    </row>
    <row r="886">
      <c r="A886" s="1"/>
      <c r="B886" s="1"/>
      <c r="C886" s="1"/>
      <c r="D886" s="1"/>
      <c r="E886" s="1"/>
      <c r="L886" s="1"/>
      <c r="Q886" s="1"/>
    </row>
    <row r="887">
      <c r="A887" s="1"/>
      <c r="B887" s="1"/>
      <c r="C887" s="1"/>
      <c r="D887" s="1"/>
      <c r="E887" s="1"/>
      <c r="L887" s="1"/>
      <c r="Q887" s="1"/>
    </row>
    <row r="888">
      <c r="A888" s="1"/>
      <c r="B888" s="1"/>
      <c r="C888" s="1"/>
      <c r="D888" s="1"/>
      <c r="E888" s="1"/>
      <c r="L888" s="1"/>
      <c r="Q888" s="1"/>
    </row>
    <row r="889">
      <c r="A889" s="1"/>
      <c r="B889" s="1"/>
      <c r="C889" s="1"/>
      <c r="D889" s="1"/>
      <c r="E889" s="1"/>
      <c r="L889" s="1"/>
      <c r="Q889" s="1"/>
    </row>
    <row r="890">
      <c r="A890" s="1"/>
      <c r="B890" s="1"/>
      <c r="C890" s="1"/>
      <c r="D890" s="1"/>
      <c r="E890" s="1"/>
      <c r="L890" s="1"/>
      <c r="Q890" s="1"/>
    </row>
    <row r="891">
      <c r="A891" s="1"/>
      <c r="B891" s="1"/>
      <c r="C891" s="1"/>
      <c r="D891" s="1"/>
      <c r="E891" s="1"/>
      <c r="L891" s="1"/>
      <c r="Q891" s="1"/>
    </row>
    <row r="892">
      <c r="A892" s="1"/>
      <c r="B892" s="1"/>
      <c r="C892" s="1"/>
      <c r="D892" s="1"/>
      <c r="E892" s="1"/>
      <c r="L892" s="1"/>
      <c r="Q892" s="1"/>
    </row>
    <row r="893">
      <c r="A893" s="1"/>
      <c r="B893" s="1"/>
      <c r="C893" s="1"/>
      <c r="D893" s="1"/>
      <c r="E893" s="1"/>
      <c r="L893" s="1"/>
      <c r="Q893" s="1"/>
    </row>
    <row r="894">
      <c r="A894" s="1"/>
      <c r="B894" s="1"/>
      <c r="C894" s="1"/>
      <c r="D894" s="1"/>
      <c r="E894" s="1"/>
      <c r="L894" s="1"/>
      <c r="Q894" s="1"/>
    </row>
    <row r="895">
      <c r="A895" s="1"/>
      <c r="B895" s="1"/>
      <c r="C895" s="1"/>
      <c r="D895" s="1"/>
      <c r="E895" s="1"/>
      <c r="L895" s="1"/>
      <c r="Q895" s="1"/>
    </row>
    <row r="896">
      <c r="A896" s="1"/>
      <c r="B896" s="1"/>
      <c r="C896" s="1"/>
      <c r="D896" s="1"/>
      <c r="E896" s="1"/>
      <c r="L896" s="1"/>
      <c r="Q896" s="1"/>
    </row>
    <row r="897">
      <c r="A897" s="1"/>
      <c r="B897" s="1"/>
      <c r="C897" s="1"/>
      <c r="D897" s="1"/>
      <c r="E897" s="1"/>
      <c r="L897" s="1"/>
      <c r="Q897" s="1"/>
    </row>
    <row r="898">
      <c r="A898" s="1"/>
      <c r="B898" s="1"/>
      <c r="C898" s="1"/>
      <c r="D898" s="1"/>
      <c r="E898" s="1"/>
      <c r="L898" s="1"/>
      <c r="Q898" s="1"/>
    </row>
    <row r="899">
      <c r="A899" s="1"/>
      <c r="B899" s="1"/>
      <c r="C899" s="1"/>
      <c r="D899" s="1"/>
      <c r="E899" s="1"/>
      <c r="L899" s="1"/>
      <c r="Q899" s="1"/>
    </row>
    <row r="900">
      <c r="A900" s="1"/>
      <c r="B900" s="1"/>
      <c r="C900" s="1"/>
      <c r="D900" s="1"/>
      <c r="E900" s="1"/>
      <c r="L900" s="1"/>
      <c r="Q900" s="1"/>
    </row>
    <row r="901">
      <c r="A901" s="1"/>
      <c r="B901" s="1"/>
      <c r="C901" s="1"/>
      <c r="D901" s="1"/>
      <c r="E901" s="1"/>
      <c r="L901" s="1"/>
      <c r="Q901" s="1"/>
    </row>
    <row r="902">
      <c r="A902" s="1"/>
      <c r="B902" s="1"/>
      <c r="C902" s="1"/>
      <c r="D902" s="1"/>
      <c r="E902" s="1"/>
      <c r="L902" s="1"/>
      <c r="Q902" s="1"/>
    </row>
    <row r="903">
      <c r="A903" s="1"/>
      <c r="B903" s="1"/>
      <c r="C903" s="1"/>
      <c r="D903" s="1"/>
      <c r="E903" s="1"/>
      <c r="L903" s="1"/>
      <c r="Q903" s="1"/>
    </row>
    <row r="904">
      <c r="A904" s="1"/>
      <c r="B904" s="1"/>
      <c r="C904" s="1"/>
      <c r="D904" s="1"/>
      <c r="E904" s="1"/>
      <c r="L904" s="1"/>
      <c r="Q904" s="1"/>
    </row>
    <row r="905">
      <c r="A905" s="1"/>
      <c r="B905" s="1"/>
      <c r="C905" s="1"/>
      <c r="D905" s="1"/>
      <c r="E905" s="1"/>
      <c r="L905" s="1"/>
      <c r="Q905" s="1"/>
    </row>
    <row r="906">
      <c r="A906" s="1"/>
      <c r="B906" s="1"/>
      <c r="C906" s="1"/>
      <c r="D906" s="1"/>
      <c r="E906" s="1"/>
      <c r="L906" s="1"/>
      <c r="Q906" s="1"/>
    </row>
    <row r="907">
      <c r="A907" s="1"/>
      <c r="B907" s="1"/>
      <c r="C907" s="1"/>
      <c r="D907" s="1"/>
      <c r="E907" s="1"/>
      <c r="L907" s="1"/>
      <c r="Q907" s="1"/>
    </row>
    <row r="908">
      <c r="A908" s="1"/>
      <c r="B908" s="1"/>
      <c r="C908" s="1"/>
      <c r="D908" s="1"/>
      <c r="E908" s="1"/>
      <c r="L908" s="1"/>
      <c r="Q908" s="1"/>
    </row>
    <row r="909">
      <c r="A909" s="1"/>
      <c r="B909" s="1"/>
      <c r="C909" s="1"/>
      <c r="D909" s="1"/>
      <c r="E909" s="1"/>
      <c r="L909" s="1"/>
      <c r="Q909" s="1"/>
    </row>
    <row r="910">
      <c r="A910" s="1"/>
      <c r="B910" s="1"/>
      <c r="C910" s="1"/>
      <c r="D910" s="1"/>
      <c r="E910" s="1"/>
      <c r="L910" s="1"/>
      <c r="Q910" s="1"/>
    </row>
    <row r="911">
      <c r="A911" s="1"/>
      <c r="B911" s="1"/>
      <c r="C911" s="1"/>
      <c r="D911" s="1"/>
      <c r="E911" s="1"/>
      <c r="L911" s="1"/>
      <c r="Q911" s="1"/>
    </row>
    <row r="912">
      <c r="A912" s="1"/>
      <c r="B912" s="1"/>
      <c r="C912" s="1"/>
      <c r="D912" s="1"/>
      <c r="E912" s="1"/>
      <c r="L912" s="1"/>
      <c r="Q912" s="1"/>
    </row>
    <row r="913">
      <c r="A913" s="1"/>
      <c r="B913" s="1"/>
      <c r="C913" s="1"/>
      <c r="D913" s="1"/>
      <c r="E913" s="1"/>
      <c r="L913" s="1"/>
      <c r="Q913" s="1"/>
    </row>
    <row r="914">
      <c r="A914" s="1"/>
      <c r="B914" s="1"/>
      <c r="C914" s="1"/>
      <c r="D914" s="1"/>
      <c r="E914" s="1"/>
      <c r="L914" s="1"/>
      <c r="Q914" s="1"/>
    </row>
    <row r="915">
      <c r="A915" s="1"/>
      <c r="B915" s="1"/>
      <c r="C915" s="1"/>
      <c r="D915" s="1"/>
      <c r="E915" s="1"/>
      <c r="L915" s="1"/>
      <c r="Q915" s="1"/>
    </row>
    <row r="916">
      <c r="A916" s="1"/>
      <c r="B916" s="1"/>
      <c r="C916" s="1"/>
      <c r="D916" s="1"/>
      <c r="E916" s="1"/>
      <c r="L916" s="1"/>
      <c r="Q916" s="1"/>
    </row>
    <row r="917">
      <c r="A917" s="1"/>
      <c r="B917" s="1"/>
      <c r="C917" s="1"/>
      <c r="D917" s="1"/>
      <c r="E917" s="1"/>
      <c r="L917" s="1"/>
      <c r="Q917" s="1"/>
    </row>
    <row r="918">
      <c r="A918" s="1"/>
      <c r="B918" s="1"/>
      <c r="C918" s="1"/>
      <c r="D918" s="1"/>
      <c r="E918" s="1"/>
      <c r="L918" s="1"/>
      <c r="Q918" s="1"/>
    </row>
    <row r="919">
      <c r="A919" s="1"/>
      <c r="B919" s="1"/>
      <c r="C919" s="1"/>
      <c r="D919" s="1"/>
      <c r="E919" s="1"/>
      <c r="L919" s="1"/>
      <c r="Q919" s="1"/>
    </row>
    <row r="920">
      <c r="A920" s="1"/>
      <c r="B920" s="1"/>
      <c r="C920" s="1"/>
      <c r="D920" s="1"/>
      <c r="E920" s="1"/>
      <c r="L920" s="1"/>
      <c r="Q920" s="1"/>
    </row>
    <row r="921">
      <c r="A921" s="1"/>
      <c r="B921" s="1"/>
      <c r="C921" s="1"/>
      <c r="D921" s="1"/>
      <c r="E921" s="1"/>
      <c r="L921" s="1"/>
      <c r="Q921" s="1"/>
    </row>
    <row r="922">
      <c r="A922" s="1"/>
      <c r="B922" s="1"/>
      <c r="C922" s="1"/>
      <c r="D922" s="1"/>
      <c r="E922" s="1"/>
      <c r="L922" s="1"/>
      <c r="Q922" s="1"/>
    </row>
    <row r="923">
      <c r="A923" s="1"/>
      <c r="B923" s="1"/>
      <c r="C923" s="1"/>
      <c r="D923" s="1"/>
      <c r="E923" s="1"/>
      <c r="L923" s="1"/>
      <c r="Q923" s="1"/>
    </row>
    <row r="924">
      <c r="A924" s="1"/>
      <c r="B924" s="1"/>
      <c r="C924" s="1"/>
      <c r="D924" s="1"/>
      <c r="E924" s="1"/>
      <c r="L924" s="1"/>
      <c r="Q924" s="1"/>
    </row>
    <row r="925">
      <c r="A925" s="1"/>
      <c r="B925" s="1"/>
      <c r="C925" s="1"/>
      <c r="D925" s="1"/>
      <c r="E925" s="1"/>
      <c r="L925" s="1"/>
      <c r="Q925" s="1"/>
    </row>
    <row r="926">
      <c r="A926" s="1"/>
      <c r="B926" s="1"/>
      <c r="C926" s="1"/>
      <c r="D926" s="1"/>
      <c r="E926" s="1"/>
      <c r="L926" s="1"/>
      <c r="Q926" s="1"/>
    </row>
    <row r="927">
      <c r="A927" s="1"/>
      <c r="B927" s="1"/>
      <c r="C927" s="1"/>
      <c r="D927" s="1"/>
      <c r="E927" s="1"/>
      <c r="L927" s="1"/>
      <c r="Q927" s="1"/>
    </row>
    <row r="928">
      <c r="A928" s="1"/>
      <c r="B928" s="1"/>
      <c r="C928" s="1"/>
      <c r="D928" s="1"/>
      <c r="E928" s="1"/>
      <c r="L928" s="1"/>
      <c r="Q928" s="1"/>
    </row>
    <row r="929">
      <c r="A929" s="1"/>
      <c r="B929" s="1"/>
      <c r="C929" s="1"/>
      <c r="D929" s="1"/>
      <c r="E929" s="1"/>
      <c r="L929" s="1"/>
      <c r="Q929" s="1"/>
    </row>
    <row r="930">
      <c r="A930" s="1"/>
      <c r="B930" s="1"/>
      <c r="C930" s="1"/>
      <c r="D930" s="1"/>
      <c r="E930" s="1"/>
      <c r="L930" s="1"/>
      <c r="Q930" s="1"/>
    </row>
    <row r="931">
      <c r="A931" s="1"/>
      <c r="B931" s="1"/>
      <c r="C931" s="1"/>
      <c r="D931" s="1"/>
      <c r="E931" s="1"/>
      <c r="L931" s="1"/>
      <c r="Q931" s="1"/>
    </row>
    <row r="932">
      <c r="A932" s="1"/>
      <c r="B932" s="1"/>
      <c r="C932" s="1"/>
      <c r="D932" s="1"/>
      <c r="E932" s="1"/>
      <c r="L932" s="1"/>
      <c r="Q932" s="1"/>
    </row>
    <row r="933">
      <c r="A933" s="1"/>
      <c r="B933" s="1"/>
      <c r="C933" s="1"/>
      <c r="D933" s="1"/>
      <c r="E933" s="1"/>
      <c r="L933" s="1"/>
      <c r="Q933" s="1"/>
    </row>
    <row r="934">
      <c r="A934" s="1"/>
      <c r="B934" s="1"/>
      <c r="C934" s="1"/>
      <c r="D934" s="1"/>
      <c r="E934" s="1"/>
      <c r="L934" s="1"/>
      <c r="Q934" s="1"/>
    </row>
    <row r="935">
      <c r="A935" s="1"/>
      <c r="B935" s="1"/>
      <c r="C935" s="1"/>
      <c r="D935" s="1"/>
      <c r="E935" s="1"/>
      <c r="L935" s="1"/>
      <c r="Q935" s="1"/>
    </row>
    <row r="936">
      <c r="A936" s="1"/>
      <c r="B936" s="1"/>
      <c r="C936" s="1"/>
      <c r="D936" s="1"/>
      <c r="E936" s="1"/>
      <c r="L936" s="1"/>
      <c r="Q936" s="1"/>
    </row>
    <row r="937">
      <c r="A937" s="1"/>
      <c r="B937" s="1"/>
      <c r="C937" s="1"/>
      <c r="D937" s="1"/>
      <c r="E937" s="1"/>
      <c r="L937" s="1"/>
      <c r="Q937" s="1"/>
    </row>
    <row r="938">
      <c r="A938" s="1"/>
      <c r="B938" s="1"/>
      <c r="C938" s="1"/>
      <c r="D938" s="1"/>
      <c r="E938" s="1"/>
      <c r="L938" s="1"/>
      <c r="Q938" s="1"/>
    </row>
    <row r="939">
      <c r="A939" s="1"/>
      <c r="B939" s="1"/>
      <c r="C939" s="1"/>
      <c r="D939" s="1"/>
      <c r="E939" s="1"/>
      <c r="L939" s="1"/>
      <c r="Q939" s="1"/>
    </row>
    <row r="940">
      <c r="A940" s="1"/>
      <c r="B940" s="1"/>
      <c r="C940" s="1"/>
      <c r="D940" s="1"/>
      <c r="E940" s="1"/>
      <c r="L940" s="1"/>
      <c r="Q940" s="1"/>
    </row>
    <row r="941">
      <c r="A941" s="1"/>
      <c r="B941" s="1"/>
      <c r="C941" s="1"/>
      <c r="D941" s="1"/>
      <c r="E941" s="1"/>
      <c r="L941" s="1"/>
      <c r="Q941" s="1"/>
    </row>
    <row r="942">
      <c r="A942" s="1"/>
      <c r="B942" s="1"/>
      <c r="C942" s="1"/>
      <c r="D942" s="1"/>
      <c r="E942" s="1"/>
      <c r="L942" s="1"/>
      <c r="Q942" s="1"/>
    </row>
    <row r="943">
      <c r="A943" s="1"/>
      <c r="B943" s="1"/>
      <c r="C943" s="1"/>
      <c r="D943" s="1"/>
      <c r="E943" s="1"/>
      <c r="L943" s="1"/>
      <c r="Q943" s="1"/>
    </row>
    <row r="944">
      <c r="A944" s="1"/>
      <c r="B944" s="1"/>
      <c r="C944" s="1"/>
      <c r="D944" s="1"/>
      <c r="E944" s="1"/>
      <c r="L944" s="1"/>
      <c r="Q944" s="1"/>
    </row>
    <row r="945">
      <c r="A945" s="1"/>
      <c r="B945" s="1"/>
      <c r="C945" s="1"/>
      <c r="D945" s="1"/>
      <c r="E945" s="1"/>
      <c r="L945" s="1"/>
      <c r="Q945" s="1"/>
    </row>
    <row r="946">
      <c r="A946" s="1"/>
      <c r="B946" s="1"/>
      <c r="C946" s="1"/>
      <c r="D946" s="1"/>
      <c r="E946" s="1"/>
      <c r="L946" s="1"/>
      <c r="Q946" s="1"/>
    </row>
    <row r="947">
      <c r="A947" s="1"/>
      <c r="B947" s="1"/>
      <c r="C947" s="1"/>
      <c r="D947" s="1"/>
      <c r="E947" s="1"/>
      <c r="L947" s="1"/>
      <c r="Q947" s="1"/>
    </row>
    <row r="948">
      <c r="A948" s="1"/>
      <c r="B948" s="1"/>
      <c r="C948" s="1"/>
      <c r="D948" s="1"/>
      <c r="E948" s="1"/>
      <c r="L948" s="1"/>
      <c r="Q948" s="1"/>
    </row>
    <row r="949">
      <c r="A949" s="1"/>
      <c r="B949" s="1"/>
      <c r="C949" s="1"/>
      <c r="D949" s="1"/>
      <c r="E949" s="1"/>
      <c r="L949" s="1"/>
      <c r="Q949" s="1"/>
    </row>
    <row r="950">
      <c r="A950" s="1"/>
      <c r="B950" s="1"/>
      <c r="C950" s="1"/>
      <c r="D950" s="1"/>
      <c r="E950" s="1"/>
      <c r="L950" s="1"/>
      <c r="Q950" s="1"/>
    </row>
    <row r="951">
      <c r="A951" s="1"/>
      <c r="B951" s="1"/>
      <c r="C951" s="1"/>
      <c r="D951" s="1"/>
      <c r="E951" s="1"/>
      <c r="L951" s="1"/>
      <c r="Q951" s="1"/>
    </row>
    <row r="952">
      <c r="A952" s="1"/>
      <c r="B952" s="1"/>
      <c r="C952" s="1"/>
      <c r="D952" s="1"/>
      <c r="E952" s="1"/>
      <c r="L952" s="1"/>
      <c r="Q952" s="1"/>
    </row>
    <row r="953">
      <c r="A953" s="1"/>
      <c r="B953" s="1"/>
      <c r="C953" s="1"/>
      <c r="D953" s="1"/>
      <c r="E953" s="1"/>
      <c r="L953" s="1"/>
      <c r="Q953" s="1"/>
    </row>
    <row r="954">
      <c r="A954" s="1"/>
      <c r="B954" s="1"/>
      <c r="C954" s="1"/>
      <c r="D954" s="1"/>
      <c r="E954" s="1"/>
      <c r="L954" s="1"/>
      <c r="Q954" s="1"/>
    </row>
    <row r="955">
      <c r="A955" s="1"/>
      <c r="B955" s="1"/>
      <c r="C955" s="1"/>
      <c r="D955" s="1"/>
      <c r="E955" s="1"/>
      <c r="L955" s="1"/>
      <c r="Q955" s="1"/>
    </row>
    <row r="956">
      <c r="A956" s="1"/>
      <c r="B956" s="1"/>
      <c r="C956" s="1"/>
      <c r="D956" s="1"/>
      <c r="E956" s="1"/>
      <c r="L956" s="1"/>
      <c r="Q956" s="1"/>
    </row>
    <row r="957">
      <c r="A957" s="1"/>
      <c r="B957" s="1"/>
      <c r="C957" s="1"/>
      <c r="D957" s="1"/>
      <c r="E957" s="1"/>
      <c r="L957" s="1"/>
      <c r="Q957" s="1"/>
    </row>
    <row r="958">
      <c r="A958" s="1"/>
      <c r="B958" s="1"/>
      <c r="C958" s="1"/>
      <c r="D958" s="1"/>
      <c r="E958" s="1"/>
      <c r="L958" s="1"/>
      <c r="Q958" s="1"/>
    </row>
    <row r="959">
      <c r="A959" s="1"/>
      <c r="B959" s="1"/>
      <c r="C959" s="1"/>
      <c r="D959" s="1"/>
      <c r="E959" s="1"/>
      <c r="L959" s="1"/>
      <c r="Q959" s="1"/>
    </row>
    <row r="960">
      <c r="A960" s="1"/>
      <c r="B960" s="1"/>
      <c r="C960" s="1"/>
      <c r="D960" s="1"/>
      <c r="E960" s="1"/>
      <c r="L960" s="1"/>
      <c r="Q960" s="1"/>
    </row>
    <row r="961">
      <c r="A961" s="1"/>
      <c r="B961" s="1"/>
      <c r="C961" s="1"/>
      <c r="D961" s="1"/>
      <c r="E961" s="1"/>
      <c r="L961" s="1"/>
      <c r="Q961" s="1"/>
    </row>
    <row r="962">
      <c r="A962" s="1"/>
      <c r="B962" s="1"/>
      <c r="C962" s="1"/>
      <c r="D962" s="1"/>
      <c r="E962" s="1"/>
      <c r="L962" s="1"/>
      <c r="Q962" s="1"/>
    </row>
    <row r="963">
      <c r="A963" s="1"/>
      <c r="B963" s="1"/>
      <c r="C963" s="1"/>
      <c r="D963" s="1"/>
      <c r="E963" s="1"/>
      <c r="L963" s="1"/>
      <c r="Q963" s="1"/>
    </row>
    <row r="964">
      <c r="A964" s="1"/>
      <c r="B964" s="1"/>
      <c r="C964" s="1"/>
      <c r="D964" s="1"/>
      <c r="E964" s="1"/>
      <c r="L964" s="1"/>
      <c r="Q964" s="1"/>
    </row>
    <row r="965">
      <c r="A965" s="1"/>
      <c r="B965" s="1"/>
      <c r="C965" s="1"/>
      <c r="D965" s="1"/>
      <c r="E965" s="1"/>
      <c r="L965" s="1"/>
      <c r="Q965" s="1"/>
    </row>
    <row r="966">
      <c r="A966" s="1"/>
      <c r="B966" s="1"/>
      <c r="C966" s="1"/>
      <c r="D966" s="1"/>
      <c r="E966" s="1"/>
      <c r="L966" s="1"/>
      <c r="Q966" s="1"/>
    </row>
    <row r="967">
      <c r="A967" s="1"/>
      <c r="B967" s="1"/>
      <c r="C967" s="1"/>
      <c r="D967" s="1"/>
      <c r="E967" s="1"/>
      <c r="L967" s="1"/>
      <c r="Q967" s="1"/>
    </row>
    <row r="968">
      <c r="A968" s="1"/>
      <c r="B968" s="1"/>
      <c r="C968" s="1"/>
      <c r="D968" s="1"/>
      <c r="E968" s="1"/>
      <c r="L968" s="1"/>
      <c r="Q968" s="1"/>
    </row>
    <row r="969">
      <c r="A969" s="1"/>
      <c r="B969" s="1"/>
      <c r="C969" s="1"/>
      <c r="D969" s="1"/>
      <c r="E969" s="1"/>
      <c r="L969" s="1"/>
      <c r="Q969" s="1"/>
    </row>
    <row r="970">
      <c r="A970" s="1"/>
      <c r="B970" s="1"/>
      <c r="C970" s="1"/>
      <c r="D970" s="1"/>
      <c r="E970" s="1"/>
      <c r="L970" s="1"/>
      <c r="Q970" s="1"/>
    </row>
    <row r="971">
      <c r="A971" s="1"/>
      <c r="B971" s="1"/>
      <c r="C971" s="1"/>
      <c r="D971" s="1"/>
      <c r="E971" s="1"/>
      <c r="L971" s="1"/>
      <c r="Q971" s="1"/>
    </row>
    <row r="972">
      <c r="A972" s="1"/>
      <c r="B972" s="1"/>
      <c r="C972" s="1"/>
      <c r="D972" s="1"/>
      <c r="E972" s="1"/>
      <c r="L972" s="1"/>
      <c r="Q972" s="1"/>
    </row>
    <row r="973">
      <c r="A973" s="1"/>
      <c r="B973" s="1"/>
      <c r="C973" s="1"/>
      <c r="D973" s="1"/>
      <c r="E973" s="1"/>
      <c r="L973" s="1"/>
      <c r="Q973" s="1"/>
    </row>
    <row r="974">
      <c r="A974" s="1"/>
      <c r="B974" s="1"/>
      <c r="C974" s="1"/>
      <c r="D974" s="1"/>
      <c r="E974" s="1"/>
      <c r="L974" s="1"/>
      <c r="Q974" s="1"/>
    </row>
    <row r="975">
      <c r="A975" s="1"/>
      <c r="B975" s="1"/>
      <c r="C975" s="1"/>
      <c r="D975" s="1"/>
      <c r="E975" s="1"/>
      <c r="L975" s="1"/>
      <c r="Q975" s="1"/>
    </row>
    <row r="976">
      <c r="A976" s="1"/>
      <c r="B976" s="1"/>
      <c r="C976" s="1"/>
      <c r="D976" s="1"/>
      <c r="E976" s="1"/>
      <c r="L976" s="1"/>
      <c r="Q976" s="1"/>
    </row>
    <row r="977">
      <c r="A977" s="1"/>
      <c r="B977" s="1"/>
      <c r="C977" s="1"/>
      <c r="D977" s="1"/>
      <c r="E977" s="1"/>
      <c r="L977" s="1"/>
      <c r="Q977" s="1"/>
    </row>
    <row r="978">
      <c r="A978" s="1"/>
      <c r="B978" s="1"/>
      <c r="C978" s="1"/>
      <c r="D978" s="1"/>
      <c r="E978" s="1"/>
      <c r="L978" s="1"/>
      <c r="Q978" s="1"/>
    </row>
    <row r="979">
      <c r="A979" s="1"/>
      <c r="B979" s="1"/>
      <c r="C979" s="1"/>
      <c r="D979" s="1"/>
      <c r="E979" s="1"/>
      <c r="L979" s="1"/>
      <c r="Q979" s="1"/>
    </row>
    <row r="980">
      <c r="A980" s="1"/>
      <c r="B980" s="1"/>
      <c r="C980" s="1"/>
      <c r="D980" s="1"/>
      <c r="E980" s="1"/>
      <c r="L980" s="1"/>
      <c r="Q980" s="1"/>
    </row>
    <row r="981">
      <c r="A981" s="1"/>
      <c r="B981" s="1"/>
      <c r="C981" s="1"/>
      <c r="D981" s="1"/>
      <c r="E981" s="1"/>
      <c r="L981" s="1"/>
      <c r="Q981" s="1"/>
    </row>
    <row r="982">
      <c r="A982" s="1"/>
      <c r="B982" s="1"/>
      <c r="C982" s="1"/>
      <c r="D982" s="1"/>
      <c r="E982" s="1"/>
      <c r="L982" s="1"/>
      <c r="Q982" s="1"/>
    </row>
    <row r="983">
      <c r="A983" s="1"/>
      <c r="B983" s="1"/>
      <c r="C983" s="1"/>
      <c r="D983" s="1"/>
      <c r="E983" s="1"/>
      <c r="L983" s="1"/>
      <c r="Q983" s="1"/>
    </row>
    <row r="984">
      <c r="A984" s="1"/>
      <c r="B984" s="1"/>
      <c r="C984" s="1"/>
      <c r="D984" s="1"/>
      <c r="E984" s="1"/>
      <c r="L984" s="1"/>
      <c r="Q984" s="1"/>
    </row>
    <row r="985">
      <c r="A985" s="1"/>
      <c r="B985" s="1"/>
      <c r="C985" s="1"/>
      <c r="D985" s="1"/>
      <c r="E985" s="1"/>
      <c r="L985" s="1"/>
      <c r="Q985" s="1"/>
    </row>
    <row r="986">
      <c r="A986" s="1"/>
      <c r="B986" s="1"/>
      <c r="C986" s="1"/>
      <c r="D986" s="1"/>
      <c r="E986" s="1"/>
      <c r="L986" s="1"/>
      <c r="Q986" s="1"/>
    </row>
    <row r="987">
      <c r="A987" s="1"/>
      <c r="B987" s="1"/>
      <c r="C987" s="1"/>
      <c r="D987" s="1"/>
      <c r="E987" s="1"/>
      <c r="L987" s="1"/>
      <c r="Q987" s="1"/>
    </row>
    <row r="988">
      <c r="A988" s="1"/>
      <c r="B988" s="1"/>
      <c r="C988" s="1"/>
      <c r="D988" s="1"/>
      <c r="E988" s="1"/>
      <c r="L988" s="1"/>
      <c r="Q988" s="1"/>
    </row>
    <row r="989">
      <c r="A989" s="1"/>
      <c r="B989" s="1"/>
      <c r="C989" s="1"/>
      <c r="D989" s="1"/>
      <c r="E989" s="1"/>
      <c r="L989" s="1"/>
      <c r="Q989" s="1"/>
    </row>
    <row r="990">
      <c r="A990" s="1"/>
      <c r="B990" s="1"/>
      <c r="C990" s="1"/>
      <c r="D990" s="1"/>
      <c r="E990" s="1"/>
      <c r="L990" s="1"/>
      <c r="Q990" s="1"/>
    </row>
    <row r="991">
      <c r="A991" s="1"/>
      <c r="B991" s="1"/>
      <c r="C991" s="1"/>
      <c r="D991" s="1"/>
      <c r="E991" s="1"/>
      <c r="L991" s="1"/>
      <c r="Q991" s="1"/>
    </row>
    <row r="992">
      <c r="A992" s="1"/>
      <c r="B992" s="1"/>
      <c r="C992" s="1"/>
      <c r="D992" s="1"/>
      <c r="E992" s="1"/>
      <c r="L992" s="1"/>
      <c r="Q992" s="1"/>
    </row>
    <row r="993">
      <c r="A993" s="1"/>
      <c r="B993" s="1"/>
      <c r="C993" s="1"/>
      <c r="D993" s="1"/>
      <c r="E993" s="1"/>
      <c r="L993" s="1"/>
      <c r="Q993" s="1"/>
    </row>
    <row r="994">
      <c r="A994" s="1"/>
      <c r="B994" s="1"/>
      <c r="C994" s="1"/>
      <c r="D994" s="1"/>
      <c r="E994" s="1"/>
      <c r="L994" s="1"/>
      <c r="Q994" s="1"/>
    </row>
    <row r="995">
      <c r="A995" s="1"/>
      <c r="B995" s="1"/>
      <c r="C995" s="1"/>
      <c r="D995" s="1"/>
      <c r="E995" s="1"/>
      <c r="L995" s="1"/>
      <c r="Q995" s="1"/>
    </row>
    <row r="996">
      <c r="A996" s="1"/>
      <c r="B996" s="1"/>
      <c r="C996" s="1"/>
      <c r="D996" s="1"/>
      <c r="E996" s="1"/>
      <c r="L996" s="1"/>
      <c r="Q996" s="1"/>
    </row>
    <row r="997">
      <c r="A997" s="1"/>
      <c r="B997" s="1"/>
      <c r="C997" s="1"/>
      <c r="D997" s="1"/>
      <c r="E997" s="1"/>
      <c r="L997" s="1"/>
      <c r="Q997" s="1"/>
    </row>
    <row r="998">
      <c r="A998" s="1"/>
      <c r="B998" s="1"/>
      <c r="C998" s="1"/>
      <c r="D998" s="1"/>
      <c r="E998" s="1"/>
      <c r="L998" s="1"/>
      <c r="Q998" s="1"/>
    </row>
    <row r="999">
      <c r="A999" s="1"/>
      <c r="B999" s="1"/>
      <c r="C999" s="1"/>
      <c r="D999" s="1"/>
      <c r="E999" s="1"/>
      <c r="L999" s="1"/>
      <c r="Q999" s="1"/>
    </row>
    <row r="1000">
      <c r="A1000" s="1"/>
      <c r="B1000" s="1"/>
      <c r="C1000" s="1"/>
      <c r="D1000" s="1"/>
      <c r="E1000" s="1"/>
      <c r="L1000" s="1"/>
      <c r="Q1000" s="1"/>
    </row>
    <row r="1001">
      <c r="A1001" s="1"/>
      <c r="B1001" s="1"/>
      <c r="C1001" s="1"/>
      <c r="D1001" s="1"/>
      <c r="E1001" s="1"/>
      <c r="L1001" s="1"/>
      <c r="Q1001" s="1"/>
    </row>
    <row r="1002">
      <c r="A1002" s="1"/>
      <c r="B1002" s="1"/>
      <c r="C1002" s="1"/>
      <c r="D1002" s="1"/>
      <c r="E1002" s="1"/>
      <c r="L1002" s="1"/>
      <c r="Q1002" s="1"/>
    </row>
    <row r="1003">
      <c r="A1003" s="1"/>
      <c r="B1003" s="1"/>
      <c r="C1003" s="1"/>
      <c r="D1003" s="1"/>
      <c r="E1003" s="1"/>
      <c r="L1003" s="1"/>
      <c r="Q1003" s="1"/>
    </row>
    <row r="1004">
      <c r="A1004" s="1"/>
      <c r="B1004" s="1"/>
      <c r="C1004" s="1"/>
      <c r="D1004" s="1"/>
      <c r="E1004" s="1"/>
      <c r="L1004" s="1"/>
      <c r="Q1004" s="1"/>
    </row>
    <row r="1005">
      <c r="A1005" s="1"/>
      <c r="B1005" s="1"/>
      <c r="C1005" s="1"/>
      <c r="D1005" s="1"/>
      <c r="E1005" s="1"/>
      <c r="L1005" s="1"/>
      <c r="Q1005" s="1"/>
    </row>
    <row r="1006">
      <c r="A1006" s="1"/>
      <c r="B1006" s="1"/>
      <c r="C1006" s="1"/>
      <c r="D1006" s="1"/>
      <c r="E1006" s="1"/>
      <c r="L1006" s="1"/>
      <c r="Q1006" s="1"/>
    </row>
    <row r="1007">
      <c r="A1007" s="1"/>
      <c r="B1007" s="1"/>
      <c r="C1007" s="1"/>
      <c r="D1007" s="1"/>
      <c r="E1007" s="1"/>
      <c r="L1007" s="1"/>
      <c r="Q1007" s="1"/>
    </row>
    <row r="1008">
      <c r="A1008" s="1"/>
      <c r="B1008" s="1"/>
      <c r="C1008" s="1"/>
      <c r="D1008" s="1"/>
      <c r="E1008" s="1"/>
      <c r="L1008" s="1"/>
      <c r="Q1008" s="1"/>
    </row>
    <row r="1009">
      <c r="A1009" s="1"/>
      <c r="B1009" s="1"/>
      <c r="C1009" s="1"/>
      <c r="D1009" s="1"/>
      <c r="E1009" s="1"/>
      <c r="L1009" s="1"/>
      <c r="Q1009" s="1"/>
    </row>
    <row r="1010">
      <c r="A1010" s="1"/>
      <c r="B1010" s="1"/>
      <c r="C1010" s="1"/>
      <c r="D1010" s="1"/>
      <c r="E1010" s="1"/>
      <c r="L1010" s="1"/>
      <c r="Q1010" s="1"/>
    </row>
    <row r="1011">
      <c r="A1011" s="1"/>
      <c r="B1011" s="1"/>
      <c r="C1011" s="1"/>
      <c r="D1011" s="1"/>
      <c r="E1011" s="1"/>
      <c r="L1011" s="1"/>
      <c r="Q1011" s="1"/>
    </row>
    <row r="1012">
      <c r="A1012" s="1"/>
      <c r="B1012" s="1"/>
      <c r="C1012" s="1"/>
      <c r="D1012" s="1"/>
      <c r="E1012" s="1"/>
      <c r="L1012" s="1"/>
      <c r="Q1012" s="1"/>
    </row>
    <row r="1013">
      <c r="A1013" s="1"/>
      <c r="B1013" s="1"/>
      <c r="C1013" s="1"/>
      <c r="D1013" s="1"/>
      <c r="E1013" s="1"/>
      <c r="L1013" s="1"/>
      <c r="Q1013" s="1"/>
    </row>
    <row r="1014">
      <c r="A1014" s="1"/>
      <c r="B1014" s="1"/>
      <c r="C1014" s="1"/>
      <c r="D1014" s="1"/>
      <c r="E1014" s="1"/>
      <c r="L1014" s="1"/>
      <c r="Q1014" s="1"/>
    </row>
    <row r="1015">
      <c r="A1015" s="1"/>
      <c r="B1015" s="1"/>
      <c r="C1015" s="1"/>
      <c r="D1015" s="1"/>
      <c r="E1015" s="1"/>
      <c r="L1015" s="1"/>
      <c r="Q1015" s="1"/>
    </row>
    <row r="1016">
      <c r="A1016" s="1"/>
      <c r="B1016" s="1"/>
      <c r="C1016" s="1"/>
      <c r="D1016" s="1"/>
      <c r="E1016" s="1"/>
      <c r="L1016" s="1"/>
      <c r="Q1016" s="1"/>
    </row>
    <row r="1017">
      <c r="A1017" s="1"/>
      <c r="B1017" s="1"/>
      <c r="C1017" s="1"/>
      <c r="D1017" s="1"/>
      <c r="E1017" s="1"/>
      <c r="L1017" s="1"/>
      <c r="Q1017" s="1"/>
    </row>
    <row r="1018">
      <c r="A1018" s="1"/>
      <c r="B1018" s="1"/>
      <c r="C1018" s="1"/>
      <c r="D1018" s="1"/>
      <c r="E1018" s="1"/>
      <c r="L1018" s="1"/>
      <c r="Q1018" s="1"/>
    </row>
    <row r="1019">
      <c r="A1019" s="1"/>
      <c r="B1019" s="1"/>
      <c r="C1019" s="1"/>
      <c r="D1019" s="1"/>
      <c r="E1019" s="1"/>
      <c r="L1019" s="1"/>
      <c r="Q1019" s="1"/>
    </row>
    <row r="1020">
      <c r="A1020" s="1"/>
      <c r="B1020" s="1"/>
      <c r="C1020" s="1"/>
      <c r="D1020" s="1"/>
      <c r="E1020" s="1"/>
      <c r="L1020" s="1"/>
      <c r="Q1020" s="1"/>
    </row>
    <row r="1021">
      <c r="A1021" s="1"/>
      <c r="B1021" s="1"/>
      <c r="C1021" s="1"/>
      <c r="D1021" s="1"/>
      <c r="E1021" s="1"/>
      <c r="L1021" s="1"/>
      <c r="Q1021" s="1"/>
    </row>
    <row r="1022">
      <c r="A1022" s="1"/>
      <c r="B1022" s="1"/>
      <c r="C1022" s="1"/>
      <c r="D1022" s="1"/>
      <c r="E1022" s="1"/>
      <c r="L1022" s="1"/>
      <c r="Q1022" s="1"/>
    </row>
    <row r="1023">
      <c r="A1023" s="1"/>
      <c r="B1023" s="1"/>
      <c r="C1023" s="1"/>
      <c r="D1023" s="1"/>
      <c r="E1023" s="1"/>
      <c r="L1023" s="1"/>
      <c r="Q1023" s="1"/>
    </row>
    <row r="1024">
      <c r="A1024" s="1"/>
      <c r="B1024" s="1"/>
      <c r="C1024" s="1"/>
      <c r="D1024" s="1"/>
      <c r="E1024" s="1"/>
      <c r="L1024" s="1"/>
      <c r="Q1024" s="1"/>
    </row>
    <row r="1025">
      <c r="A1025" s="1"/>
      <c r="B1025" s="1"/>
      <c r="C1025" s="1"/>
      <c r="D1025" s="1"/>
      <c r="E1025" s="1"/>
      <c r="L1025" s="1"/>
      <c r="Q1025" s="1"/>
    </row>
    <row r="1026">
      <c r="A1026" s="1"/>
      <c r="B1026" s="1"/>
      <c r="C1026" s="1"/>
      <c r="D1026" s="1"/>
      <c r="E1026" s="1"/>
      <c r="L1026" s="1"/>
      <c r="Q1026" s="1"/>
    </row>
    <row r="1027">
      <c r="A1027" s="1"/>
      <c r="B1027" s="1"/>
      <c r="C1027" s="1"/>
      <c r="D1027" s="1"/>
      <c r="E1027" s="1"/>
      <c r="L1027" s="1"/>
      <c r="Q1027" s="1"/>
    </row>
    <row r="1028">
      <c r="A1028" s="1"/>
      <c r="B1028" s="1"/>
      <c r="C1028" s="1"/>
      <c r="D1028" s="1"/>
      <c r="E1028" s="1"/>
      <c r="L1028" s="1"/>
      <c r="Q1028" s="1"/>
    </row>
    <row r="1029">
      <c r="A1029" s="1"/>
      <c r="B1029" s="1"/>
      <c r="C1029" s="1"/>
      <c r="D1029" s="1"/>
      <c r="E1029" s="1"/>
      <c r="L1029" s="1"/>
      <c r="Q1029" s="1"/>
    </row>
    <row r="1030">
      <c r="A1030" s="1"/>
      <c r="B1030" s="1"/>
      <c r="C1030" s="1"/>
      <c r="D1030" s="1"/>
      <c r="E1030" s="1"/>
      <c r="L1030" s="1"/>
      <c r="Q1030" s="1"/>
    </row>
    <row r="1031">
      <c r="A1031" s="1"/>
      <c r="B1031" s="1"/>
      <c r="C1031" s="1"/>
      <c r="D1031" s="1"/>
      <c r="E1031" s="1"/>
      <c r="L1031" s="1"/>
      <c r="Q1031" s="1"/>
    </row>
    <row r="1032">
      <c r="A1032" s="1"/>
      <c r="B1032" s="1"/>
      <c r="C1032" s="1"/>
      <c r="D1032" s="1"/>
      <c r="E1032" s="1"/>
      <c r="L1032" s="1"/>
      <c r="Q1032" s="1"/>
    </row>
    <row r="1033">
      <c r="A1033" s="1"/>
      <c r="B1033" s="1"/>
      <c r="C1033" s="1"/>
      <c r="D1033" s="1"/>
      <c r="E1033" s="1"/>
      <c r="L1033" s="1"/>
      <c r="Q1033" s="1"/>
    </row>
    <row r="1034">
      <c r="A1034" s="1"/>
      <c r="B1034" s="1"/>
      <c r="C1034" s="1"/>
      <c r="D1034" s="1"/>
      <c r="E1034" s="1"/>
      <c r="L1034" s="1"/>
      <c r="Q1034" s="1"/>
    </row>
    <row r="1035">
      <c r="A1035" s="1"/>
      <c r="B1035" s="1"/>
      <c r="C1035" s="1"/>
      <c r="D1035" s="1"/>
      <c r="E1035" s="1"/>
      <c r="L1035" s="1"/>
      <c r="Q1035" s="1"/>
    </row>
    <row r="1036">
      <c r="A1036" s="1"/>
      <c r="B1036" s="1"/>
      <c r="C1036" s="1"/>
      <c r="D1036" s="1"/>
      <c r="E1036" s="1"/>
      <c r="L1036" s="1"/>
      <c r="Q1036" s="1"/>
    </row>
    <row r="1037">
      <c r="A1037" s="1"/>
      <c r="B1037" s="1"/>
      <c r="C1037" s="1"/>
      <c r="D1037" s="1"/>
      <c r="E1037" s="1"/>
      <c r="L1037" s="1"/>
      <c r="Q1037" s="1"/>
    </row>
    <row r="1038">
      <c r="A1038" s="1"/>
      <c r="B1038" s="1"/>
      <c r="C1038" s="1"/>
      <c r="D1038" s="1"/>
      <c r="E1038" s="1"/>
      <c r="L1038" s="1"/>
      <c r="Q1038" s="1"/>
    </row>
    <row r="1039">
      <c r="A1039" s="1"/>
      <c r="B1039" s="1"/>
      <c r="C1039" s="1"/>
      <c r="D1039" s="1"/>
      <c r="E1039" s="1"/>
      <c r="L1039" s="1"/>
      <c r="Q1039" s="1"/>
    </row>
    <row r="1040">
      <c r="A1040" s="1"/>
      <c r="B1040" s="1"/>
      <c r="C1040" s="1"/>
      <c r="D1040" s="1"/>
      <c r="E1040" s="1"/>
      <c r="L1040" s="1"/>
      <c r="Q1040" s="1"/>
    </row>
    <row r="1041">
      <c r="A1041" s="1"/>
      <c r="B1041" s="1"/>
      <c r="C1041" s="1"/>
      <c r="D1041" s="1"/>
      <c r="E1041" s="1"/>
      <c r="L1041" s="1"/>
      <c r="Q1041" s="1"/>
    </row>
    <row r="1042">
      <c r="A1042" s="1"/>
      <c r="B1042" s="1"/>
      <c r="C1042" s="1"/>
      <c r="D1042" s="1"/>
      <c r="E1042" s="1"/>
      <c r="L1042" s="1"/>
      <c r="Q1042" s="1"/>
    </row>
    <row r="1043">
      <c r="A1043" s="1"/>
      <c r="B1043" s="1"/>
      <c r="C1043" s="1"/>
      <c r="D1043" s="1"/>
      <c r="E1043" s="1"/>
      <c r="L1043" s="1"/>
      <c r="Q1043" s="1"/>
    </row>
    <row r="1044">
      <c r="A1044" s="1"/>
      <c r="B1044" s="1"/>
      <c r="C1044" s="1"/>
      <c r="D1044" s="1"/>
      <c r="E1044" s="1"/>
      <c r="L1044" s="1"/>
      <c r="Q1044" s="1"/>
    </row>
    <row r="1045">
      <c r="A1045" s="1"/>
      <c r="B1045" s="1"/>
      <c r="C1045" s="1"/>
      <c r="D1045" s="1"/>
      <c r="E1045" s="1"/>
      <c r="L1045" s="1"/>
      <c r="Q1045" s="1"/>
    </row>
    <row r="1046">
      <c r="A1046" s="1"/>
      <c r="B1046" s="1"/>
      <c r="C1046" s="1"/>
      <c r="D1046" s="1"/>
      <c r="E1046" s="1"/>
      <c r="L1046" s="1"/>
      <c r="Q1046" s="1"/>
    </row>
    <row r="1047">
      <c r="A1047" s="1"/>
      <c r="B1047" s="1"/>
      <c r="C1047" s="1"/>
      <c r="D1047" s="1"/>
      <c r="E1047" s="1"/>
      <c r="L1047" s="1"/>
      <c r="Q1047" s="1"/>
    </row>
    <row r="1048">
      <c r="A1048" s="1"/>
      <c r="B1048" s="1"/>
      <c r="C1048" s="1"/>
      <c r="D1048" s="1"/>
      <c r="E1048" s="1"/>
      <c r="L1048" s="1"/>
      <c r="Q1048" s="1"/>
    </row>
    <row r="1049">
      <c r="A1049" s="1"/>
      <c r="B1049" s="1"/>
      <c r="C1049" s="1"/>
      <c r="D1049" s="1"/>
      <c r="E1049" s="1"/>
      <c r="L1049" s="1"/>
      <c r="Q1049" s="1"/>
    </row>
    <row r="1050">
      <c r="A1050" s="1"/>
      <c r="B1050" s="1"/>
      <c r="C1050" s="1"/>
      <c r="D1050" s="1"/>
      <c r="E1050" s="1"/>
      <c r="L1050" s="1"/>
      <c r="Q1050" s="1"/>
    </row>
    <row r="1051">
      <c r="A1051" s="1"/>
      <c r="B1051" s="1"/>
      <c r="C1051" s="1"/>
      <c r="D1051" s="1"/>
      <c r="E1051" s="1"/>
      <c r="L1051" s="1"/>
      <c r="Q1051" s="1"/>
    </row>
    <row r="1052">
      <c r="A1052" s="1"/>
      <c r="B1052" s="1"/>
      <c r="C1052" s="1"/>
      <c r="D1052" s="1"/>
      <c r="E1052" s="1"/>
      <c r="L1052" s="1"/>
      <c r="Q1052" s="1"/>
    </row>
    <row r="1053">
      <c r="A1053" s="1"/>
      <c r="B1053" s="1"/>
      <c r="C1053" s="1"/>
      <c r="D1053" s="1"/>
      <c r="E1053" s="1"/>
      <c r="L1053" s="1"/>
      <c r="Q1053" s="1"/>
    </row>
    <row r="1054">
      <c r="A1054" s="1"/>
      <c r="B1054" s="1"/>
      <c r="C1054" s="1"/>
      <c r="D1054" s="1"/>
      <c r="E1054" s="1"/>
      <c r="L1054" s="1"/>
      <c r="Q1054" s="1"/>
    </row>
    <row r="1055">
      <c r="A1055" s="1"/>
      <c r="B1055" s="1"/>
      <c r="C1055" s="1"/>
      <c r="D1055" s="1"/>
      <c r="E1055" s="1"/>
      <c r="L1055" s="1"/>
      <c r="Q1055" s="1"/>
    </row>
    <row r="1056">
      <c r="A1056" s="1"/>
      <c r="B1056" s="1"/>
      <c r="C1056" s="1"/>
      <c r="D1056" s="1"/>
      <c r="E1056" s="1"/>
      <c r="L1056" s="1"/>
      <c r="Q1056" s="1"/>
    </row>
    <row r="1057">
      <c r="A1057" s="1"/>
      <c r="B1057" s="1"/>
      <c r="C1057" s="1"/>
      <c r="D1057" s="1"/>
      <c r="E1057" s="1"/>
      <c r="L1057" s="1"/>
      <c r="Q1057" s="1"/>
    </row>
    <row r="1058">
      <c r="A1058" s="1"/>
      <c r="B1058" s="1"/>
      <c r="C1058" s="1"/>
      <c r="D1058" s="1"/>
      <c r="E1058" s="1"/>
      <c r="L1058" s="1"/>
      <c r="Q1058" s="1"/>
    </row>
    <row r="1059">
      <c r="A1059" s="1"/>
      <c r="B1059" s="1"/>
      <c r="C1059" s="1"/>
      <c r="D1059" s="1"/>
      <c r="E1059" s="1"/>
      <c r="L1059" s="1"/>
      <c r="Q1059" s="1"/>
    </row>
    <row r="1060">
      <c r="A1060" s="1"/>
      <c r="B1060" s="1"/>
      <c r="C1060" s="1"/>
      <c r="D1060" s="1"/>
      <c r="E1060" s="1"/>
      <c r="L1060" s="1"/>
      <c r="Q1060" s="1"/>
    </row>
    <row r="1061">
      <c r="A1061" s="1"/>
      <c r="B1061" s="1"/>
      <c r="C1061" s="1"/>
      <c r="D1061" s="1"/>
      <c r="E1061" s="1"/>
      <c r="L1061" s="1"/>
      <c r="Q1061" s="1"/>
    </row>
    <row r="1062">
      <c r="A1062" s="1"/>
      <c r="B1062" s="1"/>
      <c r="C1062" s="1"/>
      <c r="D1062" s="1"/>
      <c r="E1062" s="1"/>
      <c r="L1062" s="1"/>
      <c r="Q1062" s="1"/>
    </row>
    <row r="1063">
      <c r="A1063" s="1"/>
      <c r="B1063" s="1"/>
      <c r="C1063" s="1"/>
      <c r="D1063" s="1"/>
      <c r="E1063" s="1"/>
      <c r="L1063" s="1"/>
      <c r="Q1063" s="1"/>
    </row>
    <row r="1064">
      <c r="A1064" s="1"/>
      <c r="B1064" s="1"/>
      <c r="C1064" s="1"/>
      <c r="D1064" s="1"/>
      <c r="E1064" s="1"/>
      <c r="L1064" s="1"/>
      <c r="Q1064" s="1"/>
    </row>
    <row r="1065">
      <c r="A1065" s="1"/>
      <c r="B1065" s="1"/>
      <c r="C1065" s="1"/>
      <c r="D1065" s="1"/>
      <c r="E1065" s="1"/>
      <c r="L1065" s="1"/>
      <c r="Q1065" s="1"/>
    </row>
    <row r="1066">
      <c r="A1066" s="1"/>
      <c r="B1066" s="1"/>
      <c r="C1066" s="1"/>
      <c r="D1066" s="1"/>
      <c r="E1066" s="1"/>
      <c r="L1066" s="1"/>
      <c r="Q1066" s="1"/>
    </row>
    <row r="1067">
      <c r="A1067" s="1"/>
      <c r="B1067" s="1"/>
      <c r="C1067" s="1"/>
      <c r="D1067" s="1"/>
      <c r="E1067" s="1"/>
      <c r="L1067" s="1"/>
      <c r="Q1067" s="1"/>
    </row>
    <row r="1068">
      <c r="A1068" s="1"/>
      <c r="B1068" s="1"/>
      <c r="C1068" s="1"/>
      <c r="D1068" s="1"/>
      <c r="E1068" s="1"/>
      <c r="L1068" s="1"/>
      <c r="Q1068" s="1"/>
    </row>
    <row r="1069">
      <c r="A1069" s="1"/>
      <c r="B1069" s="1"/>
      <c r="C1069" s="1"/>
      <c r="D1069" s="1"/>
      <c r="E1069" s="1"/>
      <c r="L1069" s="1"/>
      <c r="Q1069" s="1"/>
    </row>
    <row r="1070">
      <c r="A1070" s="1"/>
      <c r="B1070" s="1"/>
      <c r="C1070" s="1"/>
      <c r="D1070" s="1"/>
      <c r="E1070" s="1"/>
      <c r="L1070" s="1"/>
      <c r="Q1070" s="1"/>
    </row>
    <row r="1071">
      <c r="A1071" s="1"/>
      <c r="B1071" s="1"/>
      <c r="C1071" s="1"/>
      <c r="D1071" s="1"/>
      <c r="E1071" s="1"/>
      <c r="L1071" s="1"/>
      <c r="Q1071" s="1"/>
    </row>
    <row r="1072">
      <c r="A1072" s="1"/>
      <c r="B1072" s="1"/>
      <c r="C1072" s="1"/>
      <c r="D1072" s="1"/>
      <c r="E1072" s="1"/>
      <c r="L1072" s="1"/>
      <c r="Q1072" s="1"/>
    </row>
    <row r="1073">
      <c r="A1073" s="1"/>
      <c r="B1073" s="1"/>
      <c r="C1073" s="1"/>
      <c r="D1073" s="1"/>
      <c r="E1073" s="1"/>
      <c r="L1073" s="1"/>
      <c r="Q1073" s="1"/>
    </row>
    <row r="1074">
      <c r="A1074" s="1"/>
      <c r="B1074" s="1"/>
      <c r="C1074" s="1"/>
      <c r="D1074" s="1"/>
      <c r="E1074" s="1"/>
      <c r="L1074" s="1"/>
      <c r="Q1074" s="1"/>
    </row>
    <row r="1075">
      <c r="A1075" s="1"/>
      <c r="B1075" s="1"/>
      <c r="C1075" s="1"/>
      <c r="D1075" s="1"/>
      <c r="E1075" s="1"/>
      <c r="L1075" s="1"/>
      <c r="Q1075" s="1"/>
    </row>
    <row r="1076">
      <c r="A1076" s="1"/>
      <c r="B1076" s="1"/>
      <c r="C1076" s="1"/>
      <c r="D1076" s="1"/>
      <c r="E1076" s="1"/>
      <c r="L1076" s="1"/>
      <c r="Q1076" s="1"/>
    </row>
    <row r="1077">
      <c r="A1077" s="1"/>
      <c r="B1077" s="1"/>
      <c r="C1077" s="1"/>
      <c r="D1077" s="1"/>
      <c r="E1077" s="1"/>
      <c r="L1077" s="1"/>
      <c r="Q1077" s="1"/>
    </row>
    <row r="1078">
      <c r="A1078" s="1"/>
      <c r="B1078" s="1"/>
      <c r="C1078" s="1"/>
      <c r="D1078" s="1"/>
      <c r="E1078" s="1"/>
      <c r="L1078" s="1"/>
      <c r="Q1078" s="1"/>
    </row>
    <row r="1079">
      <c r="A1079" s="1"/>
      <c r="B1079" s="1"/>
      <c r="C1079" s="1"/>
      <c r="D1079" s="1"/>
      <c r="E1079" s="1"/>
      <c r="L1079" s="1"/>
      <c r="Q1079" s="1"/>
    </row>
    <row r="1080">
      <c r="A1080" s="1"/>
      <c r="B1080" s="1"/>
      <c r="C1080" s="1"/>
      <c r="D1080" s="1"/>
      <c r="E1080" s="1"/>
      <c r="L1080" s="1"/>
      <c r="Q1080" s="1"/>
    </row>
    <row r="1081">
      <c r="A1081" s="1"/>
      <c r="B1081" s="1"/>
      <c r="C1081" s="1"/>
      <c r="D1081" s="1"/>
      <c r="E1081" s="1"/>
      <c r="L1081" s="1"/>
      <c r="Q1081" s="1"/>
    </row>
    <row r="1082">
      <c r="A1082" s="1"/>
      <c r="B1082" s="1"/>
      <c r="C1082" s="1"/>
      <c r="D1082" s="1"/>
      <c r="E1082" s="1"/>
      <c r="L1082" s="1"/>
      <c r="Q1082" s="1"/>
    </row>
    <row r="1083">
      <c r="A1083" s="1"/>
      <c r="B1083" s="1"/>
      <c r="C1083" s="1"/>
      <c r="D1083" s="1"/>
      <c r="E1083" s="1"/>
      <c r="L1083" s="1"/>
      <c r="Q1083" s="1"/>
    </row>
    <row r="1084">
      <c r="A1084" s="1"/>
      <c r="B1084" s="1"/>
      <c r="C1084" s="1"/>
      <c r="D1084" s="1"/>
      <c r="E1084" s="1"/>
      <c r="L1084" s="1"/>
      <c r="Q1084" s="1"/>
    </row>
    <row r="1085">
      <c r="A1085" s="1"/>
      <c r="B1085" s="1"/>
      <c r="C1085" s="1"/>
      <c r="D1085" s="1"/>
      <c r="E1085" s="1"/>
      <c r="L1085" s="1"/>
      <c r="Q1085" s="1"/>
    </row>
    <row r="1086">
      <c r="A1086" s="1"/>
      <c r="B1086" s="1"/>
      <c r="C1086" s="1"/>
      <c r="D1086" s="1"/>
      <c r="E1086" s="1"/>
      <c r="L1086" s="1"/>
      <c r="Q1086" s="1"/>
    </row>
    <row r="1087">
      <c r="A1087" s="1"/>
      <c r="B1087" s="1"/>
      <c r="C1087" s="1"/>
      <c r="D1087" s="1"/>
      <c r="E1087" s="1"/>
      <c r="L1087" s="1"/>
      <c r="Q1087" s="1"/>
    </row>
    <row r="1088">
      <c r="A1088" s="1"/>
      <c r="B1088" s="1"/>
      <c r="C1088" s="1"/>
      <c r="D1088" s="1"/>
      <c r="E1088" s="1"/>
      <c r="L1088" s="1"/>
      <c r="Q1088" s="1"/>
    </row>
    <row r="1089">
      <c r="A1089" s="1"/>
      <c r="B1089" s="1"/>
      <c r="C1089" s="1"/>
      <c r="D1089" s="1"/>
      <c r="E1089" s="1"/>
      <c r="L1089" s="1"/>
      <c r="Q1089" s="1"/>
    </row>
    <row r="1090">
      <c r="A1090" s="1"/>
      <c r="B1090" s="1"/>
      <c r="C1090" s="1"/>
      <c r="D1090" s="1"/>
      <c r="E1090" s="1"/>
      <c r="L1090" s="1"/>
      <c r="Q1090" s="1"/>
    </row>
    <row r="1091">
      <c r="A1091" s="1"/>
      <c r="B1091" s="1"/>
      <c r="C1091" s="1"/>
      <c r="D1091" s="1"/>
      <c r="E1091" s="1"/>
      <c r="L1091" s="1"/>
      <c r="Q1091" s="1"/>
    </row>
    <row r="1092">
      <c r="A1092" s="1"/>
      <c r="B1092" s="1"/>
      <c r="C1092" s="1"/>
      <c r="D1092" s="1"/>
      <c r="E1092" s="1"/>
      <c r="L1092" s="1"/>
      <c r="Q1092" s="1"/>
    </row>
    <row r="1093">
      <c r="A1093" s="1"/>
      <c r="B1093" s="1"/>
      <c r="C1093" s="1"/>
      <c r="D1093" s="1"/>
      <c r="E1093" s="1"/>
      <c r="L1093" s="1"/>
      <c r="Q1093" s="1"/>
    </row>
    <row r="1094">
      <c r="A1094" s="1"/>
      <c r="B1094" s="1"/>
      <c r="C1094" s="1"/>
      <c r="D1094" s="1"/>
      <c r="E1094" s="1"/>
      <c r="L1094" s="1"/>
      <c r="Q1094" s="1"/>
    </row>
    <row r="1095">
      <c r="A1095" s="1"/>
      <c r="B1095" s="1"/>
      <c r="C1095" s="1"/>
      <c r="D1095" s="1"/>
      <c r="E1095" s="1"/>
      <c r="L1095" s="1"/>
      <c r="Q1095" s="1"/>
    </row>
    <row r="1096">
      <c r="A1096" s="1"/>
      <c r="B1096" s="1"/>
      <c r="C1096" s="1"/>
      <c r="D1096" s="1"/>
      <c r="E1096" s="1"/>
      <c r="L1096" s="1"/>
      <c r="Q1096" s="1"/>
    </row>
    <row r="1097">
      <c r="A1097" s="1"/>
      <c r="B1097" s="1"/>
      <c r="C1097" s="1"/>
      <c r="D1097" s="1"/>
      <c r="E1097" s="1"/>
      <c r="L1097" s="1"/>
      <c r="Q1097" s="1"/>
    </row>
    <row r="1098">
      <c r="A1098" s="1"/>
      <c r="B1098" s="1"/>
      <c r="C1098" s="1"/>
      <c r="D1098" s="1"/>
      <c r="E1098" s="1"/>
      <c r="L1098" s="1"/>
      <c r="Q1098" s="1"/>
    </row>
    <row r="1099">
      <c r="A1099" s="1"/>
      <c r="B1099" s="1"/>
      <c r="C1099" s="1"/>
      <c r="D1099" s="1"/>
      <c r="E1099" s="1"/>
      <c r="L1099" s="1"/>
      <c r="Q1099" s="1"/>
    </row>
    <row r="1100">
      <c r="A1100" s="1"/>
      <c r="B1100" s="1"/>
      <c r="C1100" s="1"/>
      <c r="D1100" s="1"/>
      <c r="E1100" s="1"/>
      <c r="L1100" s="1"/>
      <c r="Q1100" s="1"/>
    </row>
    <row r="1101">
      <c r="A1101" s="1"/>
      <c r="B1101" s="1"/>
      <c r="C1101" s="1"/>
      <c r="D1101" s="1"/>
      <c r="E1101" s="1"/>
      <c r="L1101" s="1"/>
      <c r="Q1101" s="1"/>
    </row>
    <row r="1102">
      <c r="A1102" s="1"/>
      <c r="B1102" s="1"/>
      <c r="C1102" s="1"/>
      <c r="D1102" s="1"/>
      <c r="E1102" s="1"/>
      <c r="L1102" s="1"/>
      <c r="Q1102" s="1"/>
    </row>
    <row r="1103">
      <c r="A1103" s="1"/>
      <c r="B1103" s="1"/>
      <c r="C1103" s="1"/>
      <c r="D1103" s="1"/>
      <c r="E1103" s="1"/>
      <c r="L1103" s="1"/>
      <c r="Q1103" s="1"/>
    </row>
    <row r="1104">
      <c r="A1104" s="1"/>
      <c r="B1104" s="1"/>
      <c r="C1104" s="1"/>
      <c r="D1104" s="1"/>
      <c r="E1104" s="1"/>
      <c r="L1104" s="1"/>
      <c r="Q1104" s="1"/>
    </row>
    <row r="1105">
      <c r="A1105" s="1"/>
      <c r="B1105" s="1"/>
      <c r="C1105" s="1"/>
      <c r="D1105" s="1"/>
      <c r="E1105" s="1"/>
      <c r="L1105" s="1"/>
      <c r="Q1105" s="1"/>
    </row>
    <row r="1106">
      <c r="A1106" s="1"/>
      <c r="B1106" s="1"/>
      <c r="C1106" s="1"/>
      <c r="D1106" s="1"/>
      <c r="E1106" s="1"/>
      <c r="L1106" s="1"/>
      <c r="Q1106" s="1"/>
    </row>
    <row r="1107">
      <c r="A1107" s="1"/>
      <c r="B1107" s="1"/>
      <c r="C1107" s="1"/>
      <c r="D1107" s="1"/>
      <c r="E1107" s="1"/>
      <c r="L1107" s="1"/>
      <c r="Q1107" s="1"/>
    </row>
    <row r="1108">
      <c r="A1108" s="1"/>
      <c r="B1108" s="1"/>
      <c r="C1108" s="1"/>
      <c r="D1108" s="1"/>
      <c r="E1108" s="1"/>
      <c r="L1108" s="1"/>
      <c r="Q1108" s="1"/>
    </row>
    <row r="1109">
      <c r="A1109" s="1"/>
      <c r="B1109" s="1"/>
      <c r="C1109" s="1"/>
      <c r="D1109" s="1"/>
      <c r="E1109" s="1"/>
      <c r="L1109" s="1"/>
      <c r="Q1109" s="1"/>
    </row>
    <row r="1110">
      <c r="A1110" s="1"/>
      <c r="B1110" s="1"/>
      <c r="C1110" s="1"/>
      <c r="D1110" s="1"/>
      <c r="E1110" s="1"/>
      <c r="L1110" s="1"/>
      <c r="Q1110" s="1"/>
    </row>
    <row r="1111">
      <c r="A1111" s="1"/>
      <c r="B1111" s="1"/>
      <c r="C1111" s="1"/>
      <c r="D1111" s="1"/>
      <c r="E1111" s="1"/>
      <c r="L1111" s="1"/>
      <c r="Q1111" s="1"/>
    </row>
    <row r="1112">
      <c r="A1112" s="1"/>
      <c r="B1112" s="1"/>
      <c r="C1112" s="1"/>
      <c r="D1112" s="1"/>
      <c r="E1112" s="1"/>
      <c r="L1112" s="1"/>
      <c r="Q1112" s="1"/>
    </row>
    <row r="1113">
      <c r="A1113" s="1"/>
      <c r="B1113" s="1"/>
      <c r="C1113" s="1"/>
      <c r="D1113" s="1"/>
      <c r="E1113" s="1"/>
      <c r="L1113" s="1"/>
      <c r="Q1113" s="1"/>
    </row>
    <row r="1114">
      <c r="A1114" s="1"/>
      <c r="B1114" s="1"/>
      <c r="C1114" s="1"/>
      <c r="D1114" s="1"/>
      <c r="E1114" s="1"/>
      <c r="L1114" s="1"/>
      <c r="Q1114" s="1"/>
    </row>
    <row r="1115">
      <c r="A1115" s="1"/>
      <c r="B1115" s="1"/>
      <c r="C1115" s="1"/>
      <c r="D1115" s="1"/>
      <c r="E1115" s="1"/>
      <c r="L1115" s="1"/>
      <c r="Q1115" s="1"/>
    </row>
    <row r="1116">
      <c r="A1116" s="1"/>
      <c r="B1116" s="1"/>
      <c r="C1116" s="1"/>
      <c r="D1116" s="1"/>
      <c r="E1116" s="1"/>
      <c r="L1116" s="1"/>
      <c r="Q1116" s="1"/>
    </row>
    <row r="1117">
      <c r="A1117" s="1"/>
      <c r="B1117" s="1"/>
      <c r="C1117" s="1"/>
      <c r="D1117" s="1"/>
      <c r="E1117" s="1"/>
      <c r="L1117" s="1"/>
      <c r="Q1117" s="1"/>
    </row>
    <row r="1118">
      <c r="A1118" s="1"/>
      <c r="B1118" s="1"/>
      <c r="C1118" s="1"/>
      <c r="D1118" s="1"/>
      <c r="E1118" s="1"/>
      <c r="L1118" s="1"/>
      <c r="Q1118" s="1"/>
    </row>
    <row r="1119">
      <c r="A1119" s="1"/>
      <c r="B1119" s="1"/>
      <c r="C1119" s="1"/>
      <c r="D1119" s="1"/>
      <c r="E1119" s="1"/>
      <c r="L1119" s="1"/>
      <c r="Q1119" s="1"/>
    </row>
    <row r="1120">
      <c r="A1120" s="1"/>
      <c r="B1120" s="1"/>
      <c r="C1120" s="1"/>
      <c r="D1120" s="1"/>
      <c r="E1120" s="1"/>
      <c r="L1120" s="1"/>
      <c r="Q1120" s="1"/>
    </row>
    <row r="1121">
      <c r="A1121" s="1"/>
      <c r="B1121" s="1"/>
      <c r="C1121" s="1"/>
      <c r="D1121" s="1"/>
      <c r="E1121" s="1"/>
      <c r="L1121" s="1"/>
      <c r="Q1121" s="1"/>
    </row>
    <row r="1122">
      <c r="A1122" s="1"/>
      <c r="B1122" s="1"/>
      <c r="C1122" s="1"/>
      <c r="D1122" s="1"/>
      <c r="E1122" s="1"/>
      <c r="L1122" s="1"/>
      <c r="Q1122" s="1"/>
    </row>
    <row r="1123">
      <c r="A1123" s="1"/>
      <c r="B1123" s="1"/>
      <c r="C1123" s="1"/>
      <c r="D1123" s="1"/>
      <c r="E1123" s="1"/>
      <c r="L1123" s="1"/>
      <c r="Q1123" s="1"/>
    </row>
    <row r="1124">
      <c r="A1124" s="1"/>
      <c r="B1124" s="1"/>
      <c r="C1124" s="1"/>
      <c r="D1124" s="1"/>
      <c r="E1124" s="1"/>
      <c r="L1124" s="1"/>
      <c r="Q1124" s="1"/>
    </row>
    <row r="1125">
      <c r="A1125" s="1"/>
      <c r="B1125" s="1"/>
      <c r="C1125" s="1"/>
      <c r="D1125" s="1"/>
      <c r="E1125" s="1"/>
      <c r="L1125" s="1"/>
      <c r="Q1125" s="1"/>
    </row>
    <row r="1126">
      <c r="A1126" s="1"/>
      <c r="B1126" s="1"/>
      <c r="C1126" s="1"/>
      <c r="D1126" s="1"/>
      <c r="E1126" s="1"/>
      <c r="L1126" s="1"/>
      <c r="Q1126" s="1"/>
    </row>
    <row r="1127">
      <c r="A1127" s="1"/>
      <c r="B1127" s="1"/>
      <c r="C1127" s="1"/>
      <c r="D1127" s="1"/>
      <c r="E1127" s="1"/>
      <c r="L1127" s="1"/>
      <c r="Q1127" s="1"/>
    </row>
    <row r="1128">
      <c r="A1128" s="1"/>
      <c r="B1128" s="1"/>
      <c r="C1128" s="1"/>
      <c r="D1128" s="1"/>
      <c r="E1128" s="1"/>
      <c r="L1128" s="1"/>
      <c r="Q1128" s="1"/>
    </row>
    <row r="1129">
      <c r="A1129" s="1"/>
      <c r="B1129" s="1"/>
      <c r="C1129" s="1"/>
      <c r="D1129" s="1"/>
      <c r="E1129" s="1"/>
      <c r="L1129" s="1"/>
      <c r="Q1129" s="1"/>
    </row>
    <row r="1130">
      <c r="A1130" s="1"/>
      <c r="B1130" s="1"/>
      <c r="C1130" s="1"/>
      <c r="D1130" s="1"/>
      <c r="E1130" s="1"/>
      <c r="L1130" s="1"/>
      <c r="Q1130" s="1"/>
    </row>
    <row r="1131">
      <c r="A1131" s="1"/>
      <c r="B1131" s="1"/>
      <c r="C1131" s="1"/>
      <c r="D1131" s="1"/>
      <c r="E1131" s="1"/>
      <c r="L1131" s="1"/>
      <c r="Q1131" s="1"/>
    </row>
    <row r="1132">
      <c r="A1132" s="1"/>
      <c r="B1132" s="1"/>
      <c r="C1132" s="1"/>
      <c r="D1132" s="1"/>
      <c r="E1132" s="1"/>
      <c r="L1132" s="1"/>
      <c r="Q1132" s="1"/>
    </row>
    <row r="1133">
      <c r="A1133" s="1"/>
      <c r="B1133" s="1"/>
      <c r="C1133" s="1"/>
      <c r="D1133" s="1"/>
      <c r="E1133" s="1"/>
      <c r="L1133" s="1"/>
      <c r="Q1133" s="1"/>
    </row>
    <row r="1134">
      <c r="A1134" s="1"/>
      <c r="B1134" s="1"/>
      <c r="C1134" s="1"/>
      <c r="D1134" s="1"/>
      <c r="E1134" s="1"/>
      <c r="L1134" s="1"/>
      <c r="Q1134" s="1"/>
    </row>
    <row r="1135">
      <c r="A1135" s="1"/>
      <c r="B1135" s="1"/>
      <c r="C1135" s="1"/>
      <c r="D1135" s="1"/>
      <c r="E1135" s="1"/>
      <c r="L1135" s="1"/>
      <c r="Q1135" s="1"/>
    </row>
    <row r="1136">
      <c r="A1136" s="1"/>
      <c r="B1136" s="1"/>
      <c r="C1136" s="1"/>
      <c r="D1136" s="1"/>
      <c r="E1136" s="1"/>
      <c r="L1136" s="1"/>
      <c r="Q1136" s="1"/>
    </row>
    <row r="1137">
      <c r="A1137" s="1"/>
      <c r="B1137" s="1"/>
      <c r="C1137" s="1"/>
      <c r="D1137" s="1"/>
      <c r="E1137" s="1"/>
      <c r="L1137" s="1"/>
      <c r="Q1137" s="1"/>
    </row>
    <row r="1138">
      <c r="A1138" s="1"/>
      <c r="B1138" s="1"/>
      <c r="C1138" s="1"/>
      <c r="D1138" s="1"/>
      <c r="E1138" s="1"/>
      <c r="L1138" s="1"/>
      <c r="Q1138" s="1"/>
    </row>
    <row r="1139">
      <c r="A1139" s="1"/>
      <c r="B1139" s="1"/>
      <c r="C1139" s="1"/>
      <c r="D1139" s="1"/>
      <c r="E1139" s="1"/>
      <c r="L1139" s="1"/>
      <c r="Q1139" s="1"/>
    </row>
    <row r="1140">
      <c r="A1140" s="1"/>
      <c r="B1140" s="1"/>
      <c r="C1140" s="1"/>
      <c r="D1140" s="1"/>
      <c r="E1140" s="1"/>
      <c r="L1140" s="1"/>
      <c r="Q1140" s="1"/>
    </row>
    <row r="1141">
      <c r="A1141" s="1"/>
      <c r="B1141" s="1"/>
      <c r="C1141" s="1"/>
      <c r="D1141" s="1"/>
      <c r="E1141" s="1"/>
      <c r="L1141" s="1"/>
      <c r="Q1141" s="1"/>
    </row>
    <row r="1142">
      <c r="A1142" s="1"/>
      <c r="B1142" s="1"/>
      <c r="C1142" s="1"/>
      <c r="D1142" s="1"/>
      <c r="E1142" s="1"/>
      <c r="L1142" s="1"/>
      <c r="Q1142" s="1"/>
    </row>
    <row r="1143">
      <c r="A1143" s="1"/>
      <c r="B1143" s="1"/>
      <c r="C1143" s="1"/>
      <c r="D1143" s="1"/>
      <c r="E1143" s="1"/>
      <c r="L1143" s="1"/>
      <c r="Q1143" s="1"/>
    </row>
    <row r="1144">
      <c r="A1144" s="1"/>
      <c r="B1144" s="1"/>
      <c r="C1144" s="1"/>
      <c r="D1144" s="1"/>
      <c r="E1144" s="1"/>
      <c r="L1144" s="1"/>
      <c r="Q1144" s="1"/>
    </row>
    <row r="1145">
      <c r="A1145" s="1"/>
      <c r="B1145" s="1"/>
      <c r="C1145" s="1"/>
      <c r="D1145" s="1"/>
      <c r="E1145" s="1"/>
      <c r="L1145" s="1"/>
      <c r="Q1145" s="1"/>
    </row>
    <row r="1146">
      <c r="A1146" s="1"/>
      <c r="B1146" s="1"/>
      <c r="C1146" s="1"/>
      <c r="D1146" s="1"/>
      <c r="E1146" s="1"/>
      <c r="L1146" s="1"/>
      <c r="Q1146" s="1"/>
    </row>
    <row r="1147">
      <c r="A1147" s="1"/>
      <c r="B1147" s="1"/>
      <c r="C1147" s="1"/>
      <c r="D1147" s="1"/>
      <c r="E1147" s="1"/>
      <c r="L1147" s="1"/>
      <c r="Q1147" s="1"/>
    </row>
    <row r="1148">
      <c r="A1148" s="1"/>
      <c r="B1148" s="1"/>
      <c r="C1148" s="1"/>
      <c r="D1148" s="1"/>
      <c r="E1148" s="1"/>
      <c r="L1148" s="1"/>
      <c r="Q1148" s="1"/>
    </row>
    <row r="1149">
      <c r="A1149" s="1"/>
      <c r="B1149" s="1"/>
      <c r="C1149" s="1"/>
      <c r="D1149" s="1"/>
      <c r="E1149" s="1"/>
      <c r="L1149" s="1"/>
      <c r="Q1149" s="1"/>
    </row>
    <row r="1150">
      <c r="A1150" s="1"/>
      <c r="B1150" s="1"/>
      <c r="C1150" s="1"/>
      <c r="D1150" s="1"/>
      <c r="E1150" s="1"/>
      <c r="L1150" s="1"/>
      <c r="Q1150" s="1"/>
    </row>
    <row r="1151">
      <c r="A1151" s="1"/>
      <c r="B1151" s="1"/>
      <c r="C1151" s="1"/>
      <c r="D1151" s="1"/>
      <c r="E1151" s="1"/>
      <c r="L1151" s="1"/>
      <c r="Q1151" s="1"/>
    </row>
    <row r="1152">
      <c r="A1152" s="1"/>
      <c r="B1152" s="1"/>
      <c r="C1152" s="1"/>
      <c r="D1152" s="1"/>
      <c r="E1152" s="1"/>
      <c r="L1152" s="1"/>
      <c r="Q1152" s="1"/>
    </row>
    <row r="1153">
      <c r="A1153" s="1"/>
      <c r="B1153" s="1"/>
      <c r="C1153" s="1"/>
      <c r="D1153" s="1"/>
      <c r="E1153" s="1"/>
      <c r="L1153" s="1"/>
      <c r="Q1153" s="1"/>
    </row>
    <row r="1154">
      <c r="A1154" s="1"/>
      <c r="B1154" s="1"/>
      <c r="C1154" s="1"/>
      <c r="D1154" s="1"/>
      <c r="E1154" s="1"/>
      <c r="L1154" s="1"/>
      <c r="Q1154" s="1"/>
    </row>
    <row r="1155">
      <c r="A1155" s="1"/>
      <c r="B1155" s="1"/>
      <c r="C1155" s="1"/>
      <c r="D1155" s="1"/>
      <c r="E1155" s="1"/>
      <c r="L1155" s="1"/>
      <c r="Q1155" s="1"/>
    </row>
    <row r="1156">
      <c r="A1156" s="1"/>
      <c r="B1156" s="1"/>
      <c r="C1156" s="1"/>
      <c r="D1156" s="1"/>
      <c r="E1156" s="1"/>
      <c r="L1156" s="1"/>
      <c r="Q1156" s="1"/>
    </row>
    <row r="1157">
      <c r="A1157" s="1"/>
      <c r="B1157" s="1"/>
      <c r="C1157" s="1"/>
      <c r="D1157" s="1"/>
      <c r="E1157" s="1"/>
      <c r="L1157" s="1"/>
      <c r="Q1157" s="1"/>
    </row>
    <row r="1158">
      <c r="A1158" s="1"/>
      <c r="B1158" s="1"/>
      <c r="C1158" s="1"/>
      <c r="D1158" s="1"/>
      <c r="E1158" s="1"/>
      <c r="L1158" s="1"/>
      <c r="Q1158" s="1"/>
    </row>
    <row r="1159">
      <c r="A1159" s="1"/>
      <c r="B1159" s="1"/>
      <c r="C1159" s="1"/>
      <c r="D1159" s="1"/>
      <c r="E1159" s="1"/>
      <c r="L1159" s="1"/>
      <c r="Q1159" s="1"/>
    </row>
    <row r="1160">
      <c r="A1160" s="1"/>
      <c r="B1160" s="1"/>
      <c r="C1160" s="1"/>
      <c r="D1160" s="1"/>
      <c r="E1160" s="1"/>
      <c r="L1160" s="1"/>
      <c r="Q1160" s="1"/>
    </row>
    <row r="1161">
      <c r="A1161" s="1"/>
      <c r="B1161" s="1"/>
      <c r="C1161" s="1"/>
      <c r="D1161" s="1"/>
      <c r="E1161" s="1"/>
      <c r="L1161" s="1"/>
      <c r="Q1161" s="1"/>
    </row>
    <row r="1162">
      <c r="A1162" s="1"/>
      <c r="B1162" s="1"/>
      <c r="C1162" s="1"/>
      <c r="D1162" s="1"/>
      <c r="E1162" s="1"/>
      <c r="L1162" s="1"/>
      <c r="Q1162" s="1"/>
    </row>
    <row r="1163">
      <c r="A1163" s="1"/>
      <c r="B1163" s="1"/>
      <c r="C1163" s="1"/>
      <c r="D1163" s="1"/>
      <c r="E1163" s="1"/>
      <c r="L1163" s="1"/>
      <c r="Q1163" s="1"/>
    </row>
    <row r="1164">
      <c r="A1164" s="1"/>
      <c r="B1164" s="1"/>
      <c r="C1164" s="1"/>
      <c r="D1164" s="1"/>
      <c r="E1164" s="1"/>
      <c r="L1164" s="1"/>
      <c r="Q1164" s="1"/>
    </row>
    <row r="1165">
      <c r="A1165" s="1"/>
      <c r="B1165" s="1"/>
      <c r="C1165" s="1"/>
      <c r="D1165" s="1"/>
      <c r="E1165" s="1"/>
      <c r="L1165" s="1"/>
      <c r="Q1165" s="1"/>
    </row>
    <row r="1166">
      <c r="A1166" s="1"/>
      <c r="B1166" s="1"/>
      <c r="C1166" s="1"/>
      <c r="D1166" s="1"/>
      <c r="E1166" s="1"/>
      <c r="L1166" s="1"/>
      <c r="Q1166" s="1"/>
    </row>
    <row r="1167">
      <c r="A1167" s="1"/>
      <c r="B1167" s="1"/>
      <c r="C1167" s="1"/>
      <c r="D1167" s="1"/>
      <c r="E1167" s="1"/>
      <c r="L1167" s="1"/>
      <c r="Q1167" s="1"/>
    </row>
    <row r="1168">
      <c r="A1168" s="1"/>
      <c r="B1168" s="1"/>
      <c r="C1168" s="1"/>
      <c r="D1168" s="1"/>
      <c r="E1168" s="1"/>
      <c r="L1168" s="1"/>
      <c r="Q1168" s="1"/>
    </row>
    <row r="1169">
      <c r="A1169" s="1"/>
      <c r="B1169" s="1"/>
      <c r="C1169" s="1"/>
      <c r="D1169" s="1"/>
      <c r="E1169" s="1"/>
      <c r="L1169" s="1"/>
      <c r="Q1169" s="1"/>
    </row>
    <row r="1170">
      <c r="A1170" s="1"/>
      <c r="B1170" s="1"/>
      <c r="C1170" s="1"/>
      <c r="D1170" s="1"/>
      <c r="E1170" s="1"/>
      <c r="L1170" s="1"/>
      <c r="Q1170" s="1"/>
    </row>
    <row r="1171">
      <c r="A1171" s="1"/>
      <c r="B1171" s="1"/>
      <c r="C1171" s="1"/>
      <c r="D1171" s="1"/>
      <c r="E1171" s="1"/>
      <c r="L1171" s="1"/>
      <c r="Q1171" s="1"/>
    </row>
    <row r="1172">
      <c r="A1172" s="1"/>
      <c r="B1172" s="1"/>
      <c r="C1172" s="1"/>
      <c r="D1172" s="1"/>
      <c r="E1172" s="1"/>
      <c r="L1172" s="1"/>
      <c r="Q1172" s="1"/>
    </row>
    <row r="1173">
      <c r="A1173" s="1"/>
      <c r="B1173" s="1"/>
      <c r="C1173" s="1"/>
      <c r="D1173" s="1"/>
      <c r="E1173" s="1"/>
      <c r="L1173" s="1"/>
      <c r="Q1173" s="1"/>
    </row>
    <row r="1174">
      <c r="A1174" s="1"/>
      <c r="B1174" s="1"/>
      <c r="C1174" s="1"/>
      <c r="D1174" s="1"/>
      <c r="E1174" s="1"/>
      <c r="L1174" s="1"/>
      <c r="Q1174" s="1"/>
    </row>
    <row r="1175">
      <c r="A1175" s="1"/>
      <c r="B1175" s="1"/>
      <c r="C1175" s="1"/>
      <c r="D1175" s="1"/>
      <c r="E1175" s="1"/>
      <c r="L1175" s="1"/>
      <c r="Q1175" s="1"/>
    </row>
    <row r="1176">
      <c r="A1176" s="1"/>
      <c r="B1176" s="1"/>
      <c r="C1176" s="1"/>
      <c r="D1176" s="1"/>
      <c r="E1176" s="1"/>
      <c r="L1176" s="1"/>
      <c r="Q1176" s="1"/>
    </row>
    <row r="1177">
      <c r="A1177" s="1"/>
      <c r="B1177" s="1"/>
      <c r="C1177" s="1"/>
      <c r="D1177" s="1"/>
      <c r="E1177" s="1"/>
      <c r="L1177" s="1"/>
      <c r="Q1177" s="1"/>
    </row>
    <row r="1178">
      <c r="A1178" s="1"/>
      <c r="B1178" s="1"/>
      <c r="C1178" s="1"/>
      <c r="D1178" s="1"/>
      <c r="E1178" s="1"/>
      <c r="L1178" s="1"/>
      <c r="Q1178" s="1"/>
    </row>
    <row r="1179">
      <c r="A1179" s="1"/>
      <c r="B1179" s="1"/>
      <c r="C1179" s="1"/>
      <c r="D1179" s="1"/>
      <c r="E1179" s="1"/>
      <c r="L1179" s="1"/>
      <c r="Q1179" s="1"/>
    </row>
    <row r="1180">
      <c r="A1180" s="1"/>
      <c r="B1180" s="1"/>
      <c r="C1180" s="1"/>
      <c r="D1180" s="1"/>
      <c r="E1180" s="1"/>
      <c r="L1180" s="1"/>
      <c r="Q1180" s="1"/>
    </row>
    <row r="1181">
      <c r="A1181" s="1"/>
      <c r="B1181" s="1"/>
      <c r="C1181" s="1"/>
      <c r="D1181" s="1"/>
      <c r="E1181" s="1"/>
      <c r="L1181" s="1"/>
      <c r="Q1181" s="1"/>
    </row>
    <row r="1182">
      <c r="A1182" s="1"/>
      <c r="B1182" s="1"/>
      <c r="C1182" s="1"/>
      <c r="D1182" s="1"/>
      <c r="E1182" s="1"/>
      <c r="L1182" s="1"/>
      <c r="Q1182" s="1"/>
    </row>
    <row r="1183">
      <c r="A1183" s="1"/>
      <c r="B1183" s="1"/>
      <c r="C1183" s="1"/>
      <c r="D1183" s="1"/>
      <c r="E1183" s="1"/>
      <c r="L1183" s="1"/>
      <c r="Q1183" s="1"/>
    </row>
    <row r="1184">
      <c r="A1184" s="1"/>
      <c r="B1184" s="1"/>
      <c r="C1184" s="1"/>
      <c r="D1184" s="1"/>
      <c r="E1184" s="1"/>
      <c r="L1184" s="1"/>
      <c r="Q1184" s="1"/>
    </row>
    <row r="1185">
      <c r="A1185" s="1"/>
      <c r="B1185" s="1"/>
      <c r="C1185" s="1"/>
      <c r="D1185" s="1"/>
      <c r="E1185" s="1"/>
      <c r="L1185" s="1"/>
      <c r="Q1185" s="1"/>
    </row>
    <row r="1186">
      <c r="A1186" s="1"/>
      <c r="B1186" s="1"/>
      <c r="C1186" s="1"/>
      <c r="D1186" s="1"/>
      <c r="E1186" s="1"/>
      <c r="L1186" s="1"/>
      <c r="Q1186" s="1"/>
    </row>
    <row r="1187">
      <c r="A1187" s="1"/>
      <c r="B1187" s="1"/>
      <c r="C1187" s="1"/>
      <c r="D1187" s="1"/>
      <c r="E1187" s="1"/>
      <c r="L1187" s="1"/>
      <c r="Q1187" s="1"/>
    </row>
    <row r="1188">
      <c r="A1188" s="1"/>
      <c r="B1188" s="1"/>
      <c r="C1188" s="1"/>
      <c r="D1188" s="1"/>
      <c r="E1188" s="1"/>
      <c r="L1188" s="1"/>
      <c r="Q1188" s="1"/>
    </row>
    <row r="1189">
      <c r="A1189" s="1"/>
      <c r="B1189" s="1"/>
      <c r="C1189" s="1"/>
      <c r="D1189" s="1"/>
      <c r="E1189" s="1"/>
      <c r="L1189" s="1"/>
      <c r="Q1189" s="1"/>
    </row>
    <row r="1190">
      <c r="A1190" s="1"/>
      <c r="B1190" s="1"/>
      <c r="C1190" s="1"/>
      <c r="D1190" s="1"/>
      <c r="E1190" s="1"/>
      <c r="L1190" s="1"/>
      <c r="Q1190" s="1"/>
    </row>
    <row r="1191">
      <c r="A1191" s="1"/>
      <c r="B1191" s="1"/>
      <c r="C1191" s="1"/>
      <c r="D1191" s="1"/>
      <c r="E1191" s="1"/>
      <c r="L1191" s="1"/>
      <c r="Q1191" s="1"/>
    </row>
    <row r="1192">
      <c r="A1192" s="1"/>
      <c r="B1192" s="1"/>
      <c r="C1192" s="1"/>
      <c r="D1192" s="1"/>
      <c r="E1192" s="1"/>
      <c r="L1192" s="1"/>
      <c r="Q1192" s="1"/>
    </row>
    <row r="1193">
      <c r="A1193" s="1"/>
      <c r="B1193" s="1"/>
      <c r="C1193" s="1"/>
      <c r="D1193" s="1"/>
      <c r="E1193" s="1"/>
      <c r="L1193" s="1"/>
      <c r="Q1193" s="1"/>
    </row>
    <row r="1194">
      <c r="A1194" s="1"/>
      <c r="B1194" s="1"/>
      <c r="C1194" s="1"/>
      <c r="D1194" s="1"/>
      <c r="E1194" s="1"/>
      <c r="L1194" s="1"/>
      <c r="Q1194" s="1"/>
    </row>
    <row r="1195">
      <c r="A1195" s="1"/>
      <c r="B1195" s="1"/>
      <c r="C1195" s="1"/>
      <c r="D1195" s="1"/>
      <c r="E1195" s="1"/>
      <c r="L1195" s="1"/>
      <c r="Q1195" s="1"/>
    </row>
    <row r="1196">
      <c r="A1196" s="1"/>
      <c r="B1196" s="1"/>
      <c r="C1196" s="1"/>
      <c r="D1196" s="1"/>
      <c r="E1196" s="1"/>
      <c r="L1196" s="1"/>
      <c r="Q1196" s="1"/>
    </row>
    <row r="1197">
      <c r="A1197" s="1"/>
      <c r="B1197" s="1"/>
      <c r="C1197" s="1"/>
      <c r="D1197" s="1"/>
      <c r="E1197" s="1"/>
      <c r="L1197" s="1"/>
      <c r="Q1197" s="1"/>
    </row>
    <row r="1198">
      <c r="A1198" s="1"/>
      <c r="B1198" s="1"/>
      <c r="C1198" s="1"/>
      <c r="D1198" s="1"/>
      <c r="E1198" s="1"/>
      <c r="L1198" s="1"/>
      <c r="Q1198" s="1"/>
    </row>
    <row r="1199">
      <c r="A1199" s="1"/>
      <c r="B1199" s="1"/>
      <c r="C1199" s="1"/>
      <c r="D1199" s="1"/>
      <c r="E1199" s="1"/>
      <c r="L1199" s="1"/>
      <c r="Q1199" s="1"/>
    </row>
    <row r="1200">
      <c r="A1200" s="1"/>
      <c r="B1200" s="1"/>
      <c r="C1200" s="1"/>
      <c r="D1200" s="1"/>
      <c r="E1200" s="1"/>
      <c r="L1200" s="1"/>
      <c r="Q1200" s="1"/>
    </row>
    <row r="1201">
      <c r="A1201" s="1"/>
      <c r="B1201" s="1"/>
      <c r="C1201" s="1"/>
      <c r="D1201" s="1"/>
      <c r="E1201" s="1"/>
      <c r="L1201" s="1"/>
      <c r="Q1201" s="1"/>
    </row>
    <row r="1202">
      <c r="A1202" s="1"/>
      <c r="B1202" s="1"/>
      <c r="C1202" s="1"/>
      <c r="D1202" s="1"/>
      <c r="E1202" s="1"/>
      <c r="L1202" s="1"/>
      <c r="Q1202" s="1"/>
    </row>
    <row r="1203">
      <c r="A1203" s="1"/>
      <c r="B1203" s="1"/>
      <c r="C1203" s="1"/>
      <c r="D1203" s="1"/>
      <c r="E1203" s="1"/>
      <c r="L1203" s="1"/>
      <c r="Q1203" s="1"/>
    </row>
    <row r="1204">
      <c r="A1204" s="1"/>
      <c r="B1204" s="1"/>
      <c r="C1204" s="1"/>
      <c r="D1204" s="1"/>
      <c r="E1204" s="1"/>
      <c r="L1204" s="1"/>
      <c r="Q1204" s="1"/>
    </row>
    <row r="1205">
      <c r="A1205" s="1"/>
      <c r="B1205" s="1"/>
      <c r="C1205" s="1"/>
      <c r="D1205" s="1"/>
      <c r="E1205" s="1"/>
      <c r="L1205" s="1"/>
      <c r="Q1205" s="1"/>
    </row>
    <row r="1206">
      <c r="A1206" s="1"/>
      <c r="B1206" s="1"/>
      <c r="C1206" s="1"/>
      <c r="D1206" s="1"/>
      <c r="E1206" s="1"/>
      <c r="L1206" s="1"/>
      <c r="Q1206" s="1"/>
    </row>
    <row r="1207">
      <c r="A1207" s="1"/>
      <c r="B1207" s="1"/>
      <c r="C1207" s="1"/>
      <c r="D1207" s="1"/>
      <c r="E1207" s="1"/>
      <c r="L1207" s="1"/>
      <c r="Q1207" s="1"/>
    </row>
    <row r="1208">
      <c r="A1208" s="1"/>
      <c r="B1208" s="1"/>
      <c r="C1208" s="1"/>
      <c r="D1208" s="1"/>
      <c r="E1208" s="1"/>
      <c r="L1208" s="1"/>
      <c r="Q1208" s="1"/>
    </row>
    <row r="1209">
      <c r="A1209" s="1"/>
      <c r="B1209" s="1"/>
      <c r="C1209" s="1"/>
      <c r="D1209" s="1"/>
      <c r="E1209" s="1"/>
      <c r="L1209" s="1"/>
      <c r="Q1209" s="1"/>
    </row>
    <row r="1210">
      <c r="A1210" s="1"/>
      <c r="B1210" s="1"/>
      <c r="C1210" s="1"/>
      <c r="D1210" s="1"/>
      <c r="E1210" s="1"/>
      <c r="L1210" s="1"/>
      <c r="Q1210" s="1"/>
    </row>
    <row r="1211">
      <c r="A1211" s="1"/>
      <c r="B1211" s="1"/>
      <c r="C1211" s="1"/>
      <c r="D1211" s="1"/>
      <c r="E1211" s="1"/>
      <c r="L1211" s="1"/>
      <c r="Q1211" s="1"/>
    </row>
    <row r="1212">
      <c r="A1212" s="1"/>
      <c r="B1212" s="1"/>
      <c r="C1212" s="1"/>
      <c r="D1212" s="1"/>
      <c r="E1212" s="1"/>
      <c r="L1212" s="1"/>
      <c r="Q1212" s="1"/>
    </row>
    <row r="1213">
      <c r="A1213" s="1"/>
      <c r="B1213" s="1"/>
      <c r="C1213" s="1"/>
      <c r="D1213" s="1"/>
      <c r="E1213" s="1"/>
      <c r="L1213" s="1"/>
      <c r="Q1213" s="1"/>
    </row>
    <row r="1214">
      <c r="A1214" s="1"/>
      <c r="B1214" s="1"/>
      <c r="C1214" s="1"/>
      <c r="D1214" s="1"/>
      <c r="E1214" s="1"/>
      <c r="L1214" s="1"/>
      <c r="Q1214" s="1"/>
    </row>
    <row r="1215">
      <c r="A1215" s="1"/>
      <c r="B1215" s="1"/>
      <c r="C1215" s="1"/>
      <c r="D1215" s="1"/>
      <c r="E1215" s="1"/>
      <c r="L1215" s="1"/>
      <c r="Q1215" s="1"/>
    </row>
    <row r="1216">
      <c r="A1216" s="1"/>
      <c r="B1216" s="1"/>
      <c r="C1216" s="1"/>
      <c r="D1216" s="1"/>
      <c r="E1216" s="1"/>
      <c r="L1216" s="1"/>
      <c r="Q1216" s="1"/>
    </row>
    <row r="1217">
      <c r="A1217" s="1"/>
      <c r="B1217" s="1"/>
      <c r="C1217" s="1"/>
      <c r="D1217" s="1"/>
      <c r="E1217" s="1"/>
      <c r="L1217" s="1"/>
      <c r="Q1217" s="1"/>
    </row>
    <row r="1218">
      <c r="A1218" s="1"/>
      <c r="B1218" s="1"/>
      <c r="C1218" s="1"/>
      <c r="D1218" s="1"/>
      <c r="E1218" s="1"/>
      <c r="L1218" s="1"/>
      <c r="Q1218" s="1"/>
    </row>
    <row r="1219">
      <c r="A1219" s="1"/>
      <c r="B1219" s="1"/>
      <c r="C1219" s="1"/>
      <c r="D1219" s="1"/>
      <c r="E1219" s="1"/>
      <c r="L1219" s="1"/>
      <c r="Q1219" s="1"/>
    </row>
    <row r="1220">
      <c r="A1220" s="1"/>
      <c r="B1220" s="1"/>
      <c r="C1220" s="1"/>
      <c r="D1220" s="1"/>
      <c r="E1220" s="1"/>
      <c r="L1220" s="1"/>
      <c r="Q1220" s="1"/>
    </row>
    <row r="1221">
      <c r="A1221" s="1"/>
      <c r="B1221" s="1"/>
      <c r="C1221" s="1"/>
      <c r="D1221" s="1"/>
      <c r="E1221" s="1"/>
      <c r="L1221" s="1"/>
      <c r="Q1221" s="1"/>
    </row>
    <row r="1222">
      <c r="A1222" s="1"/>
      <c r="B1222" s="1"/>
      <c r="C1222" s="1"/>
      <c r="D1222" s="1"/>
      <c r="E1222" s="1"/>
      <c r="L1222" s="1"/>
      <c r="Q1222" s="1"/>
    </row>
    <row r="1223">
      <c r="A1223" s="1"/>
      <c r="B1223" s="1"/>
      <c r="C1223" s="1"/>
      <c r="D1223" s="1"/>
      <c r="E1223" s="1"/>
      <c r="L1223" s="1"/>
      <c r="Q1223" s="1"/>
    </row>
    <row r="1224">
      <c r="A1224" s="1"/>
      <c r="B1224" s="1"/>
      <c r="C1224" s="1"/>
      <c r="D1224" s="1"/>
      <c r="E1224" s="1"/>
      <c r="L1224" s="1"/>
      <c r="Q1224" s="1"/>
    </row>
    <row r="1225">
      <c r="A1225" s="1"/>
      <c r="B1225" s="1"/>
      <c r="C1225" s="1"/>
      <c r="D1225" s="1"/>
      <c r="E1225" s="1"/>
      <c r="L1225" s="1"/>
      <c r="Q1225" s="1"/>
    </row>
    <row r="1226">
      <c r="A1226" s="1"/>
      <c r="B1226" s="1"/>
      <c r="C1226" s="1"/>
      <c r="D1226" s="1"/>
      <c r="E1226" s="1"/>
      <c r="L1226" s="1"/>
      <c r="Q1226" s="1"/>
    </row>
    <row r="1227">
      <c r="A1227" s="1"/>
      <c r="B1227" s="1"/>
      <c r="C1227" s="1"/>
      <c r="D1227" s="1"/>
      <c r="E1227" s="1"/>
      <c r="L1227" s="1"/>
      <c r="Q1227" s="1"/>
    </row>
    <row r="1228">
      <c r="A1228" s="1"/>
      <c r="B1228" s="1"/>
      <c r="C1228" s="1"/>
      <c r="D1228" s="1"/>
      <c r="E1228" s="1"/>
      <c r="L1228" s="1"/>
      <c r="Q1228" s="1"/>
    </row>
    <row r="1229">
      <c r="A1229" s="1"/>
      <c r="B1229" s="1"/>
      <c r="C1229" s="1"/>
      <c r="D1229" s="1"/>
      <c r="E1229" s="1"/>
      <c r="L1229" s="1"/>
      <c r="Q1229" s="1"/>
    </row>
    <row r="1230">
      <c r="A1230" s="1"/>
      <c r="B1230" s="1"/>
      <c r="C1230" s="1"/>
      <c r="D1230" s="1"/>
      <c r="E1230" s="1"/>
      <c r="L1230" s="1"/>
      <c r="Q1230" s="1"/>
    </row>
    <row r="1231">
      <c r="A1231" s="1"/>
      <c r="B1231" s="1"/>
      <c r="C1231" s="1"/>
      <c r="D1231" s="1"/>
      <c r="E1231" s="1"/>
      <c r="L1231" s="1"/>
      <c r="Q1231" s="1"/>
    </row>
    <row r="1232">
      <c r="A1232" s="1"/>
      <c r="B1232" s="1"/>
      <c r="C1232" s="1"/>
      <c r="D1232" s="1"/>
      <c r="E1232" s="1"/>
      <c r="L1232" s="1"/>
      <c r="Q1232" s="1"/>
    </row>
    <row r="1233">
      <c r="A1233" s="1"/>
      <c r="B1233" s="1"/>
      <c r="C1233" s="1"/>
      <c r="D1233" s="1"/>
      <c r="E1233" s="1"/>
      <c r="L1233" s="1"/>
      <c r="Q1233" s="1"/>
    </row>
    <row r="1234">
      <c r="A1234" s="1"/>
      <c r="B1234" s="1"/>
      <c r="C1234" s="1"/>
      <c r="D1234" s="1"/>
      <c r="E1234" s="1"/>
      <c r="L1234" s="1"/>
      <c r="Q1234" s="1"/>
    </row>
    <row r="1235">
      <c r="A1235" s="1"/>
      <c r="B1235" s="1"/>
      <c r="C1235" s="1"/>
      <c r="D1235" s="1"/>
      <c r="E1235" s="1"/>
      <c r="L1235" s="1"/>
      <c r="Q1235" s="1"/>
    </row>
    <row r="1236">
      <c r="A1236" s="1"/>
      <c r="B1236" s="1"/>
      <c r="C1236" s="1"/>
      <c r="D1236" s="1"/>
      <c r="E1236" s="1"/>
      <c r="L1236" s="1"/>
      <c r="Q1236" s="1"/>
    </row>
    <row r="1237">
      <c r="A1237" s="1"/>
      <c r="B1237" s="1"/>
      <c r="C1237" s="1"/>
      <c r="D1237" s="1"/>
      <c r="E1237" s="1"/>
      <c r="L1237" s="1"/>
      <c r="Q1237" s="1"/>
    </row>
    <row r="1238">
      <c r="A1238" s="1"/>
      <c r="B1238" s="1"/>
      <c r="C1238" s="1"/>
      <c r="D1238" s="1"/>
      <c r="E1238" s="1"/>
      <c r="L1238" s="1"/>
      <c r="Q1238" s="1"/>
    </row>
    <row r="1239">
      <c r="A1239" s="1"/>
      <c r="B1239" s="1"/>
      <c r="C1239" s="1"/>
      <c r="D1239" s="1"/>
      <c r="E1239" s="1"/>
      <c r="L1239" s="1"/>
      <c r="Q1239" s="1"/>
    </row>
    <row r="1240">
      <c r="A1240" s="1"/>
      <c r="B1240" s="1"/>
      <c r="C1240" s="1"/>
      <c r="D1240" s="1"/>
      <c r="E1240" s="1"/>
      <c r="L1240" s="1"/>
      <c r="Q1240" s="1"/>
    </row>
    <row r="1241">
      <c r="A1241" s="1"/>
      <c r="B1241" s="1"/>
      <c r="C1241" s="1"/>
      <c r="D1241" s="1"/>
      <c r="E1241" s="1"/>
      <c r="L1241" s="1"/>
      <c r="Q1241" s="1"/>
    </row>
    <row r="1242">
      <c r="A1242" s="1"/>
      <c r="B1242" s="1"/>
      <c r="C1242" s="1"/>
      <c r="D1242" s="1"/>
      <c r="E1242" s="1"/>
      <c r="L1242" s="1"/>
      <c r="Q1242" s="1"/>
    </row>
    <row r="1243">
      <c r="A1243" s="1"/>
      <c r="B1243" s="1"/>
      <c r="C1243" s="1"/>
      <c r="D1243" s="1"/>
      <c r="E1243" s="1"/>
      <c r="L1243" s="1"/>
      <c r="Q1243" s="1"/>
    </row>
    <row r="1244">
      <c r="A1244" s="1"/>
      <c r="B1244" s="1"/>
      <c r="C1244" s="1"/>
      <c r="D1244" s="1"/>
      <c r="E1244" s="1"/>
      <c r="L1244" s="1"/>
      <c r="Q1244" s="1"/>
    </row>
    <row r="1245">
      <c r="A1245" s="1"/>
      <c r="B1245" s="1"/>
      <c r="C1245" s="1"/>
      <c r="D1245" s="1"/>
      <c r="E1245" s="1"/>
      <c r="L1245" s="1"/>
      <c r="Q1245" s="1"/>
    </row>
    <row r="1246">
      <c r="A1246" s="1"/>
      <c r="B1246" s="1"/>
      <c r="C1246" s="1"/>
      <c r="D1246" s="1"/>
      <c r="E1246" s="1"/>
      <c r="L1246" s="1"/>
      <c r="Q1246" s="1"/>
    </row>
    <row r="1247">
      <c r="A1247" s="1"/>
      <c r="B1247" s="1"/>
      <c r="C1247" s="1"/>
      <c r="D1247" s="1"/>
      <c r="E1247" s="1"/>
      <c r="L1247" s="1"/>
      <c r="Q1247" s="1"/>
    </row>
    <row r="1248">
      <c r="A1248" s="1"/>
      <c r="B1248" s="1"/>
      <c r="C1248" s="1"/>
      <c r="D1248" s="1"/>
      <c r="E1248" s="1"/>
      <c r="L1248" s="1"/>
      <c r="Q1248" s="1"/>
    </row>
    <row r="1249">
      <c r="A1249" s="1"/>
      <c r="B1249" s="1"/>
      <c r="C1249" s="1"/>
      <c r="D1249" s="1"/>
      <c r="E1249" s="1"/>
      <c r="L1249" s="1"/>
      <c r="Q1249" s="1"/>
    </row>
    <row r="1250">
      <c r="A1250" s="1"/>
      <c r="B1250" s="1"/>
      <c r="C1250" s="1"/>
      <c r="D1250" s="1"/>
      <c r="E1250" s="1"/>
      <c r="L1250" s="1"/>
      <c r="Q1250" s="1"/>
    </row>
    <row r="1251">
      <c r="A1251" s="1"/>
      <c r="B1251" s="1"/>
      <c r="C1251" s="1"/>
      <c r="D1251" s="1"/>
      <c r="E1251" s="1"/>
      <c r="L1251" s="1"/>
      <c r="Q1251" s="1"/>
    </row>
    <row r="1252">
      <c r="A1252" s="1"/>
      <c r="B1252" s="1"/>
      <c r="C1252" s="1"/>
      <c r="D1252" s="1"/>
      <c r="E1252" s="1"/>
      <c r="L1252" s="1"/>
      <c r="Q1252" s="1"/>
    </row>
    <row r="1253">
      <c r="A1253" s="1"/>
      <c r="B1253" s="1"/>
      <c r="C1253" s="1"/>
      <c r="D1253" s="1"/>
      <c r="E1253" s="1"/>
      <c r="L1253" s="1"/>
      <c r="Q1253" s="1"/>
    </row>
    <row r="1254">
      <c r="A1254" s="1"/>
      <c r="B1254" s="1"/>
      <c r="C1254" s="1"/>
      <c r="D1254" s="1"/>
      <c r="E1254" s="1"/>
      <c r="L1254" s="1"/>
      <c r="Q1254" s="1"/>
    </row>
    <row r="1255">
      <c r="A1255" s="1"/>
      <c r="B1255" s="1"/>
      <c r="C1255" s="1"/>
      <c r="D1255" s="1"/>
      <c r="E1255" s="1"/>
      <c r="L1255" s="1"/>
      <c r="Q1255" s="1"/>
    </row>
    <row r="1256">
      <c r="A1256" s="1"/>
      <c r="B1256" s="1"/>
      <c r="C1256" s="1"/>
      <c r="D1256" s="1"/>
      <c r="E1256" s="1"/>
      <c r="L1256" s="1"/>
      <c r="Q1256" s="1"/>
    </row>
    <row r="1257">
      <c r="A1257" s="1"/>
      <c r="B1257" s="1"/>
      <c r="C1257" s="1"/>
      <c r="D1257" s="1"/>
      <c r="E1257" s="1"/>
      <c r="L1257" s="1"/>
      <c r="Q1257" s="1"/>
    </row>
    <row r="1258">
      <c r="A1258" s="1"/>
      <c r="B1258" s="1"/>
      <c r="C1258" s="1"/>
      <c r="D1258" s="1"/>
      <c r="E1258" s="1"/>
      <c r="L1258" s="1"/>
      <c r="Q1258" s="1"/>
    </row>
    <row r="1259">
      <c r="A1259" s="1"/>
      <c r="B1259" s="1"/>
      <c r="C1259" s="1"/>
      <c r="D1259" s="1"/>
      <c r="E1259" s="1"/>
      <c r="L1259" s="1"/>
      <c r="Q1259" s="1"/>
    </row>
    <row r="1260">
      <c r="A1260" s="1"/>
      <c r="B1260" s="1"/>
      <c r="C1260" s="1"/>
      <c r="D1260" s="1"/>
      <c r="E1260" s="1"/>
      <c r="L1260" s="1"/>
      <c r="Q1260" s="1"/>
    </row>
    <row r="1261">
      <c r="A1261" s="1"/>
      <c r="B1261" s="1"/>
      <c r="C1261" s="1"/>
      <c r="D1261" s="1"/>
      <c r="E1261" s="1"/>
      <c r="L1261" s="1"/>
      <c r="Q1261" s="1"/>
    </row>
    <row r="1262">
      <c r="A1262" s="1"/>
      <c r="B1262" s="1"/>
      <c r="C1262" s="1"/>
      <c r="D1262" s="1"/>
      <c r="E1262" s="1"/>
      <c r="L1262" s="1"/>
      <c r="Q1262" s="1"/>
    </row>
    <row r="1263">
      <c r="A1263" s="1"/>
      <c r="B1263" s="1"/>
      <c r="C1263" s="1"/>
      <c r="D1263" s="1"/>
      <c r="E1263" s="1"/>
      <c r="L1263" s="1"/>
      <c r="Q1263" s="1"/>
    </row>
    <row r="1264">
      <c r="A1264" s="1"/>
      <c r="B1264" s="1"/>
      <c r="C1264" s="1"/>
      <c r="D1264" s="1"/>
      <c r="E1264" s="1"/>
      <c r="L1264" s="1"/>
      <c r="Q1264" s="1"/>
    </row>
    <row r="1265">
      <c r="A1265" s="1"/>
      <c r="B1265" s="1"/>
      <c r="C1265" s="1"/>
      <c r="D1265" s="1"/>
      <c r="E1265" s="1"/>
      <c r="L1265" s="1"/>
      <c r="Q1265" s="1"/>
    </row>
    <row r="1266">
      <c r="A1266" s="1"/>
      <c r="B1266" s="1"/>
      <c r="C1266" s="1"/>
      <c r="D1266" s="1"/>
      <c r="E1266" s="1"/>
      <c r="L1266" s="1"/>
      <c r="Q1266" s="1"/>
    </row>
    <row r="1267">
      <c r="A1267" s="1"/>
      <c r="B1267" s="1"/>
      <c r="C1267" s="1"/>
      <c r="D1267" s="1"/>
      <c r="E1267" s="1"/>
      <c r="L1267" s="1"/>
      <c r="Q1267" s="1"/>
    </row>
    <row r="1268">
      <c r="A1268" s="1"/>
      <c r="B1268" s="1"/>
      <c r="C1268" s="1"/>
      <c r="D1268" s="1"/>
      <c r="E1268" s="1"/>
      <c r="L1268" s="1"/>
      <c r="Q1268" s="1"/>
    </row>
    <row r="1269">
      <c r="A1269" s="1"/>
      <c r="B1269" s="1"/>
      <c r="C1269" s="1"/>
      <c r="D1269" s="1"/>
      <c r="E1269" s="1"/>
      <c r="L1269" s="1"/>
      <c r="Q1269" s="1"/>
    </row>
    <row r="1270">
      <c r="A1270" s="1"/>
      <c r="B1270" s="1"/>
      <c r="C1270" s="1"/>
      <c r="D1270" s="1"/>
      <c r="E1270" s="1"/>
      <c r="L1270" s="1"/>
      <c r="Q1270" s="1"/>
    </row>
    <row r="1271">
      <c r="A1271" s="1"/>
      <c r="B1271" s="1"/>
      <c r="C1271" s="1"/>
      <c r="D1271" s="1"/>
      <c r="E1271" s="1"/>
      <c r="L1271" s="1"/>
      <c r="Q1271" s="1"/>
    </row>
    <row r="1272">
      <c r="A1272" s="1"/>
      <c r="B1272" s="1"/>
      <c r="C1272" s="1"/>
      <c r="D1272" s="1"/>
      <c r="E1272" s="1"/>
      <c r="L1272" s="1"/>
      <c r="Q1272" s="1"/>
    </row>
    <row r="1273">
      <c r="A1273" s="1"/>
      <c r="B1273" s="1"/>
      <c r="C1273" s="1"/>
      <c r="D1273" s="1"/>
      <c r="E1273" s="1"/>
      <c r="L1273" s="1"/>
      <c r="Q1273" s="1"/>
    </row>
    <row r="1274">
      <c r="A1274" s="1"/>
      <c r="B1274" s="1"/>
      <c r="C1274" s="1"/>
      <c r="D1274" s="1"/>
      <c r="E1274" s="1"/>
      <c r="L1274" s="1"/>
      <c r="Q1274" s="1"/>
    </row>
    <row r="1275">
      <c r="A1275" s="1"/>
      <c r="B1275" s="1"/>
      <c r="C1275" s="1"/>
      <c r="D1275" s="1"/>
      <c r="E1275" s="1"/>
      <c r="L1275" s="1"/>
      <c r="Q1275" s="1"/>
    </row>
    <row r="1276">
      <c r="A1276" s="1"/>
      <c r="B1276" s="1"/>
      <c r="C1276" s="1"/>
      <c r="D1276" s="1"/>
      <c r="E1276" s="1"/>
      <c r="L1276" s="1"/>
      <c r="Q1276" s="1"/>
    </row>
    <row r="1277">
      <c r="A1277" s="1"/>
      <c r="B1277" s="1"/>
      <c r="C1277" s="1"/>
      <c r="D1277" s="1"/>
      <c r="E1277" s="1"/>
      <c r="L1277" s="1"/>
      <c r="Q1277" s="1"/>
    </row>
    <row r="1278">
      <c r="A1278" s="1"/>
      <c r="B1278" s="1"/>
      <c r="C1278" s="1"/>
      <c r="D1278" s="1"/>
      <c r="E1278" s="1"/>
      <c r="L1278" s="1"/>
      <c r="Q1278" s="1"/>
    </row>
    <row r="1279">
      <c r="A1279" s="1"/>
      <c r="B1279" s="1"/>
      <c r="C1279" s="1"/>
      <c r="D1279" s="1"/>
      <c r="E1279" s="1"/>
      <c r="L1279" s="1"/>
      <c r="Q1279" s="1"/>
    </row>
    <row r="1280">
      <c r="A1280" s="1"/>
      <c r="B1280" s="1"/>
      <c r="C1280" s="1"/>
      <c r="D1280" s="1"/>
      <c r="E1280" s="1"/>
      <c r="L1280" s="1"/>
      <c r="Q1280" s="1"/>
    </row>
    <row r="1281">
      <c r="A1281" s="1"/>
      <c r="B1281" s="1"/>
      <c r="C1281" s="1"/>
      <c r="D1281" s="1"/>
      <c r="E1281" s="1"/>
      <c r="L1281" s="1"/>
      <c r="Q1281" s="1"/>
    </row>
    <row r="1282">
      <c r="A1282" s="1"/>
      <c r="B1282" s="1"/>
      <c r="C1282" s="1"/>
      <c r="D1282" s="1"/>
      <c r="E1282" s="1"/>
      <c r="L1282" s="1"/>
      <c r="Q1282" s="1"/>
    </row>
    <row r="1283">
      <c r="A1283" s="1"/>
      <c r="B1283" s="1"/>
      <c r="C1283" s="1"/>
      <c r="D1283" s="1"/>
      <c r="E1283" s="1"/>
      <c r="L1283" s="1"/>
      <c r="Q1283" s="1"/>
    </row>
    <row r="1284">
      <c r="A1284" s="1"/>
      <c r="B1284" s="1"/>
      <c r="C1284" s="1"/>
      <c r="D1284" s="1"/>
      <c r="E1284" s="1"/>
      <c r="L1284" s="1"/>
      <c r="Q1284" s="1"/>
    </row>
    <row r="1285">
      <c r="A1285" s="1"/>
      <c r="B1285" s="1"/>
      <c r="C1285" s="1"/>
      <c r="D1285" s="1"/>
      <c r="E1285" s="1"/>
      <c r="L1285" s="1"/>
      <c r="Q1285" s="1"/>
    </row>
    <row r="1286">
      <c r="A1286" s="1"/>
      <c r="B1286" s="1"/>
      <c r="C1286" s="1"/>
      <c r="D1286" s="1"/>
      <c r="E1286" s="1"/>
      <c r="L1286" s="1"/>
      <c r="Q1286" s="1"/>
    </row>
    <row r="1287">
      <c r="A1287" s="1"/>
      <c r="B1287" s="1"/>
      <c r="C1287" s="1"/>
      <c r="D1287" s="1"/>
      <c r="E1287" s="1"/>
      <c r="L1287" s="1"/>
      <c r="Q1287" s="1"/>
    </row>
    <row r="1288">
      <c r="A1288" s="1"/>
      <c r="B1288" s="1"/>
      <c r="C1288" s="1"/>
      <c r="D1288" s="1"/>
      <c r="E1288" s="1"/>
      <c r="L1288" s="1"/>
      <c r="Q1288" s="1"/>
    </row>
    <row r="1289">
      <c r="A1289" s="1"/>
      <c r="B1289" s="1"/>
      <c r="C1289" s="1"/>
      <c r="D1289" s="1"/>
      <c r="E1289" s="1"/>
      <c r="L1289" s="1"/>
      <c r="Q1289" s="1"/>
    </row>
    <row r="1290">
      <c r="A1290" s="1"/>
      <c r="B1290" s="1"/>
      <c r="C1290" s="1"/>
      <c r="D1290" s="1"/>
      <c r="E1290" s="1"/>
      <c r="L1290" s="1"/>
      <c r="Q1290" s="1"/>
    </row>
    <row r="1291">
      <c r="A1291" s="1"/>
      <c r="B1291" s="1"/>
      <c r="C1291" s="1"/>
      <c r="D1291" s="1"/>
      <c r="E1291" s="1"/>
      <c r="L1291" s="1"/>
      <c r="Q1291" s="1"/>
    </row>
    <row r="1292">
      <c r="A1292" s="1"/>
      <c r="B1292" s="1"/>
      <c r="C1292" s="1"/>
      <c r="D1292" s="1"/>
      <c r="E1292" s="1"/>
      <c r="L1292" s="1"/>
      <c r="Q1292" s="1"/>
    </row>
  </sheetData>
  <autoFilter ref="$A$1:$Z$1292">
    <sortState ref="A1:Z1292">
      <sortCondition ref="B1:B1292"/>
      <sortCondition ref="C1:C1292"/>
    </sortState>
  </autoFil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0"/>
  </cols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16</v>
      </c>
    </row>
    <row r="3">
      <c r="A3" s="32">
        <v>0.851528384279476</v>
      </c>
      <c r="B3" s="32">
        <v>0.851528384279476</v>
      </c>
      <c r="C3" s="32">
        <v>0.8793859649122807</v>
      </c>
      <c r="D3" s="32">
        <v>0.8100436681222707</v>
      </c>
      <c r="E3" s="32">
        <v>0.9934497816593887</v>
      </c>
      <c r="F3" s="32">
        <v>0.519650655021834</v>
      </c>
      <c r="G3" s="32">
        <v>0.9213973799126638</v>
      </c>
      <c r="H3" s="32">
        <v>0.9213973799126638</v>
      </c>
      <c r="I3" s="32">
        <v>0.9912663755458515</v>
      </c>
      <c r="J3" s="32">
        <v>0.9802631578947368</v>
      </c>
      <c r="K3" s="32">
        <v>1.0</v>
      </c>
    </row>
    <row r="5">
      <c r="K5" s="32">
        <v>0.85</v>
      </c>
    </row>
    <row r="7">
      <c r="K7" s="32">
        <v>0.9</v>
      </c>
    </row>
    <row r="9">
      <c r="K9" s="32">
        <v>1.0</v>
      </c>
    </row>
    <row r="10">
      <c r="K10" s="3"/>
    </row>
    <row r="11">
      <c r="K11" s="32">
        <v>0.85</v>
      </c>
    </row>
    <row r="13">
      <c r="K13" s="32">
        <v>0.7</v>
      </c>
    </row>
    <row r="15">
      <c r="K15" s="32">
        <v>0.85</v>
      </c>
    </row>
    <row r="17">
      <c r="K17" s="32">
        <v>0.95</v>
      </c>
    </row>
    <row r="19">
      <c r="K19" s="32">
        <v>0.9</v>
      </c>
    </row>
    <row r="21">
      <c r="K21" s="32">
        <v>1.0</v>
      </c>
    </row>
    <row r="23">
      <c r="K23" s="32">
        <v>0.7</v>
      </c>
    </row>
    <row r="25">
      <c r="K25" s="32">
        <v>0.9</v>
      </c>
    </row>
    <row r="27">
      <c r="K27" s="32">
        <v>0.9</v>
      </c>
    </row>
    <row r="29">
      <c r="K29" s="32">
        <v>1.0</v>
      </c>
    </row>
    <row r="31">
      <c r="K31" s="32">
        <v>0.8</v>
      </c>
    </row>
    <row r="33">
      <c r="K33" s="32">
        <v>1.0</v>
      </c>
    </row>
    <row r="35">
      <c r="K35" s="32">
        <v>0.85</v>
      </c>
    </row>
    <row r="37">
      <c r="K37" s="32">
        <v>0.8</v>
      </c>
    </row>
    <row r="39">
      <c r="K39" s="32">
        <v>0.85</v>
      </c>
    </row>
    <row r="41">
      <c r="K41" s="32">
        <v>0.8</v>
      </c>
    </row>
    <row r="43">
      <c r="K43" s="32">
        <v>0.75</v>
      </c>
    </row>
    <row r="45">
      <c r="K45" s="32">
        <v>1.0</v>
      </c>
    </row>
    <row r="47">
      <c r="K47" s="32">
        <v>0.75</v>
      </c>
    </row>
    <row r="49">
      <c r="K49" s="32">
        <v>1.0</v>
      </c>
    </row>
    <row r="51">
      <c r="K51" s="32">
        <v>1.0</v>
      </c>
    </row>
    <row r="53">
      <c r="K53" s="32">
        <v>0.8</v>
      </c>
    </row>
    <row r="55">
      <c r="K55" s="32">
        <v>0.7</v>
      </c>
    </row>
    <row r="57">
      <c r="K57" s="32">
        <v>0.8</v>
      </c>
    </row>
    <row r="59">
      <c r="K59" s="32">
        <v>0.8</v>
      </c>
    </row>
    <row r="61">
      <c r="K61" s="32">
        <v>0.8</v>
      </c>
    </row>
    <row r="63">
      <c r="K63" s="32">
        <v>0.9</v>
      </c>
    </row>
    <row r="65">
      <c r="K65" s="32">
        <v>0.7</v>
      </c>
    </row>
    <row r="67">
      <c r="K67" s="32">
        <v>0.6</v>
      </c>
    </row>
    <row r="69">
      <c r="K69" s="32">
        <v>1.0</v>
      </c>
    </row>
    <row r="71">
      <c r="K71" s="32">
        <v>0.75</v>
      </c>
    </row>
    <row r="73">
      <c r="K73" s="32">
        <v>0.95</v>
      </c>
    </row>
    <row r="75">
      <c r="K75" s="32">
        <v>0.9</v>
      </c>
    </row>
    <row r="77">
      <c r="K77" s="32">
        <v>0.9</v>
      </c>
    </row>
    <row r="79">
      <c r="K79" s="32">
        <v>0.9</v>
      </c>
    </row>
    <row r="81">
      <c r="K81" s="32">
        <v>0.9</v>
      </c>
    </row>
    <row r="83">
      <c r="K83" s="32">
        <v>0.9</v>
      </c>
    </row>
    <row r="85">
      <c r="K85" s="32">
        <v>0.9</v>
      </c>
    </row>
    <row r="87">
      <c r="K87" s="32">
        <v>0.8</v>
      </c>
    </row>
    <row r="89">
      <c r="K89" s="32">
        <v>0.65</v>
      </c>
    </row>
    <row r="91">
      <c r="K91" s="32">
        <v>1.0</v>
      </c>
    </row>
    <row r="93">
      <c r="K93" s="32">
        <v>0.7</v>
      </c>
    </row>
    <row r="95">
      <c r="K95" s="32">
        <v>0.7</v>
      </c>
    </row>
    <row r="97">
      <c r="K97" s="32">
        <v>0.9</v>
      </c>
    </row>
    <row r="99">
      <c r="K99" s="32">
        <v>0.75</v>
      </c>
    </row>
    <row r="101">
      <c r="K101" s="32">
        <v>0.8</v>
      </c>
    </row>
    <row r="103">
      <c r="K103" s="32">
        <v>0.7</v>
      </c>
    </row>
    <row r="105">
      <c r="K105" s="32">
        <v>0.9</v>
      </c>
    </row>
    <row r="107">
      <c r="K107" s="32">
        <v>0.7</v>
      </c>
    </row>
    <row r="109">
      <c r="K109" s="32">
        <v>0.7</v>
      </c>
    </row>
    <row r="111">
      <c r="K111" s="32">
        <v>0.7</v>
      </c>
    </row>
    <row r="113">
      <c r="K113" s="32">
        <v>0.75</v>
      </c>
    </row>
    <row r="115">
      <c r="K115" s="32">
        <v>0.75</v>
      </c>
    </row>
    <row r="117">
      <c r="K117" s="32">
        <v>0.7</v>
      </c>
    </row>
    <row r="119">
      <c r="K119" s="32">
        <v>0.7</v>
      </c>
    </row>
    <row r="121">
      <c r="K121" s="32">
        <v>0.85</v>
      </c>
    </row>
    <row r="123">
      <c r="K123" s="32">
        <v>0.9</v>
      </c>
    </row>
    <row r="125">
      <c r="K125" s="32">
        <v>0.8</v>
      </c>
    </row>
    <row r="127">
      <c r="K127" s="32">
        <v>0.8</v>
      </c>
    </row>
    <row r="129">
      <c r="K129" s="32">
        <v>0.8</v>
      </c>
    </row>
    <row r="131">
      <c r="K131" s="32">
        <v>0.7</v>
      </c>
    </row>
    <row r="133">
      <c r="K133" s="32">
        <v>0.8</v>
      </c>
    </row>
    <row r="135">
      <c r="K135" s="32">
        <v>0.7</v>
      </c>
    </row>
    <row r="137">
      <c r="K137" s="32">
        <v>0.7</v>
      </c>
    </row>
    <row r="139">
      <c r="K139" s="32">
        <v>0.8</v>
      </c>
    </row>
    <row r="141">
      <c r="K141" s="32">
        <v>0.8</v>
      </c>
    </row>
    <row r="143">
      <c r="K143" s="32">
        <v>0.8</v>
      </c>
    </row>
    <row r="145">
      <c r="K145" s="32">
        <v>0.8</v>
      </c>
    </row>
    <row r="147">
      <c r="K147" s="32">
        <v>0.8</v>
      </c>
    </row>
    <row r="149">
      <c r="K149" s="32">
        <v>0.7</v>
      </c>
    </row>
    <row r="151">
      <c r="K151" s="32">
        <v>0.8</v>
      </c>
    </row>
    <row r="153">
      <c r="K153" s="32">
        <v>0.8</v>
      </c>
    </row>
    <row r="155">
      <c r="K155" s="32">
        <v>0.8</v>
      </c>
    </row>
    <row r="157">
      <c r="K157" s="32">
        <v>0.8</v>
      </c>
    </row>
    <row r="159">
      <c r="K159" s="32">
        <v>1.0</v>
      </c>
    </row>
    <row r="161">
      <c r="K161" s="32">
        <v>0.85</v>
      </c>
    </row>
    <row r="163">
      <c r="K163" s="32">
        <v>0.85</v>
      </c>
    </row>
    <row r="165">
      <c r="K165" s="32">
        <v>0.7</v>
      </c>
    </row>
    <row r="166">
      <c r="K166" s="32">
        <v>0.75</v>
      </c>
    </row>
    <row r="168">
      <c r="K168" s="32">
        <v>0.9</v>
      </c>
    </row>
    <row r="170">
      <c r="K170" s="32">
        <v>0.85</v>
      </c>
    </row>
    <row r="172">
      <c r="K172" s="32">
        <v>0.85</v>
      </c>
    </row>
    <row r="174">
      <c r="K174" s="32">
        <v>1.0</v>
      </c>
    </row>
    <row r="176">
      <c r="K176" s="32">
        <v>1.0</v>
      </c>
    </row>
    <row r="178">
      <c r="K178" s="32">
        <v>0.7</v>
      </c>
    </row>
    <row r="180">
      <c r="K180" s="32">
        <v>0.85</v>
      </c>
    </row>
    <row r="182">
      <c r="K182" s="32">
        <v>0.9</v>
      </c>
    </row>
    <row r="184">
      <c r="K184" s="32">
        <v>0.85</v>
      </c>
    </row>
    <row r="186">
      <c r="K186" s="32">
        <v>0.75</v>
      </c>
    </row>
    <row r="188">
      <c r="K188" s="32">
        <v>0.7</v>
      </c>
    </row>
    <row r="190">
      <c r="K190" s="32">
        <v>0.7</v>
      </c>
    </row>
    <row r="192">
      <c r="K192" s="32">
        <v>0.7</v>
      </c>
    </row>
    <row r="194">
      <c r="K194" s="32">
        <v>0.7</v>
      </c>
    </row>
    <row r="195">
      <c r="K195" s="32">
        <v>0.95</v>
      </c>
    </row>
    <row r="197">
      <c r="K197" s="32">
        <v>0.7</v>
      </c>
    </row>
    <row r="199">
      <c r="K199" s="32">
        <v>1.0</v>
      </c>
    </row>
    <row r="201">
      <c r="K201" s="32">
        <v>0.9</v>
      </c>
    </row>
    <row r="203">
      <c r="K203" s="32">
        <v>1.0</v>
      </c>
    </row>
    <row r="205">
      <c r="K205" s="32">
        <v>1.0</v>
      </c>
    </row>
    <row r="207">
      <c r="K207" s="32">
        <v>1.0</v>
      </c>
    </row>
    <row r="209">
      <c r="K209" s="32">
        <v>1.0</v>
      </c>
    </row>
    <row r="211">
      <c r="K211" s="32">
        <v>1.0</v>
      </c>
    </row>
    <row r="213">
      <c r="K213" s="32">
        <v>1.0</v>
      </c>
    </row>
    <row r="215">
      <c r="K215" s="32">
        <v>1.0</v>
      </c>
    </row>
    <row r="217">
      <c r="K217" s="32">
        <v>1.0</v>
      </c>
    </row>
    <row r="219">
      <c r="K219" s="32">
        <v>1.0</v>
      </c>
    </row>
    <row r="221">
      <c r="K221" s="32">
        <v>1.0</v>
      </c>
    </row>
    <row r="223">
      <c r="K223" s="32">
        <v>1.0</v>
      </c>
    </row>
    <row r="225">
      <c r="K225" s="32">
        <v>0.9</v>
      </c>
    </row>
    <row r="227">
      <c r="K227" s="32">
        <v>1.0</v>
      </c>
    </row>
    <row r="229">
      <c r="K229" s="32">
        <v>1.0</v>
      </c>
    </row>
    <row r="231">
      <c r="K231" s="32">
        <v>1.0</v>
      </c>
    </row>
    <row r="233">
      <c r="K233" s="32">
        <v>0.9</v>
      </c>
    </row>
    <row r="235">
      <c r="K235" s="32">
        <v>1.0</v>
      </c>
    </row>
    <row r="237">
      <c r="K237" s="32">
        <v>1.0</v>
      </c>
    </row>
    <row r="239">
      <c r="K239" s="32">
        <v>0.95</v>
      </c>
    </row>
    <row r="241">
      <c r="K241" s="32">
        <v>1.0</v>
      </c>
    </row>
    <row r="243">
      <c r="K243" s="32">
        <v>1.0</v>
      </c>
    </row>
    <row r="245">
      <c r="K245" s="32">
        <v>1.0</v>
      </c>
    </row>
    <row r="247">
      <c r="K247" s="32">
        <v>0.9</v>
      </c>
    </row>
    <row r="249">
      <c r="K249" s="32">
        <v>1.0</v>
      </c>
    </row>
    <row r="251">
      <c r="K251" s="32">
        <v>1.0</v>
      </c>
    </row>
    <row r="253">
      <c r="K253" s="32">
        <v>0.85</v>
      </c>
    </row>
    <row r="255">
      <c r="K255" s="32">
        <v>1.0</v>
      </c>
    </row>
    <row r="257">
      <c r="K257" s="32">
        <v>1.0</v>
      </c>
    </row>
    <row r="259">
      <c r="K259" s="32">
        <v>1.0</v>
      </c>
    </row>
    <row r="261">
      <c r="K261" s="32">
        <v>1.0</v>
      </c>
    </row>
    <row r="263">
      <c r="K263" s="32">
        <v>1.0</v>
      </c>
    </row>
    <row r="265">
      <c r="K265" s="32">
        <v>1.0</v>
      </c>
    </row>
    <row r="267">
      <c r="K267" s="32">
        <v>1.0</v>
      </c>
    </row>
    <row r="269">
      <c r="K269" s="32">
        <v>1.0</v>
      </c>
    </row>
    <row r="271">
      <c r="K271" s="32">
        <v>0.85</v>
      </c>
    </row>
    <row r="273">
      <c r="K273" s="32">
        <v>0.85</v>
      </c>
    </row>
    <row r="275">
      <c r="K275" s="32">
        <v>1.0</v>
      </c>
    </row>
    <row r="277">
      <c r="K277" s="32">
        <v>0.9</v>
      </c>
    </row>
    <row r="279">
      <c r="K279" s="32">
        <v>0.85</v>
      </c>
    </row>
    <row r="281">
      <c r="K281" s="32">
        <v>1.0</v>
      </c>
    </row>
    <row r="283">
      <c r="K283" s="32">
        <v>0.9</v>
      </c>
    </row>
    <row r="285">
      <c r="K285" s="32">
        <v>0.85</v>
      </c>
    </row>
    <row r="287">
      <c r="K287" s="32">
        <v>0.8</v>
      </c>
    </row>
    <row r="289">
      <c r="K289" s="32">
        <v>0.8</v>
      </c>
    </row>
    <row r="291">
      <c r="K291" s="32">
        <v>0.85</v>
      </c>
    </row>
    <row r="293">
      <c r="K293" s="32">
        <v>0.7</v>
      </c>
    </row>
    <row r="295">
      <c r="K295" s="32">
        <v>1.0</v>
      </c>
    </row>
    <row r="297">
      <c r="K297" s="32">
        <v>0.85</v>
      </c>
    </row>
    <row r="299">
      <c r="K299" s="32">
        <v>0.6</v>
      </c>
    </row>
    <row r="301">
      <c r="K301" s="32">
        <v>1.0</v>
      </c>
    </row>
    <row r="302">
      <c r="K302" s="32">
        <v>0.9</v>
      </c>
    </row>
    <row r="304">
      <c r="K304" s="32">
        <v>0.85</v>
      </c>
    </row>
    <row r="306">
      <c r="K306" s="32">
        <v>0.85</v>
      </c>
    </row>
    <row r="308">
      <c r="K308" s="32">
        <v>0.85</v>
      </c>
    </row>
    <row r="310">
      <c r="K310" s="32">
        <v>0.9</v>
      </c>
    </row>
    <row r="312">
      <c r="K312" s="32">
        <v>0.9</v>
      </c>
    </row>
    <row r="314">
      <c r="K314" s="32">
        <v>0.85</v>
      </c>
    </row>
    <row r="316">
      <c r="K316" s="32">
        <v>0.9</v>
      </c>
    </row>
    <row r="318">
      <c r="K318" s="32">
        <v>0.9</v>
      </c>
    </row>
    <row r="320">
      <c r="K320" s="32">
        <v>1.0</v>
      </c>
    </row>
    <row r="322">
      <c r="K322" s="32">
        <v>0.95</v>
      </c>
    </row>
    <row r="324">
      <c r="K324" s="32">
        <v>0.95</v>
      </c>
    </row>
    <row r="326">
      <c r="K326" s="32">
        <v>0.9</v>
      </c>
    </row>
    <row r="328">
      <c r="K328" s="32">
        <v>0.9</v>
      </c>
    </row>
    <row r="329">
      <c r="K329" s="32">
        <v>0.9</v>
      </c>
    </row>
    <row r="331">
      <c r="K331" s="32">
        <v>1.0</v>
      </c>
    </row>
    <row r="333">
      <c r="K333" s="32">
        <v>0.9</v>
      </c>
    </row>
    <row r="335">
      <c r="K335" s="32">
        <v>0.95</v>
      </c>
    </row>
    <row r="337">
      <c r="K337" s="32">
        <v>0.95</v>
      </c>
    </row>
    <row r="339">
      <c r="K339" s="32">
        <v>0.8</v>
      </c>
    </row>
    <row r="341">
      <c r="K341" s="32">
        <v>0.8</v>
      </c>
    </row>
    <row r="343">
      <c r="K343" s="32">
        <v>0.95</v>
      </c>
    </row>
    <row r="345">
      <c r="K345" s="32">
        <v>0.9</v>
      </c>
    </row>
    <row r="347">
      <c r="K347" s="32">
        <v>0.7</v>
      </c>
    </row>
    <row r="349">
      <c r="K349" s="32">
        <v>0.9</v>
      </c>
    </row>
    <row r="351">
      <c r="K351" s="32">
        <v>0.9</v>
      </c>
    </row>
    <row r="353">
      <c r="K353" s="32">
        <v>1.0</v>
      </c>
    </row>
    <row r="355">
      <c r="K355" s="32">
        <v>1.0</v>
      </c>
    </row>
    <row r="357">
      <c r="K357" s="32">
        <v>0.7</v>
      </c>
    </row>
    <row r="359">
      <c r="K359" s="32">
        <v>0.7</v>
      </c>
    </row>
    <row r="361">
      <c r="K361" s="32">
        <v>0.6</v>
      </c>
    </row>
    <row r="363">
      <c r="K363" s="32">
        <v>0.7</v>
      </c>
    </row>
    <row r="365">
      <c r="K365" s="32">
        <v>0.95</v>
      </c>
    </row>
    <row r="369">
      <c r="K369" s="32">
        <v>0.85</v>
      </c>
    </row>
    <row r="371">
      <c r="K371" s="32">
        <v>0.8</v>
      </c>
    </row>
    <row r="373">
      <c r="K373" s="32">
        <v>0.85</v>
      </c>
    </row>
    <row r="375">
      <c r="K375" s="32">
        <v>0.8</v>
      </c>
    </row>
    <row r="377">
      <c r="K377" s="32">
        <v>0.8</v>
      </c>
    </row>
    <row r="379">
      <c r="K379" s="32">
        <v>0.8</v>
      </c>
    </row>
    <row r="381">
      <c r="K381" s="32">
        <v>0.9</v>
      </c>
    </row>
    <row r="383">
      <c r="K383" s="32">
        <v>0.8</v>
      </c>
    </row>
    <row r="385">
      <c r="K385" s="32">
        <v>0.8</v>
      </c>
    </row>
    <row r="387">
      <c r="K387" s="32">
        <v>0.8</v>
      </c>
    </row>
    <row r="389">
      <c r="K389" s="32">
        <v>0.8</v>
      </c>
    </row>
    <row r="391">
      <c r="K391" s="32">
        <v>0.8</v>
      </c>
    </row>
    <row r="393">
      <c r="K393" s="32">
        <v>0.8</v>
      </c>
    </row>
    <row r="395">
      <c r="K395" s="32">
        <v>0.8</v>
      </c>
    </row>
    <row r="397">
      <c r="K397" s="32">
        <v>0.8</v>
      </c>
    </row>
    <row r="399">
      <c r="K399" s="32">
        <v>0.9</v>
      </c>
    </row>
    <row r="401">
      <c r="K401" s="32">
        <v>1.0</v>
      </c>
    </row>
    <row r="403">
      <c r="K403" s="32">
        <v>0.95</v>
      </c>
    </row>
    <row r="405">
      <c r="K405" s="32">
        <v>0.85</v>
      </c>
    </row>
    <row r="407">
      <c r="K407" s="32">
        <v>0.85</v>
      </c>
    </row>
    <row r="409">
      <c r="K409" s="32">
        <v>1.0</v>
      </c>
    </row>
    <row r="411">
      <c r="K411" s="32">
        <v>1.0</v>
      </c>
    </row>
    <row r="413">
      <c r="K413" s="32">
        <v>1.0</v>
      </c>
    </row>
    <row r="415">
      <c r="K415" s="32">
        <v>1.0</v>
      </c>
    </row>
    <row r="417">
      <c r="K417" s="32">
        <v>0.95</v>
      </c>
    </row>
    <row r="419">
      <c r="K419" s="32">
        <v>0.95</v>
      </c>
    </row>
    <row r="421">
      <c r="K421" s="32">
        <v>0.95</v>
      </c>
    </row>
    <row r="423">
      <c r="K423" s="32">
        <v>0.95</v>
      </c>
    </row>
    <row r="425">
      <c r="K425" s="32">
        <v>1.0</v>
      </c>
    </row>
    <row r="427">
      <c r="K427" s="32">
        <v>0.95</v>
      </c>
    </row>
    <row r="429">
      <c r="K429" s="32">
        <v>1.0</v>
      </c>
    </row>
    <row r="431">
      <c r="K431" s="32">
        <v>1.0</v>
      </c>
    </row>
    <row r="433">
      <c r="K433" s="32">
        <v>0.85</v>
      </c>
    </row>
    <row r="435">
      <c r="K435" s="32">
        <v>1.0</v>
      </c>
    </row>
    <row r="437">
      <c r="K437" s="32">
        <v>0.95</v>
      </c>
    </row>
    <row r="439">
      <c r="K439" s="32">
        <v>0.9</v>
      </c>
    </row>
    <row r="441">
      <c r="K441" s="32">
        <v>0.9</v>
      </c>
    </row>
    <row r="443">
      <c r="K443" s="32">
        <v>0.9</v>
      </c>
    </row>
    <row r="445">
      <c r="K445" s="32">
        <v>0.9</v>
      </c>
    </row>
    <row r="447">
      <c r="K447" s="32">
        <v>0.9</v>
      </c>
    </row>
    <row r="449">
      <c r="K449" s="32">
        <v>0.9</v>
      </c>
    </row>
    <row r="451">
      <c r="K451" s="32">
        <v>0.9</v>
      </c>
    </row>
    <row r="453">
      <c r="K453" s="32">
        <v>0.85</v>
      </c>
    </row>
    <row r="455">
      <c r="K455" s="32">
        <v>0.85</v>
      </c>
    </row>
    <row r="457">
      <c r="K457" s="32">
        <v>0.7</v>
      </c>
    </row>
  </sheetData>
  <drawing r:id="rId1"/>
</worksheet>
</file>