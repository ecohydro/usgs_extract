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lifornia-water-terms1970" sheetId="1" r:id="rId5"/>
    <sheet state="visible" name="Sheet1"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tc={30fd9a66-0e0f-45b7-a43a-7967af4c9d97}</author>
    <author>tc={95c7178b-6d8a-42ea-aea6-227b437eda37}</author>
    <author>tc={977a260e-1ac3-4eea-9239-d36fb13a2534}</author>
    <author>tc={d9f8a74e-c160-483a-9908-7ef804b58ed1}</author>
  </authors>
  <commentList>
    <comment authorId="0" xr:uid="{30fd9a66-0e0f-45b7-a43a-7967af4c9d97}" ref="AB1">
      <text>
        <t xml:space="preserve">[Threaded comment]
 Your version of Excel allows you to read this threaded comment; however, any edits to it will get removed if the file is opened in a newer version of Excel. Learn more: https://go.microsoft.com/fwlink/?linkid=870924
Comment:
	Combine WU irrigation, Well use, and Area Irrigated
</t>
      </text>
    </comment>
    <comment authorId="1" xr:uid="{95c7178b-6d8a-42ea-aea6-227b437eda37}" ref="Q1">
      <text>
        <t xml:space="preserve">[Threaded comment]
 Your version of Excel allows you to read this threaded comment; however, any edits to it will get removed if the file is opened in a newer version of Excel. Learn more: https://go.microsoft.com/fwlink/?linkid=870924
Comment:
	Combine with Reservoir capacity and reservoir storage
</t>
      </text>
    </comment>
    <comment authorId="2" xr:uid="{977a260e-1ac3-4eea-9239-d36fb13a2534}" ref="S1">
      <text>
        <t xml:space="preserve">[Threaded comment]
 Your version of Excel allows you to read this threaded comment; however, any edits to it will get removed if the file is opened in a newer version of Excel. Learn more: https://go.microsoft.com/fwlink/?linkid=870924
Comment:
	Combine to one "Groundwater" column
Reply:
	GW level, GW storage, well yield, and GW Replenishment
Reply:
	and recharge, and GW pumpage
</t>
      </text>
    </comment>
    <comment authorId="3" xr:uid="{d9f8a74e-c160-483a-9908-7ef804b58ed1}" ref="M1">
      <text>
        <t xml:space="preserve">[Threaded comment]
 Your version of Excel allows you to read this threaded comment; however, any edits to it will get removed if the file is opened in a newer version of Excel. Learn more: https://go.microsoft.com/fwlink/?linkid=870924
Comment:
	Combine into one "Stream flow" column
Reply:
	with stream flow, river gage, and runoff
Reply:
	Secondary column just for "Springs"
</t>
      </text>
    </comment>
  </commentList>
</comments>
</file>

<file path=xl/sharedStrings.xml><?xml version="1.0" encoding="utf-8"?>
<sst xmlns="http://schemas.openxmlformats.org/spreadsheetml/2006/main" count="12963" uniqueCount="5610">
  <si>
    <t>URL</t>
  </si>
  <si>
    <t>Publication ID</t>
  </si>
  <si>
    <t>Index ID</t>
  </si>
  <si>
    <t>Publication type</t>
  </si>
  <si>
    <t>Publication Subtype</t>
  </si>
  <si>
    <t>Display title</t>
  </si>
  <si>
    <t>Title</t>
  </si>
  <si>
    <t>Water Data</t>
  </si>
  <si>
    <t>Location Type</t>
  </si>
  <si>
    <t>Stream Flow</t>
  </si>
  <si>
    <t>Springs</t>
  </si>
  <si>
    <t>Human Water Projects</t>
  </si>
  <si>
    <t>Stream/Spring Discharge</t>
  </si>
  <si>
    <t>River Gage</t>
  </si>
  <si>
    <t>Runoff</t>
  </si>
  <si>
    <t>Lake/Reservoir</t>
  </si>
  <si>
    <t>Groundwater</t>
  </si>
  <si>
    <t>Artesian Flow</t>
  </si>
  <si>
    <t>Groundwater Well Level</t>
  </si>
  <si>
    <t>Groundwater storage</t>
  </si>
  <si>
    <t>Well Yield</t>
  </si>
  <si>
    <t>Groundwater Replenishment</t>
  </si>
  <si>
    <t>Precipitation</t>
  </si>
  <si>
    <t xml:space="preserve">Chemical Conc. </t>
  </si>
  <si>
    <t>Recharge</t>
  </si>
  <si>
    <t>Water Use</t>
  </si>
  <si>
    <t>Water use domestic</t>
  </si>
  <si>
    <t>Water use Irrigation</t>
  </si>
  <si>
    <t xml:space="preserve">Well Use (what wells are used for) </t>
  </si>
  <si>
    <t>Groundwater Pumpage</t>
  </si>
  <si>
    <t>Area Irrigated</t>
  </si>
  <si>
    <t>Oil Wells</t>
  </si>
  <si>
    <t>Geology</t>
  </si>
  <si>
    <t>Other</t>
  </si>
  <si>
    <t>Data Tables</t>
  </si>
  <si>
    <t>Data Quantity (small/large)</t>
  </si>
  <si>
    <t>Table Format (small/large)</t>
  </si>
  <si>
    <t>Series title</t>
  </si>
  <si>
    <t>Series number</t>
  </si>
  <si>
    <t>Subseries</t>
  </si>
  <si>
    <t>Chapter</t>
  </si>
  <si>
    <t>Sub-chapter</t>
  </si>
  <si>
    <t>ISSN (online)</t>
  </si>
  <si>
    <t>ISSN (print)</t>
  </si>
  <si>
    <t>ISBN</t>
  </si>
  <si>
    <t>DOI</t>
  </si>
  <si>
    <t>Edition</t>
  </si>
  <si>
    <t>Volume</t>
  </si>
  <si>
    <t>Issue</t>
  </si>
  <si>
    <t>Year Published</t>
  </si>
  <si>
    <t>No Year Published</t>
  </si>
  <si>
    <t>Language</t>
  </si>
  <si>
    <t>Publisher</t>
  </si>
  <si>
    <t>Publisher location</t>
  </si>
  <si>
    <t>Contributing office(s)</t>
  </si>
  <si>
    <t>Description</t>
  </si>
  <si>
    <t>Larger Work Type</t>
  </si>
  <si>
    <t>Larger Work Subtype</t>
  </si>
  <si>
    <t>Larger Work Title</t>
  </si>
  <si>
    <t>First page</t>
  </si>
  <si>
    <t>Last page</t>
  </si>
  <si>
    <t>Number of Pages</t>
  </si>
  <si>
    <t>Public Comments</t>
  </si>
  <si>
    <t>Time Range Start</t>
  </si>
  <si>
    <t>Time Range End</t>
  </si>
  <si>
    <t>Conference Title</t>
  </si>
  <si>
    <t>Conference Location</t>
  </si>
  <si>
    <t>Conference Date</t>
  </si>
  <si>
    <t>Country</t>
  </si>
  <si>
    <t>State</t>
  </si>
  <si>
    <t>County</t>
  </si>
  <si>
    <t>City</t>
  </si>
  <si>
    <t>Other Geospatial</t>
  </si>
  <si>
    <t>Datum</t>
  </si>
  <si>
    <t>Projection</t>
  </si>
  <si>
    <t>Scale</t>
  </si>
  <si>
    <t>Online Only (Y/N)</t>
  </si>
  <si>
    <t>Additional Online Files(Y/N)</t>
  </si>
  <si>
    <t>Author(s)</t>
  </si>
  <si>
    <t>Editor(s)</t>
  </si>
  <si>
    <t>Compiler(s)</t>
  </si>
  <si>
    <t>Number of Links</t>
  </si>
  <si>
    <t>ScienceBase URI</t>
  </si>
  <si>
    <t>CHORUS DOI</t>
  </si>
  <si>
    <t>CHORUS URL</t>
  </si>
  <si>
    <t>CHORUS Publisher</t>
  </si>
  <si>
    <t>CHORUS Authors</t>
  </si>
  <si>
    <t>CHORUS Journal Name</t>
  </si>
  <si>
    <t>CHORUS Publication Date</t>
  </si>
  <si>
    <t>CHORUS Audited On</t>
  </si>
  <si>
    <t>CHORUS Publicly Accessible Date</t>
  </si>
  <si>
    <t>https://pubs.usgs.gov/publication/wsp17</t>
  </si>
  <si>
    <t>1751</t>
  </si>
  <si>
    <t>wsp17</t>
  </si>
  <si>
    <t>Report</t>
  </si>
  <si>
    <t>USGS Numbered Series</t>
  </si>
  <si>
    <t>Irrigation near Bakersfield, California</t>
  </si>
  <si>
    <t>Y</t>
  </si>
  <si>
    <t>CCS</t>
  </si>
  <si>
    <t>39</t>
  </si>
  <si>
    <t>N</t>
  </si>
  <si>
    <t>76</t>
  </si>
  <si>
    <t>39, 76</t>
  </si>
  <si>
    <t>S</t>
  </si>
  <si>
    <t>L/S</t>
  </si>
  <si>
    <t>Water Supply Paper</t>
  </si>
  <si>
    <t>17</t>
  </si>
  <si>
    <t>10.3133/wsp17</t>
  </si>
  <si>
    <t>-</t>
  </si>
  <si>
    <t>1898</t>
  </si>
  <si>
    <t>ENGLISH</t>
  </si>
  <si>
    <t>Govt. Print. Off.,</t>
  </si>
  <si>
    <t>California Water Science Center</t>
  </si>
  <si>
    <t>96 p. :illus., xvi pl. (incl. maps) ;23 cm.</t>
  </si>
  <si>
    <t>Grunsky, Carl Ewald</t>
  </si>
  <si>
    <t>1</t>
  </si>
  <si>
    <t>4f4e4b24e4b07f02db6ae9c4</t>
  </si>
  <si>
    <t>https://pubs.usgs.gov/publication/wsp18</t>
  </si>
  <si>
    <t>1752</t>
  </si>
  <si>
    <t>wsp18</t>
  </si>
  <si>
    <t>Irrigation near Fresno, California</t>
  </si>
  <si>
    <t>42, 88</t>
  </si>
  <si>
    <t>88, 89</t>
  </si>
  <si>
    <t>42, 88, 89</t>
  </si>
  <si>
    <t>L</t>
  </si>
  <si>
    <t>18</t>
  </si>
  <si>
    <t>10.3133/wsp18</t>
  </si>
  <si>
    <t>94 p. :illus., XIV pl. (incl. maps) ;23 cm.</t>
  </si>
  <si>
    <t>4f4e4aa7e4b07f02db667257</t>
  </si>
  <si>
    <t>https://pubs.usgs.gov/publication/b89</t>
  </si>
  <si>
    <t>35575</t>
  </si>
  <si>
    <t>b89</t>
  </si>
  <si>
    <t>Some lava flows of the western slope of the Sierra Nevada, California</t>
  </si>
  <si>
    <t>Bulletin</t>
  </si>
  <si>
    <t>89</t>
  </si>
  <si>
    <t>10.3133/b89</t>
  </si>
  <si>
    <t>74, ix p. :xi pl. (incl. maps) ;24 cm.</t>
  </si>
  <si>
    <t>Ransome, F. L.</t>
  </si>
  <si>
    <t>4f4e49e8e4b07f02db5e90b6</t>
  </si>
  <si>
    <t>https://pubs.usgs.gov/publication/wsp19</t>
  </si>
  <si>
    <t>1753</t>
  </si>
  <si>
    <t>wsp19</t>
  </si>
  <si>
    <t>Irrigation near Merced, California</t>
  </si>
  <si>
    <t>12, 13, 52, 53, 54, 64</t>
  </si>
  <si>
    <t>19</t>
  </si>
  <si>
    <t>10.3133/wsp19</t>
  </si>
  <si>
    <t>1899</t>
  </si>
  <si>
    <t>59 p. :illus., XI pl. (incl. maps) ;23 cm.</t>
  </si>
  <si>
    <t>4f4e4aa7e4b07f02db66725f</t>
  </si>
  <si>
    <t>https://pubs.usgs.gov/publication/wsp45</t>
  </si>
  <si>
    <t>1128</t>
  </si>
  <si>
    <t>wsp45</t>
  </si>
  <si>
    <t>Water storage on Cache Creek, California</t>
  </si>
  <si>
    <t>17, 51</t>
  </si>
  <si>
    <t>38</t>
  </si>
  <si>
    <t>26,27</t>
  </si>
  <si>
    <t>34</t>
  </si>
  <si>
    <t>12-16</t>
  </si>
  <si>
    <t>26</t>
  </si>
  <si>
    <t>Area and volume of clear lake (37), Clear lake level (38-43), clear lake capacity (46), empankment for clear lake (47), cost of storage works at clear lake (48)</t>
  </si>
  <si>
    <t>12,16,17,26,27,34, 38-43</t>
  </si>
  <si>
    <t>45</t>
  </si>
  <si>
    <t>10.3133/wsp45</t>
  </si>
  <si>
    <t>1901</t>
  </si>
  <si>
    <t>Govt. print. off.,</t>
  </si>
  <si>
    <t>48 p., x pl. :ill. ;23 cm.</t>
  </si>
  <si>
    <t>Chandler, Albert Edward</t>
  </si>
  <si>
    <t>4f4e4b23e4b07f02db6adfb1</t>
  </si>
  <si>
    <t>https://pubs.usgs.gov/publication/wsp46</t>
  </si>
  <si>
    <t>2415</t>
  </si>
  <si>
    <t>wsp46</t>
  </si>
  <si>
    <t>Physical characteristics of Kern River, California and Reconnaissance of Yuba River, California</t>
  </si>
  <si>
    <t>46</t>
  </si>
  <si>
    <t>10.3133/wsp46</t>
  </si>
  <si>
    <t>57 p. :ill. ;23 cm.</t>
  </si>
  <si>
    <t>Olmstead, Frank Henry; Manson, Marsden</t>
  </si>
  <si>
    <t>4f4e4adbe4b07f02db685bf0</t>
  </si>
  <si>
    <t>https://pubs.usgs.gov/publication/wsp59</t>
  </si>
  <si>
    <t>2131</t>
  </si>
  <si>
    <t>wsp59</t>
  </si>
  <si>
    <t>Development and application of water near San Bernardino, Colton, and Riverside, Cal., part I</t>
  </si>
  <si>
    <t xml:space="preserve">52, 53, 54, 55, 56, 57, 62, 63, 64, </t>
  </si>
  <si>
    <t xml:space="preserve">100, 28, 31, 40, 41, 53, 55, 56, 64, 79, 81, 82, 85, 87, 88, 92, 93, 97, 98, </t>
  </si>
  <si>
    <t xml:space="preserve">26, 85, 87, 88, 89, 92, 93, </t>
  </si>
  <si>
    <t xml:space="preserve">16, 17, </t>
  </si>
  <si>
    <t xml:space="preserve">26, </t>
  </si>
  <si>
    <t xml:space="preserve">100, </t>
  </si>
  <si>
    <t>59</t>
  </si>
  <si>
    <t>10.3133/wsp59</t>
  </si>
  <si>
    <t>1902</t>
  </si>
  <si>
    <t>English</t>
  </si>
  <si>
    <t>U.S. Geological Survey</t>
  </si>
  <si>
    <t>95 p.</t>
  </si>
  <si>
    <t>United States</t>
  </si>
  <si>
    <t>California</t>
  </si>
  <si>
    <t>Colton, Riverside, San Bernardino</t>
  </si>
  <si>
    <t>Lippincott, Joseph Barlow</t>
  </si>
  <si>
    <t>2</t>
  </si>
  <si>
    <t>4f4e4aa8e4b07f02db6672ff</t>
  </si>
  <si>
    <t>https://pubs.usgs.gov/publication/wsp58</t>
  </si>
  <si>
    <t>2132</t>
  </si>
  <si>
    <t>wsp58</t>
  </si>
  <si>
    <t>Storage of water on Kings River, California</t>
  </si>
  <si>
    <t xml:space="preserve">106, 131, </t>
  </si>
  <si>
    <t xml:space="preserve">41, 46, 55, 56, </t>
  </si>
  <si>
    <t xml:space="preserve">101, 103, 81, 83, 85, 87, 89, 91, 95, 97, </t>
  </si>
  <si>
    <t xml:space="preserve">21, 23, </t>
  </si>
  <si>
    <t xml:space="preserve">100, 102, 104, 82, 84, 86, 88, 90, 92, 94, 96, 98, </t>
  </si>
  <si>
    <t>Evaporation (30)</t>
  </si>
  <si>
    <t>58</t>
  </si>
  <si>
    <t>10.3133/wsp58</t>
  </si>
  <si>
    <t>101 p. :illus., XXXII pl. (incl. maps, plans) ;23 cm.</t>
  </si>
  <si>
    <t>4f4e4b30e4b07f02db6b40f9</t>
  </si>
  <si>
    <t>https://pubs.usgs.gov/publication/wsp68</t>
  </si>
  <si>
    <t>2799</t>
  </si>
  <si>
    <t>wsp68</t>
  </si>
  <si>
    <t>Water storage in the Truckee Basin, California-Nevada</t>
  </si>
  <si>
    <t>68</t>
  </si>
  <si>
    <t>10.3133/wsp68</t>
  </si>
  <si>
    <t>90 p. :illus., viii pl. ;23 cm.</t>
  </si>
  <si>
    <t>Taylor, Leon Henry</t>
  </si>
  <si>
    <t>4f4e49f4e4b07f02db5f0209</t>
  </si>
  <si>
    <t>https://pubs.usgs.gov/publication/wsp60</t>
  </si>
  <si>
    <t>3133</t>
  </si>
  <si>
    <t>wsp60</t>
  </si>
  <si>
    <t>Development and application of water near San Bernardino, Colton, and Riverside, California: Part II</t>
  </si>
  <si>
    <t>60</t>
  </si>
  <si>
    <t>10.3133/wsp60</t>
  </si>
  <si>
    <t>2 v. 97-141 p. (WSP 59 &amp; WSP 60) :XI pl. (incl. map) diagrs. ;23 cm.</t>
  </si>
  <si>
    <t>4f4e4aa7e4b07f02db66729b</t>
  </si>
  <si>
    <t>https://pubs.usgs.gov/publication/wsp86</t>
  </si>
  <si>
    <t>1166</t>
  </si>
  <si>
    <t>wsp86</t>
  </si>
  <si>
    <t>Storage reservoirs on Stony Creek, California</t>
  </si>
  <si>
    <t>20, 21, 23, 24, 40</t>
  </si>
  <si>
    <t>20, 21, 23, 24, 42</t>
  </si>
  <si>
    <t>50, 59, 75, 77</t>
  </si>
  <si>
    <t>14, 30-33, 35, 37, 38</t>
  </si>
  <si>
    <t>Temperature (33-36), number of thunderstorms (39), Cost of dam (51, 54, 55, 58, 61, 68)</t>
  </si>
  <si>
    <t xml:space="preserve">14, 20, 21, 23, 24, 30-42, 50, 51, 54, 58, 59, 61, 75, 77, </t>
  </si>
  <si>
    <t>86</t>
  </si>
  <si>
    <t>10.3133/wsp86</t>
  </si>
  <si>
    <t>1903</t>
  </si>
  <si>
    <t>62 p., 1 l. :illus., XVI pl. (incl. plans) ;23 cm.</t>
  </si>
  <si>
    <t>Cole, Burt</t>
  </si>
  <si>
    <t>4f4e4b2fe4b07f02db6b406e</t>
  </si>
  <si>
    <t>https://pubs.usgs.gov/publication/wsp89</t>
  </si>
  <si>
    <t>1789</t>
  </si>
  <si>
    <t>wsp89</t>
  </si>
  <si>
    <t>Water resources of the Salinas Valley, California</t>
  </si>
  <si>
    <t>TRS/CCS/PPT stations</t>
  </si>
  <si>
    <t>53, 57, 62, 67, 94</t>
  </si>
  <si>
    <t>112, 63, 69, 70, 74, 75, 82, 95</t>
  </si>
  <si>
    <t>26, 29, 30, 31, 32, 33, 34, 35</t>
  </si>
  <si>
    <t>48, 49</t>
  </si>
  <si>
    <t>109</t>
  </si>
  <si>
    <t>26, 29, 30, 32</t>
  </si>
  <si>
    <t>109, 112, 26, 29, 30, 31, 32, 33, 34, 35, 48, 49, 53, 57, 62, 63, 67, 69, 70, 74, 75, 82, 94, 95</t>
  </si>
  <si>
    <t>10.3133/wsp89</t>
  </si>
  <si>
    <t>1904</t>
  </si>
  <si>
    <t>91 p., 1 l. :illus., XII pl. (incl. maps) ;23 cm.</t>
  </si>
  <si>
    <t>Hamlin, Homer</t>
  </si>
  <si>
    <t>4f4e4b28e4b07f02db6b10ba</t>
  </si>
  <si>
    <t>https://pubs.usgs.gov/publication/wsp134</t>
  </si>
  <si>
    <t>1137</t>
  </si>
  <si>
    <t>wsp134</t>
  </si>
  <si>
    <t>Report of progress of stream measurements for the calendar year 1904, Part XI, The Great Basin and Pacific Ocean drainage in California</t>
  </si>
  <si>
    <t xml:space="preserve"> 20-24, 26, 27, 28, 29, 30, 32, 34, 35, 36, 38, 39, 40, 48, 51-53, 54, 55, 56, 57, 59, 60, 61, 62, 63, 64, 67, 68, 69, 70, 71, 72-95, 106, 107, 109-112, 114-118, 120-123, 125, 126, 127, 128, 130, 131, 132, 134-140, 143, 145, 147, 148-151, 152, 153, 154, 155, 156, 157, 158, 159, 160, 161, 162, 163, 164, 166, 167, 168, 170, 171, 172, 173, 174, 175, 176, 177, 179-190, 193-200, 202, 203, 205, 206, 207, 209, 210, 212, 213, 215, 216, 218, 219, 220, 221, 223, 224, 225, 227, 228, 230, 231, 233, 234, 235, 236, 237, 239, 240, 242, 244, 245, 246, 247, 248, 251, 252, 253, 254, 255, 256, 257, 258, 259, 260</t>
  </si>
  <si>
    <t>96-102</t>
  </si>
  <si>
    <t>106, 107, 24, 27, 29, 31, 33, 37, 40, 48, 53, 54, 56, 58, 59, 60, 62, 63, 65, 67, 68, 70, 110, 111, 113, 114, 115, 116, 118, 119, 120, 122, 124, 125, 126, 127, 129, 130, 131, 132, 134-135, 137, 138, 141, 143-148, 150, 151, 152, 154, 155, 156, 157, 158, 159, 160, 161, 162, 163, 164, 165, 166, 167, 169, 171, 173, 174, 177-180, 188-193, 197-205, 207, 208, 209, 210, 211, 212, 213, 214, 215, 216, 217, 218, 219, 220, 221, 222, 223, 225, 226, 227, 228, 229, 230, 231, 232, 233, 234, 235, 236, 237, 238, 239, 240, 241, 242, 243, 244, 245,246, 247, 248, 249, 250, 251, 252, 253, 254, 255, 256, 257</t>
  </si>
  <si>
    <t>107, 54, 59, 61, 64, 68, 73, 111, 114, 117, 121, 127, 130, 136, 139, 149, 153, 164, 168, 172, 174, 176, 197</t>
  </si>
  <si>
    <t>42-45</t>
  </si>
  <si>
    <t>Anual appropriations for hydrographic surveys (6), evaporation (25, 108), seepage loss (46), daily turbidity (146)</t>
  </si>
  <si>
    <t>20-24, 26-40, 42-46, 48, 51-65, 67-102, 106-132, 134-194, 196-260</t>
  </si>
  <si>
    <t>134</t>
  </si>
  <si>
    <t>10.3133/wsp134</t>
  </si>
  <si>
    <t>1905</t>
  </si>
  <si>
    <t>U.S. G.P.O.,</t>
  </si>
  <si>
    <t>276 p. :map ;23 cm.</t>
  </si>
  <si>
    <t>Clapp, William Billings</t>
  </si>
  <si>
    <t>4f4e4a5ee4b07f02db633d69</t>
  </si>
  <si>
    <t>https://pubs.usgs.gov/publication/wsp116</t>
  </si>
  <si>
    <t>2133</t>
  </si>
  <si>
    <t>wsp116</t>
  </si>
  <si>
    <t>Water problems of Santa Barbara, California</t>
  </si>
  <si>
    <t xml:space="preserve">24, 27, 28, 44, 49, 59, 60, 77, </t>
  </si>
  <si>
    <t xml:space="preserve">41, 42, 43, 44, </t>
  </si>
  <si>
    <t xml:space="preserve">16, 23, 60, 72, 87, 90, </t>
  </si>
  <si>
    <t xml:space="preserve">56, </t>
  </si>
  <si>
    <t xml:space="preserve">61, 63, 64, 65, 66, 69, </t>
  </si>
  <si>
    <t>116</t>
  </si>
  <si>
    <t>10.3133/wsp116</t>
  </si>
  <si>
    <t>99 p., 1 l. :illus., VIII pl. (incl. fold. map) diagrs. ;23 cm.</t>
  </si>
  <si>
    <t>4f4e4a08e4b07f02db5f9c55</t>
  </si>
  <si>
    <t>https://pubs.usgs.gov/publication/wsp138</t>
  </si>
  <si>
    <t>2291</t>
  </si>
  <si>
    <t>wsp138</t>
  </si>
  <si>
    <t>Development of underground waters in the central coastal plain region of southern California</t>
  </si>
  <si>
    <t>138</t>
  </si>
  <si>
    <t>10.3133/wsp138</t>
  </si>
  <si>
    <t>Report: 162 p.; 3 Plates: 16.00 × 29.00 inches or smaller</t>
  </si>
  <si>
    <t>Mendenhall, Walter Curran</t>
  </si>
  <si>
    <t>5</t>
  </si>
  <si>
    <t>4f4e4a9be4b07f02db65dde0</t>
  </si>
  <si>
    <t>https://pubs.usgs.gov/publication/wsp137</t>
  </si>
  <si>
    <t>2292</t>
  </si>
  <si>
    <t>wsp137</t>
  </si>
  <si>
    <t>Development of underground waters in the eastern coastal plain region of southern California</t>
  </si>
  <si>
    <t>137</t>
  </si>
  <si>
    <t>10.3133/wsp137</t>
  </si>
  <si>
    <t>Report: 140 p.; 5 Plates: 27.50 × 16.00 inches or smaller</t>
  </si>
  <si>
    <t>7</t>
  </si>
  <si>
    <t>4f4e4a9be4b07f02db65ddea</t>
  </si>
  <si>
    <t>https://pubs.usgs.gov/publication/wsp139</t>
  </si>
  <si>
    <t>2293</t>
  </si>
  <si>
    <t>wsp139</t>
  </si>
  <si>
    <t>Development of underground waters in the western coastal plain region of southern California</t>
  </si>
  <si>
    <t>139</t>
  </si>
  <si>
    <t>10.3133/wsp139</t>
  </si>
  <si>
    <t>Report: 105 p.; 5 Plates: 27.74 × 16.24 inches or smaller</t>
  </si>
  <si>
    <t>4f4e4a9be4b07f02db65de07</t>
  </si>
  <si>
    <t>https://pubs.usgs.gov/publication/wsp177</t>
  </si>
  <si>
    <t>1138</t>
  </si>
  <si>
    <t>wsp177</t>
  </si>
  <si>
    <t>Report of progress of stream measurements for the calendar year 1905, Part XIII, The Great Basin and Pacific Ocean drainages in California, and Colorado River drainage below Gila River</t>
  </si>
  <si>
    <t>101, 102, 104, 105, 106, 107, 114, 115, 116, 119, 120, 122, 123, 124, 130, 131, 132, 133, 134, 135, 138, 139, 143, 144, 145, 146, 147, 148, 149, 150, 152, 153, 154, 155, 156, 157, 158, 159, 162, 163, 164, 165, 167, 170, 172, 173, 175, 176, 179, 180, 181, 182, 183, 185, 186, 187, 189, 191, 192, 197, 198, 199, 200, 202, 203, 205, 206, 207, 210, 211, 212, 213, 214, 215, 216, 217, 219, 221, 222, 223, 224, 227, 228, 23, 229, 230, 231, 232, 233, 234, 236, 237, 238, 24, 239, 240, 241, 242, 243, 244, 245, 246, 247, 25, 249, 250, 259, 260, 261, 27, 28, 29, 32, 33, 34, 35, 36, 37, 38, 39, 40, 41, 42, 43, 44, 45, 46, 47, 48, 51, 52, 53, 54, 55, 56, 57, 58, 59, 60, 61, 62, 63, 64, 65, 66, 68, 69, 70, 71, 72, 73, 76, 77, 78, 79, 80, 81, 82, 84, 85, 86, 87, 88, 89, 90, 91, 92, 97, 99</t>
  </si>
  <si>
    <t>108-111</t>
  </si>
  <si>
    <t>101, 105, 106, 114, 115, 120, 121, 123, 130, 131, 133, 134, 138, 139, 140, 143, 144, 146, 147, 149, 150, 151, 154, 155, 157, 158, 162, 163, 165, 166, 167, 170, 171, 175, 176, 179, 180, 182, 183, 185, 186, 187, 189, 190, 191, 192, 194, 199, 200, 202, 203, 205, 206, 210, 211, 212, 213, 214, 215, 216, 217, 219, 220, 221, 222, 223, 224, 227, 228, 23, 230, 231, 232, 233, 236, 237, 24, 239, 240, 241, 242, 243, 245, 246, 249, 250, 26, 259, 260, 261, 27, 29, 35, 36, 37, 38, 39, 40, 41, 42, 43, 44, 45, 46, 47, 52, 53, 55, 56, 57, 59, 60, 61, 62, 64, 65, 66, 67, 68, 69, 70, 71, 72, 73, 74, 75, 76, 77, 78, 79, 80, 81, 82, 84, 85, 86, 87, 88, 89, 90, 91, 92, 93, 97, 98</t>
  </si>
  <si>
    <t>107, 116, 122, 124, 135, 139, 145, 148, 156, 159, 164, 167, 173, 176, 181, 183, 198, 200, 203, 207, 214, 216, 221, 229, 234, 25, 54</t>
  </si>
  <si>
    <t>251, 50</t>
  </si>
  <si>
    <t>28</t>
  </si>
  <si>
    <t>Evaporation (178, 251), Water entering through irrigation (48)</t>
  </si>
  <si>
    <t>101, 102, 104-111, 114-116, 119-124, 127, 128,  130-135, 138-140, 143-159, 162-167, 170-173, 175, 176, 178-183, 185-187, 189-192, 194, 197, 198-200, 202, 203, 205-207, 210-217, 219-224, 227-234, 23, 236-251, 24, 25, 26, 259-261, 27, 28, 29, 32-48, 50-82, 84-93, 97-99</t>
  </si>
  <si>
    <t>177</t>
  </si>
  <si>
    <t>10.3133/wsp177</t>
  </si>
  <si>
    <t>1906</t>
  </si>
  <si>
    <t>273 p. :ill., map ;23 cm.</t>
  </si>
  <si>
    <t>Clapp, William Billings; Hoyt, J.C.</t>
  </si>
  <si>
    <t>4f4e4a5ee4b07f02db633d2c</t>
  </si>
  <si>
    <t>https://pubs.usgs.gov/publication/wsp181</t>
  </si>
  <si>
    <t>2094</t>
  </si>
  <si>
    <t>wsp181</t>
  </si>
  <si>
    <t>Geology and water resources of Owens valley, California</t>
  </si>
  <si>
    <t>LL</t>
  </si>
  <si>
    <t xml:space="preserve">26, 27, </t>
  </si>
  <si>
    <t xml:space="preserve">23, </t>
  </si>
  <si>
    <t>Evaporation (24)</t>
  </si>
  <si>
    <t>181</t>
  </si>
  <si>
    <t>10.3133/wsp181</t>
  </si>
  <si>
    <t>28 p. :illus. ;24 cm.</t>
  </si>
  <si>
    <t>Lee, Willis T.</t>
  </si>
  <si>
    <t>4f4e4ad6e4b07f02db684121</t>
  </si>
  <si>
    <t>https://pubs.usgs.gov/publication/70010881</t>
  </si>
  <si>
    <t>70010881</t>
  </si>
  <si>
    <t>Article</t>
  </si>
  <si>
    <t>Journal Article</t>
  </si>
  <si>
    <t>A new analysis of the water of Owens Lake, California</t>
  </si>
  <si>
    <t>Journal of the American Chemical Society</t>
  </si>
  <si>
    <t>10.1021/ja01975a006</t>
  </si>
  <si>
    <t>9</t>
  </si>
  <si>
    <t>American Chemical Society</t>
  </si>
  <si>
    <t>7 p.</t>
  </si>
  <si>
    <t>1164</t>
  </si>
  <si>
    <t>1170</t>
  </si>
  <si>
    <t>Owens Lake</t>
  </si>
  <si>
    <t>Stone, C. H.; Eaton, F. M.</t>
  </si>
  <si>
    <t>0</t>
  </si>
  <si>
    <t>5059e49ae4b0c8380cd46768</t>
  </si>
  <si>
    <t>https://pubs.usgs.gov/publication/wsp213</t>
  </si>
  <si>
    <t>1139</t>
  </si>
  <si>
    <t>wsp213</t>
  </si>
  <si>
    <t>The surface water supply of California, 1906, with a section on ground-water levels in southern California (Great Basin and Pacific Ocean drainages in California and lower Colorado River drainage)</t>
  </si>
  <si>
    <t>100, 103, 105, 107, 109, 111, 113, 115, 119, 121, 122, 123, 124, 126, 128, 130, 131, 132, 140, 141, 142, 143,145, 149, 150, 151, 153, 154, 157, 158, 159, 160, 161, 165-167, 169, 171, 173, 175, 177, 179-186, 21, 23, 24, 25-27, 35-39, 41, 44, 46, 49, 50, 52, 53, 54, 55, 57, 60, 62, 63, 65, 66, 68, 71, 73, 74, 75, 78, 85, 86, 89, 90, 92, 95, 96, 97, 99</t>
  </si>
  <si>
    <t>80-82, 88</t>
  </si>
  <si>
    <t>100, 102, 103, 104, 105, 106, 107, 109, 110, 111, 112, 113, 114, 119, 120, 121, 122, 123, 124, 125, 126, 128, 129, 130, 131, 132, 133, 140, 142, 143, 144, 145, 147, 150, 151, 153, 154, 157, 158, 160, 161, 162-167, 169-175, 177-185, 21, 22, 24, 25-27, 31, 32, 36-39, 41-45, 49, 50, 54, 55, 60, 62, 63, 65, 66, 68, 70, 71, 73, 75, 76, 78, 85, 89, 90, 92, 95, 96, 97, 99</t>
  </si>
  <si>
    <t>100, 103, 105, 107, 109, 111, 113, 119, 121, 123, 126, 141, 143, 149, 151, 159, 161, 166, 171, 175, 27, 66, 71, 74, 86, 90</t>
  </si>
  <si>
    <t>191, 192,  195-207</t>
  </si>
  <si>
    <t>138, 188</t>
  </si>
  <si>
    <t>Evaporation (188)</t>
  </si>
  <si>
    <t>100, 102-107, 109-115, 119-126, 128-133, 140-145, 147, 149-151, 153, 154, 157-167, 169-175, 177-186, 191, 192, 195-207, 21-27, 31, 32, 35-39, 41-46, 49, 50, 52-55, 57, 60, 62, 63, 65, 66, 68, 70, 71, 73-76, 78, 80-82, 85, 86, 88-90, 92, 95-97, 99</t>
  </si>
  <si>
    <t>213</t>
  </si>
  <si>
    <t>10.3133/wsp213</t>
  </si>
  <si>
    <t>1907</t>
  </si>
  <si>
    <t>219, ii p. :illus., IV pl. (incl. maps, 1 fold.) diagr. ;23 cm.</t>
  </si>
  <si>
    <t>4f4e4a61e4b07f02db6357c1</t>
  </si>
  <si>
    <t>https://pubs.usgs.gov/publication/wsp219</t>
  </si>
  <si>
    <t>2295</t>
  </si>
  <si>
    <t>wsp219</t>
  </si>
  <si>
    <t>Ground waters and irrigation enterprises in the foothill belt, southern California</t>
  </si>
  <si>
    <t>219</t>
  </si>
  <si>
    <t>10.3133/wsp219</t>
  </si>
  <si>
    <t>1908</t>
  </si>
  <si>
    <t>180 p. :illus., IX pl. (part fold., incl. maps in pocket) diagrs. ;23 cm.</t>
  </si>
  <si>
    <t>8</t>
  </si>
  <si>
    <t>4f4e4ab0e4b07f02db66d67c</t>
  </si>
  <si>
    <t>https://pubs.usgs.gov/publication/wsp222</t>
  </si>
  <si>
    <t>2298</t>
  </si>
  <si>
    <t>wsp222</t>
  </si>
  <si>
    <t>Preliminary report on the ground waters of San Joaquin Valley, California</t>
  </si>
  <si>
    <t>222</t>
  </si>
  <si>
    <t>10.3133/wsp222</t>
  </si>
  <si>
    <t>52 p.</t>
  </si>
  <si>
    <t>4f4e4aaee4b07f02db66c85d</t>
  </si>
  <si>
    <t>https://pubs.usgs.gov/publication/wsp225</t>
  </si>
  <si>
    <t>2296</t>
  </si>
  <si>
    <t>wsp225</t>
  </si>
  <si>
    <t>Ground waters of the Indio region, California, with a sketch of the Colorado Desert</t>
  </si>
  <si>
    <t>225</t>
  </si>
  <si>
    <t>10.3133/wsp225</t>
  </si>
  <si>
    <t>1909</t>
  </si>
  <si>
    <t>Report: 56 p.; 2 Plates: 16.00 x 22.50 inches and 12.00 x 18.00 inches</t>
  </si>
  <si>
    <t>Indio</t>
  </si>
  <si>
    <t>4</t>
  </si>
  <si>
    <t>4f4e4ab0e4b07f02db66d6ac</t>
  </si>
  <si>
    <t>https://pubs.usgs.gov/publication/wsp224</t>
  </si>
  <si>
    <t>2299</t>
  </si>
  <si>
    <t>wsp224</t>
  </si>
  <si>
    <t>Some desert watering places in southeastern California and southwestern Nevada</t>
  </si>
  <si>
    <t>224</t>
  </si>
  <si>
    <t>10.3133/wsp224</t>
  </si>
  <si>
    <t>98 p. :iv. pl. (incl. fold. map in pocket) ;23 cm.</t>
  </si>
  <si>
    <t>4f4e49e9e4b07f02db5e93a5</t>
  </si>
  <si>
    <t>https://pubs.usgs.gov/publication/wsp251</t>
  </si>
  <si>
    <t>1136</t>
  </si>
  <si>
    <t>wsp251</t>
  </si>
  <si>
    <t>Surface water supply of the United States, 1907-8 Part XI, California</t>
  </si>
  <si>
    <t xml:space="preserve">CCS- has river names and description </t>
  </si>
  <si>
    <t>100, 101, 103, 104, 105,108, 109, 110, 113, 115, 117, 119, 121, 123, 124, 125, 127, 128, 131, 132, 133, 140, 141, 142, 143, 144, 145, 147, 148, 150, 153, 154, 155, 161, 162, 163, 166, 167, 168, 170, 172, 173, 174, 178, 179, 180, 181, 182, 183, 186, 187, 188, 189, 190, 192, 194, 195, 198, 200, 201, 202, 203, 204, 205, 206, 207, 209, 210, 211, 212, 213, 214, 215, 218, 221, 223, 224, 225, 227, 228, 230,  232, 233, 237, 239, 248, 249, 251, 252, 253, 255, 257, 262, 264, 265, 267, 268, 269, 270, 271, 272, 273, 274, 275, 276, 280, 284, 285, 286, 289, 290, 291, 292, 295, 296, 297, 298, 299, 300, 302, 303, 304, 306, 308, 309, 310, 311, 312, 317, 319, 320, 321, 326, 328, 329, 330, 331, 332, 333, 334, 336, 337, 339, 341, 343, 344, 345, 346-348, 350, 37, 38, 39, 41, 42, 52, 59, 60, 61, 62, 64, 65, 66, 67, 68, 69, 70, 72, 73, 74, 75, 76, 77, 78, 80, 81, 82, 83, 85, 86, 87, 88, 89, 90, 91, 93, 94, 95, 96, 98, 99</t>
  </si>
  <si>
    <t>13, 135-137</t>
  </si>
  <si>
    <t>100, 101, 104, 105, 108, 110, 113, 114, 117, 118, 119, 120, 121, 123, 124, 127, 128, 131, 132, 140, 141, 142, 147, 149, 150, 153, 154, 161, 162, 166, 167, 169,170, 172, 173, 178, 179, 180, 181, 182, 185, 186, 188, 189, 192, 193, 194, 201, 202, 204, 205, 207, 208, 209, 210, 211, 213, 214, 217, 218, 221, 222, 225, 226, 227, 230, 231, 232, 237, 238, 239, 240, 243, 244, 245, 251, 252, 255, 256, 257, 262, 263, 264, 267, 268, 270, 271, 272, 273, 274, 276, 277, 280, 283, 284, 285, 286, 287, 289, 290, 292, 295, 296, 297, 298, 299, 302, 303, 306, 307, 308, 310, 311, 314, 315, 317, 318, 319, 320, 321, 322-325, 327, 328, 329, 330,331, 332, 333, 334, 335, 336, 337, 338, 340, 341, 342, 343, 345, 346, 349, 350, 38, 40, 50, 51, 52, 59, 60, 62, 63, 64, 65, 66, 68, 69, 70, 71, 72, 73, 74, 75, 76, 77, 78, 79, 81, 82, 83, 85, 86, 88, 89, 90, 91, 92, 97, 98, 99</t>
  </si>
  <si>
    <t>109, 110, 112, 115, 119, 121, 125, 128, 143, 144, 148, 150, 155, 163, 168, 170, 174, 180, 181, 183, 187, 190, 195, 200, 203, 206, 210, 212, 215, 218, 224, 228, 232, 233, 239, 249, 253, 257, 264, 265, 269, 272, 275, 285, 291, 297, 300, 304, 308, 309, 312, 320, 321, 333, 334, 343, 37, 42, 61, 64, 67, 69, 72, 75, 78, 80, 82, 83, 85, 87, 90, 93, 94, 95, 96, 98</t>
  </si>
  <si>
    <t>354-362</t>
  </si>
  <si>
    <t>112, 313</t>
  </si>
  <si>
    <t>Evaporation (344), monthly rise of salton sea (51)</t>
  </si>
  <si>
    <t>100, 101, 103, 104, 105,108, 109, 110, 112, 113, 114, 115, 117, 118, 119, 120, 121,123, 124, 125, 127, 128,13, 131, 132, 133, 135-137, 140, 141, 142, 143, 144, 145, 147, 148, 149, 150, 153, 154, 155, 161, 162, 163, 166, 167, 168, 169, 170, 172, 173, 174, 178, 179, 180, 181, 182, 183, 185, 186, 187, 188, 189, 190, 192, 194, 195, 198, 200-215, 217, 218, 221-228, 230-233, 237-240,, 242-245, 248, 249, 251-253, 255-257, 262-265, 267-277, 280, 283-287, 289-92, 295-300, 302-304, 306-315, 317-343, 345-350, 354-362, 37-42, 50-52, 59-83, 85-99</t>
  </si>
  <si>
    <t>251</t>
  </si>
  <si>
    <t>10.3133/wsp251</t>
  </si>
  <si>
    <t>1910</t>
  </si>
  <si>
    <t>Department of the Interior,</t>
  </si>
  <si>
    <t>363p. :illus., tables, photographs ;24cm.</t>
  </si>
  <si>
    <t>Clapp, W.B.; Martin, W. F.</t>
  </si>
  <si>
    <t>4f4e4b00e4b07f02db698034</t>
  </si>
  <si>
    <t>https://pubs.usgs.gov/publication/wsp237</t>
  </si>
  <si>
    <t>2854</t>
  </si>
  <si>
    <t>wsp237</t>
  </si>
  <si>
    <t>The quality of the surface waters of California</t>
  </si>
  <si>
    <t>237</t>
  </si>
  <si>
    <t>10.3133/wsp237</t>
  </si>
  <si>
    <t>Report: 142 p.; 1 Plate: 18.00 × 20.33 inches</t>
  </si>
  <si>
    <t>Van Winkle, Walton; Eaton, Frederick M.</t>
  </si>
  <si>
    <t>3</t>
  </si>
  <si>
    <t>4f4e4a70e4b07f02db641480</t>
  </si>
  <si>
    <t>https://pubs.usgs.gov/publication/wsp271</t>
  </si>
  <si>
    <t>1140</t>
  </si>
  <si>
    <t>wsp271</t>
  </si>
  <si>
    <t>Surface water supply of the United States, 1909 : Part 11. California</t>
  </si>
  <si>
    <t>100-103, 106-108, 110-112, 115, 117, 119, 124-130, 133-137, 141, 143, 144, 145, 147, 150, 155, 156, 159, 161, 162, 163, 166, 167-169, 171-173, 177, 178, 185-189, 191, 192, 197, 198, 201-203, 210-216, 219-223, 225-227, 230, 231, 233, 234, 237-239, 241, 242-248, 250, 251, 253, 254, 255, 37, 38, 39, 41, 42, 43, 48, 49, 50, 51, 52, 53, 54, 55, 56, 57, 58, 59, 60, 61, 62, 63, 64, 65, 66, 67, 68, 69, 70, 71, 72, 73, 74, 75, 76, 77, 78, 79, 80, 81, 82, 83, 84, 85, 88, 90, 91, 92, 93, 94, 96, 97, 98</t>
  </si>
  <si>
    <t>11, 113</t>
  </si>
  <si>
    <t>100, 102, 103, 106, 111, 115, 117, 124, 125, 127, 128, 133-136, 140, 142, 144, 145, 147, 149, 155, 161, 162, 165, 167, 168, 171, 172, 177, 179, 182, 187, 188, 191, 197, 201, 202, 205, 210-216, 219, 221-222, 225, 230, 233, 236, 237-241, 243-250, 254, 37, 38, 40, 42, 43, 44, 48, 50, 52, 54, 56, 58, 59, 60, 61, 62, 63, 64, 65, 66, 67, 68, 69, 70, 71, 72, 73, 74, 76, 79, 80, 82, 84, 88, 89, 92, 93, 96, 97</t>
  </si>
  <si>
    <t xml:space="preserve">101, 103, 108, 112, 119, 126, 135, 137, 141, 143, 150, 156, 159, 163, 166, 169, 173, 178, 186, 189, 192, 198, 203, 212, 214, 216, 220, 223, 227, 231, 234, 239, 242, 244, 245, 248, 251, 39, 49, 51, 53, 55, 57, 60, 62, 64, 66, 68, 70, 72, 73, 75, 77, 78, 79, 81, 83, 85, 91, 94, 98, </t>
  </si>
  <si>
    <t>Number of papers with stream measurements (12), Evaporation (252), RIse of Salton Sea (41)</t>
  </si>
  <si>
    <t>100-103, 106-108, 11, 110-113, 115, 117, 12, 119, 124-130, 133-137, 140-145, 147, 149, 150, 155, 156, 159, 161-163, 165-169, 171-173, 177-179, 182, 185-189, 191, 192, 197, 198, 201-203, 205, 210-216, 219-223, 225, 227, 230, 231, 233, 234, 236-255, 37-44, 48-85, 88-98</t>
  </si>
  <si>
    <t>271</t>
  </si>
  <si>
    <t>10.3133/wsp271</t>
  </si>
  <si>
    <t>1911</t>
  </si>
  <si>
    <t>256 p. :ill. ;23 cm.</t>
  </si>
  <si>
    <t>Clapp, W.B.; Henshaw, F.F.</t>
  </si>
  <si>
    <t>4f4e4afee4b07f02db6973a9</t>
  </si>
  <si>
    <t>https://pubs.usgs.gov/publication/wsp278</t>
  </si>
  <si>
    <t>1983</t>
  </si>
  <si>
    <t>wsp278</t>
  </si>
  <si>
    <t>Water resources of Antelope Valley, California</t>
  </si>
  <si>
    <t>CCS/TRS</t>
  </si>
  <si>
    <t>39, 41</t>
  </si>
  <si>
    <t>78, 81, 83, 85, 86, 87, 88, 89, 91, 93, 95, 97</t>
  </si>
  <si>
    <t>18, 19</t>
  </si>
  <si>
    <t>66</t>
  </si>
  <si>
    <t>18, 19, 39, 41, 66, 78, 81, 83, 85, 86, 87, 88, 89, 91, 93, 95, 97</t>
  </si>
  <si>
    <t>278</t>
  </si>
  <si>
    <t>10.3133/wsp278</t>
  </si>
  <si>
    <t>Geological Survey (U.S.)</t>
  </si>
  <si>
    <t>California Water Science Center; U.S. Geological Survey</t>
  </si>
  <si>
    <t>92 p. + plates  **MISSING PAGE 62**</t>
  </si>
  <si>
    <t>Johnson, Harry Roland</t>
  </si>
  <si>
    <t>4f4e49f4e4b07f02db5f0896</t>
  </si>
  <si>
    <t>https://pubs.usgs.gov/publication/wsp291</t>
  </si>
  <si>
    <t>1141</t>
  </si>
  <si>
    <t>wsp291</t>
  </si>
  <si>
    <t>Surface water supply of the United States, 1910 : Part 11. Pacific Coast in California</t>
  </si>
  <si>
    <t>100, 101-104, 106, 108-115, 117, 118, 120, 123, 124, 126, 128, 129-136, 138, 139-141, 143-150, 154, 155, 156-161, 163-169, 171, 173, 174, 176-182, 184, 185, 189, 190, 191, 192, 193, 196, 197-199, 201, 202, 203, 207-211, 28-34, 36, 37-42, 44, 45, 47, 48, 49, 50, 52-55, 58-66, 69, 70, 71, 74, 75, 77, 78, 79, 81, 82, 83, 84, 86, 87, 88, 89, 90, 94, 95, 96, 97, 98, 99</t>
  </si>
  <si>
    <t>10</t>
  </si>
  <si>
    <t>101-104, 106, 108-111, 113, 117, 120, 123, 126, 128, 130-133, 136-141, 143, 145-149, 157, 158, 161, 163, 165-170, 173, 178, 180, 181, 183, 184, 185, 187, 189, 190, 192, 193, 195, 197, 198, 201, 202, 203, 204, 205, 206, 28-30, 33, 36, 37, 38, 41, 42, 44, 47, 52, 56-59, 61, 62, 64, 65, 68, 69, 71, 73, 74, 76, 77, 78, 79, 80, 81, 82, 83, 86, 87, 88, 89, 90, 94, 95, 96, 97, 98, 99</t>
  </si>
  <si>
    <t>100, 101, 110, 112, 113, 118, 124, 129, 135, 139, 144, 150, 154, 156, 159, 160, 164, 171, 174, 177, 179, 182, 191, 193, 196, 199, 203, 207-211, 30, 31, 32, 34, 37, 39, 40, 42, 45, 48, 49, 50, 53, 54, 55, 60, 63, 66, 71, 75, 79, 83, 84, 89, 96, 98</t>
  </si>
  <si>
    <t>Number of papers with stream measurements (11, 9)</t>
  </si>
  <si>
    <t>10, 100-104, 106,11, 108-118, 120-124, 126, 128-141, 143-150, 154-161, 163-171, 173, 174, 176-185, 187, 189-193, 195-199, 201-211, 28-34, 36-42, 44, 45, 47-50, 52-66, 68-71, 9, 73-84, 86-90, 94-99</t>
  </si>
  <si>
    <t>291</t>
  </si>
  <si>
    <t>10.3133/wsp291</t>
  </si>
  <si>
    <t>1912</t>
  </si>
  <si>
    <t>218 p. :ill. ;23 cm.</t>
  </si>
  <si>
    <t>Clapp, W.B.; Henshaw, F.F.; McGlashan, H.D.</t>
  </si>
  <si>
    <t>4f4e4b00e4b07f02db697fa5</t>
  </si>
  <si>
    <t>https://pubs.usgs.gov/publication/wsp294</t>
  </si>
  <si>
    <t>2090</t>
  </si>
  <si>
    <t>wsp294</t>
  </si>
  <si>
    <t>An intensive study of the water resources of a part of Owens Valley, California</t>
  </si>
  <si>
    <t>CCS/Station no./TRS</t>
  </si>
  <si>
    <t xml:space="preserve">138, 139, 140, 141, 142, 144, 145, 146, 147, 148, 149, 150, 154, 155, </t>
  </si>
  <si>
    <t xml:space="preserve">161, </t>
  </si>
  <si>
    <t xml:space="preserve">127, 128, 129, 130, 131, 132, 133, 134, 135, 136, 161, 156, </t>
  </si>
  <si>
    <t>Evaporation (156, 157, 158, 159, 169)</t>
  </si>
  <si>
    <t>294</t>
  </si>
  <si>
    <t>10.3133/wsp294</t>
  </si>
  <si>
    <t>135 p.</t>
  </si>
  <si>
    <t>Lee, Charles H.</t>
  </si>
  <si>
    <t>4f4e4ad7e4b07f02db684539</t>
  </si>
  <si>
    <t>https://pubs.usgs.gov/publication/wsp311</t>
  </si>
  <si>
    <t>2248</t>
  </si>
  <si>
    <t>wsp311</t>
  </si>
  <si>
    <t>Surface water supply of the United States, 1911 : Part 11. Pacific Coast in California</t>
  </si>
  <si>
    <t>138, 139, 140, 141, 142, 144, 145, 146, 147, 148, 149, 150, 154, 155, 161, 127, 128, 129, 130, 131, 132, 133, 134, 135, 136, 161, 156, 156, 157, 158, 159, 169</t>
  </si>
  <si>
    <t>311</t>
  </si>
  <si>
    <t>10.3133/wsp311</t>
  </si>
  <si>
    <t>304 p. :map ;23 cm.</t>
  </si>
  <si>
    <t>McGlashan, H.D.; Bolster, R.H.</t>
  </si>
  <si>
    <t>4f4e4b00e4b07f02db697f9d</t>
  </si>
  <si>
    <t>https://pubs.usgs.gov/publication/wsp298</t>
  </si>
  <si>
    <t>2250</t>
  </si>
  <si>
    <t>wsp298</t>
  </si>
  <si>
    <t>Water resources of California, Part I, Stream measurements in Sacramento River basin</t>
  </si>
  <si>
    <t>298</t>
  </si>
  <si>
    <t>10.3133/wsp298</t>
  </si>
  <si>
    <t>411 p. :ill., maps ;23 cm.</t>
  </si>
  <si>
    <t>Hoyt, J.C.; McGlashan, H.D.; Henshaw, F.F.</t>
  </si>
  <si>
    <t>4f4e49f4e4b07f02db5f08fc</t>
  </si>
  <si>
    <t>https://pubs.usgs.gov/publication/wsp299</t>
  </si>
  <si>
    <t>2251</t>
  </si>
  <si>
    <t>wsp299</t>
  </si>
  <si>
    <t>Water resources of California, Part II, Stream measurements in San Joaquin River basin</t>
  </si>
  <si>
    <t>299</t>
  </si>
  <si>
    <t>10.3133/wsp299</t>
  </si>
  <si>
    <t>439 p. :ill. ;23 cm.</t>
  </si>
  <si>
    <t>Hoyt, J.C.; McGlashan, Harry Deyoe; Dean, H.J.</t>
  </si>
  <si>
    <t>4f4e49f4e4b07f02db5f085b</t>
  </si>
  <si>
    <t>https://pubs.usgs.gov/publication/wsp295</t>
  </si>
  <si>
    <t>3009</t>
  </si>
  <si>
    <t>wsp295</t>
  </si>
  <si>
    <t>Gazetteer of surface waters of California Part I: Sacramento River basin</t>
  </si>
  <si>
    <t>295</t>
  </si>
  <si>
    <t>10.3133/wsp295</t>
  </si>
  <si>
    <t>3 v 99 p. (WSP 295-297). ;23 cm.</t>
  </si>
  <si>
    <t>Wood, Beatrice Dawson; Hoyt, J.C.</t>
  </si>
  <si>
    <t>4f4e4b28e4b07f02db6b1159</t>
  </si>
  <si>
    <t>https://pubs.usgs.gov/publication/wsp296</t>
  </si>
  <si>
    <t>3135</t>
  </si>
  <si>
    <t>wsp296</t>
  </si>
  <si>
    <t>Gazetteer of surface waters of California Part II: San Joaquin River basin</t>
  </si>
  <si>
    <t>296</t>
  </si>
  <si>
    <t>10.3133/wsp296</t>
  </si>
  <si>
    <t>3 v 102 p. (WSP 295-297). ;23 cm.</t>
  </si>
  <si>
    <t>4f4e4b28e4b07f02db6b11cb</t>
  </si>
  <si>
    <t>https://pubs.usgs.gov/publication/wsp300</t>
  </si>
  <si>
    <t>2252</t>
  </si>
  <si>
    <t>wsp300</t>
  </si>
  <si>
    <t>Water resources of California, Part III, Stream measurements in the Great Basin and Pacific coast river basins</t>
  </si>
  <si>
    <t>300</t>
  </si>
  <si>
    <t>10.3133/wsp300</t>
  </si>
  <si>
    <t>1913</t>
  </si>
  <si>
    <t>956 p. :ill., map ;23 cm.</t>
  </si>
  <si>
    <t>4f4e49f4e4b07f02db5f0885</t>
  </si>
  <si>
    <t>https://pubs.usgs.gov/publication/wsp297</t>
  </si>
  <si>
    <t>3136</t>
  </si>
  <si>
    <t>wsp297</t>
  </si>
  <si>
    <t>Gazetteer of surface waters of California Part III: Pacific coast and Great basin streams</t>
  </si>
  <si>
    <t>297</t>
  </si>
  <si>
    <t>10.3133/wsp297</t>
  </si>
  <si>
    <t>3 v 244 p. (WSP 295-297). ;23 cm.</t>
  </si>
  <si>
    <t>4f4e4b28e4b07f02db6b1138</t>
  </si>
  <si>
    <t>https://pubs.usgs.gov/publication/wsp331</t>
  </si>
  <si>
    <t>2249</t>
  </si>
  <si>
    <t>wsp331</t>
  </si>
  <si>
    <t>Surface water supply of the United States, 1912 : Part 11. Pacific Coast basins in California</t>
  </si>
  <si>
    <t>331</t>
  </si>
  <si>
    <t>10.3133/wsp331</t>
  </si>
  <si>
    <t>1914</t>
  </si>
  <si>
    <t>442 p. :ill. ;23 cm.</t>
  </si>
  <si>
    <t>McGlashan, H.D.; Stevens, G.C.</t>
  </si>
  <si>
    <t>4f4e4affe4b07f02db697e8f</t>
  </si>
  <si>
    <t>https://pubs.usgs.gov/publication/pp86</t>
  </si>
  <si>
    <t>39449</t>
  </si>
  <si>
    <t>pp86</t>
  </si>
  <si>
    <t>The Transportation of Debris by Running Water</t>
  </si>
  <si>
    <t>Professional Paper</t>
  </si>
  <si>
    <t>2330-7102</t>
  </si>
  <si>
    <t>1044-9612</t>
  </si>
  <si>
    <t>10.3133/pp86</t>
  </si>
  <si>
    <t>Report: 263 p.; 3 Plates</t>
  </si>
  <si>
    <t>Gilbert, Grove Karl; Murphy, Edward Charles</t>
  </si>
  <si>
    <t>4f4e4abce4b07f02db6735cc</t>
  </si>
  <si>
    <t>https://pubs.usgs.gov/publication/wsp338</t>
  </si>
  <si>
    <t>2888</t>
  </si>
  <si>
    <t>wsp338</t>
  </si>
  <si>
    <t>Springs of California</t>
  </si>
  <si>
    <t>338</t>
  </si>
  <si>
    <t>10.3133/wsp338</t>
  </si>
  <si>
    <t>1915</t>
  </si>
  <si>
    <t>Government Printing Office</t>
  </si>
  <si>
    <t>Report: 410 p.; 3 Plates: 20.66 x 24.79 inches or smaller</t>
  </si>
  <si>
    <t>2000000</t>
  </si>
  <si>
    <t>Waring, Gerald Ashley</t>
  </si>
  <si>
    <t>4f4e49e1e4b07f02db5e4964</t>
  </si>
  <si>
    <t>https://pubs.usgs.gov/publication/wsp345H</t>
  </si>
  <si>
    <t>4777</t>
  </si>
  <si>
    <t>wsp345H</t>
  </si>
  <si>
    <t>Ground-water resources of the Niles cone and adjacent areas, California</t>
  </si>
  <si>
    <t>345</t>
  </si>
  <si>
    <t>H</t>
  </si>
  <si>
    <t>10.3133/wsp345H</t>
  </si>
  <si>
    <t>Report: 42 p.; 2 Plates: 14.63 x 12.63 inches and 24.10 x 18.00 inches</t>
  </si>
  <si>
    <t>Alameda County</t>
  </si>
  <si>
    <t>Clark, W. O.</t>
  </si>
  <si>
    <t>4f4e4b12e4b07f02db6a28ab</t>
  </si>
  <si>
    <t>https://pubs.usgs.gov/publication/wsp340I</t>
  </si>
  <si>
    <t>4821</t>
  </si>
  <si>
    <t>wsp340I</t>
  </si>
  <si>
    <t>Stream-gaging stations and publications relating to water sources, 1885-1913; Part IX: Colorado River basin</t>
  </si>
  <si>
    <t>340</t>
  </si>
  <si>
    <t>I</t>
  </si>
  <si>
    <t>10.3133/wsp340I</t>
  </si>
  <si>
    <t>U.S. Government Printing Office</t>
  </si>
  <si>
    <t>Washington, D.C.</t>
  </si>
  <si>
    <t>California Water Science Center; Utah Water Science Center</t>
  </si>
  <si>
    <t>xxiii, 12 p.</t>
  </si>
  <si>
    <t>105</t>
  </si>
  <si>
    <t>35</t>
  </si>
  <si>
    <t>Colorado River basin</t>
  </si>
  <si>
    <t>Wood, Beatrice Dawson</t>
  </si>
  <si>
    <t>4f4e4b15e4b07f02db6a5091</t>
  </si>
  <si>
    <t>https://pubs.usgs.gov/publication/b581D</t>
  </si>
  <si>
    <t>45642</t>
  </si>
  <si>
    <t>b581D</t>
  </si>
  <si>
    <t>Geology and oil prospects of Waltham, Priest, Bitterwater, and Peachtree Valleys, California</t>
  </si>
  <si>
    <t>581</t>
  </si>
  <si>
    <t>D</t>
  </si>
  <si>
    <t>10.3133/b581D</t>
  </si>
  <si>
    <t>43 p.</t>
  </si>
  <si>
    <t>Contributions to economic geology, 1913, part II, mineral fuels</t>
  </si>
  <si>
    <t>Waltham, Priest, Bitterwater, and Peachtree Valleys</t>
  </si>
  <si>
    <t>Pack, R. W.; English, W. A.</t>
  </si>
  <si>
    <t>4f4e4afde4b07f02db696e91</t>
  </si>
  <si>
    <t>https://pubs.usgs.gov/publication/wsp361</t>
  </si>
  <si>
    <t>1520</t>
  </si>
  <si>
    <t>wsp361</t>
  </si>
  <si>
    <t>Surface water supply of the United States, 1913: Part 11, Pacific slope basins in California</t>
  </si>
  <si>
    <t>TRS/CCS</t>
  </si>
  <si>
    <t>24, 25-27, 29, 30-35, 37, 38, 39, 40, 41, 42-85, 87-91, 93-106, 107-112, 114-116, 119-126, 128-170, 172, 174-184, 186, 187, 190-192, 194, 195, 200-203, 205-211, 214-218, 220, 222, 223, 224, 228-237, 239, 242-266, 268-321, 323-339, 342-344, 346, 348-381, 383, 384, 386-393, 395-397, 399-403, 405-411, 413-426, 428-430, 431-439, 441-443, 445-451, 454-459, 461-466, 468-483, 485, 488-494, 496-510</t>
  </si>
  <si>
    <t>27, 28, 30-36, 38, 40, 43, 46, 47, 48-50, 52, 53, 54, 55, 56-74, 76-79, 85, 86, 89-91, 95-106, 108-113-115, 119, 123-130, 133, 135, 136, 140-142, 145-150, 152, 157, 159, 168, 170, 171, 173, 174, 176, 178, 180, 182, 184, 185, 188, 189, 193, 194, 198, 199, 204, 207, 208, 212, 213, 214, 217, 218, 220, 223, 224, 227, 228, 230, 232, 236, 240, 241, 242, 243, 244, 245, 246, 247, 248, 249, 250, 251, 252, 253, 255, 257, 258, 259, 260, 261, 262, 265, 267, 268,270, 272, 274, 276, 277, 279, 282, 284, 286, 288, 290, 292, 294, 296, 298, 300, 302, 304, 306, 308, 309, 312, 314, 316, 318, 319, 320, 321, 322, 324, 325, 326, 328, 329, 331, 333, 335, 338, 340, 341, 343, 345, 347, 349, 352, 353, 354, 355, 356, 357, 358, 359, 360, 361, 362, 374, 375, 376, 378, 379, 380, 381, 382, 384, 385, 388, 389, 390, 391, 393, 394, 395, 400, 401, 402, 403, 404, 405, 406, 408, 409, 411, 412, 414, 417, 418, 419, 420, 422, 424, 427, 428, 430, 431, 433, 435, 438, 439, 441, 447, 448, 450, 452, 453, 455, 457, 458, 459, 461, 462, 463, 464, 466, 468, 470, 471, 472, 474, 476, 477, 480, 483, 485, 488, 490, 491, 493, 494, 495, 497, 499, 500, 502, 503-510</t>
  </si>
  <si>
    <t>25-27, 29, 31-34, 37, 39, 41, 42, 44, 45, 47, 51, 53, 55, 56, 59, 61, 62, 64, 66, 68, 69, 71, 73, 75, 80, 81, 82, 83, 85, 87, 89, 91, 93, 94, 95, 97, 99, 101, 103, 105, 107, 110, 112, 114, 116, 121, 122, 124, 126, 132, 134, 135, 137, 138, 139, 141, 144, 147, 151, 153, 155, 156, 158, 160, 162, 163, 164, 165, 166, 167, 169, 172, 175, 177, 179, 181, 184, 187, 192, 196, 203, 205, 206, 211, 216, 217, 229, 231, 233, 235, 237, 239, 243, 245, 247, 249, 251, 253, 254, 256, 259, 261, 264, 266, 269,271, 273, 276, 278, 281, 283, 285, 287, 289, 291, 293, 295, 297, 299, 301, 303, 305, 307, 310, 311, 313, 318, 320, 323, 325, 328, 330, 332, 334, 337, 339, 342, 344, 346, 348,  351, 354, 355, 357, 359, 361, 363, 364, 365, 367, 368, 369, 370, 372, 373, 375, 377, 379, 381, 383, 387, 388, 390, 392, 397, 400, 402, 405, 408, 411, 413, 416, 417, 419, 421, 423, 426, 429, 432, 434, 437, 438, 443, 446, 448, 451, 454, 457, 463, 466, 470, 473, 476, 479, 482, 483, 490, 493, 496, 499, 502</t>
  </si>
  <si>
    <t>238, 267</t>
  </si>
  <si>
    <t>238</t>
  </si>
  <si>
    <t>Annual appropriations for the fiscal years (9), papers on surface waters (10), stream flow reports (11), number of water supply papers (12), conversion tables (15, 16)</t>
  </si>
  <si>
    <t>24-91, 93-116, 119-218, 220, 222-224, 227-397, 399-439, 441-443, 445-483, 485, 488-510</t>
  </si>
  <si>
    <t>361</t>
  </si>
  <si>
    <t>10.3133/wsp361</t>
  </si>
  <si>
    <t>1916</t>
  </si>
  <si>
    <t>514 p. :ill. ;23 cm.</t>
  </si>
  <si>
    <t>Water Resources Division, U.S. Geological Survey</t>
  </si>
  <si>
    <t>4f4e4affe4b07f02db697e19</t>
  </si>
  <si>
    <t>https://pubs.usgs.gov/publication/wsp395</t>
  </si>
  <si>
    <t>2063</t>
  </si>
  <si>
    <t>wsp395</t>
  </si>
  <si>
    <t>Colorado River and its utilization</t>
  </si>
  <si>
    <t xml:space="preserve">100, 101, 102, 103, 104, 112, 113, 114, 115, 116, 117, 118, 119, 120, 121, 122, 123, 124, 125, 126, 127, 128, 129, 146, 216, 220, 226, 229, 235, 238, 239, 256, 53, 54, 56, 57, 58, 59, 60, 61, 62, 63, 64, 65, 66, 67, 68, 69, 70, 71, 72, 73, 74, 75, 76, </t>
  </si>
  <si>
    <t xml:space="preserve">155, 163, 167, 168, 172, 173, 177, 178, 198, 199, 205, </t>
  </si>
  <si>
    <t xml:space="preserve">160, 133, 137, 140, 228, 232, 237, 241, 246, 249, </t>
  </si>
  <si>
    <t xml:space="preserve">157, 181, 132, 137, 142, 149, 151, 158, 162, 178, 179, 182, 185, 180, </t>
  </si>
  <si>
    <t>S/L</t>
  </si>
  <si>
    <t>395</t>
  </si>
  <si>
    <t>10.3133/wsp395</t>
  </si>
  <si>
    <t>Report: 231 p.; 8 Plates: 34.00 x 34.00 inches or smaller</t>
  </si>
  <si>
    <t>236</t>
  </si>
  <si>
    <t>Colorado River</t>
  </si>
  <si>
    <t>La Rue, Eugene Clyde; Grover, Nathan C.</t>
  </si>
  <si>
    <t>4f4e4b24e4b07f02db6ae889</t>
  </si>
  <si>
    <t>https://pubs.usgs.gov/publication/wsp398</t>
  </si>
  <si>
    <t>2294</t>
  </si>
  <si>
    <t>wsp398</t>
  </si>
  <si>
    <t>Ground water in San Joaquin Valley, California</t>
  </si>
  <si>
    <t xml:space="preserve">22, 23, 24, 90, 95, </t>
  </si>
  <si>
    <t xml:space="preserve">173, </t>
  </si>
  <si>
    <t xml:space="preserve">93, </t>
  </si>
  <si>
    <t xml:space="preserve">125, 139, 140, 141, 142, 143, 173, 187, 190, 191, 192, 193, 194, 195, 196, 197, 198, 199, 200, 201, 202, 203, 206, 209, 210, 211, 212, 213, 214, 215, 216, 220, 223, 225, 226, 227, 229, 230, 231, 233, 234, 235, 236, 237, 240, 242, 243, 244, 245, 246, 252, 254, 255, 256, 257, 259, 261, 262, 263, 264, 265, 266, 270, 273, 275, 277, 279, 280, 281, 282, 283, 285, 286, 287, 289, 29, 291, 293, 295, 296, 297, 300, 303, 305, 306, 307, 314, 316, 317, 318, 319, 321, 325, 327, 34, </t>
  </si>
  <si>
    <t xml:space="preserve">38, </t>
  </si>
  <si>
    <t xml:space="preserve">113, 114, 115, 118, 120, 125, 135, 137, 139, 140, 141, 142, 143, 187, 206, 220, 240, 252, 270, 300, 314, 42, 45, 46, 57, 75, 89, 90, 91, 93, 95, </t>
  </si>
  <si>
    <t xml:space="preserve">178, 190, 191, 192, 193, 194, 195, 196, 197, 198, 199, 200, 201, 202, 203, 209, 210, 211, 212, 213, 214, 215, 216, 223, 225, 226, 227, 229, 230, 231, 233, 234, 235, 236, 242, 243, 244, 245, 246, 254, 255, 256, 257, 259, 261, 262, 263, 264, 265, 266, 273, 275, 277, 279, 280, 281, 282, 283, 285, 286, 297, 289, 291, 293, 295, 296, 297, 303, 305, 306, 307, 316, 317, 318, 319, 321, 325, 327, 45, 46, </t>
  </si>
  <si>
    <t>398</t>
  </si>
  <si>
    <t>10.3133/wsp398</t>
  </si>
  <si>
    <t>310 p. :3 maps (2 fold.) tables, diagrs. ;23 cm.</t>
  </si>
  <si>
    <t>Mendenhall, Walter Curran; Dole, Richard Bryant; Stabler, Herman</t>
  </si>
  <si>
    <t>4f4e4ab0e4b07f02db66da7d</t>
  </si>
  <si>
    <t>https://pubs.usgs.gov/publication/wsp340K</t>
  </si>
  <si>
    <t>4768</t>
  </si>
  <si>
    <t>wsp340K</t>
  </si>
  <si>
    <t>Stream-gaging stations and publications relating to water sources, 1885-1913 ; Part XI: Pacific coast basins in California</t>
  </si>
  <si>
    <t>K</t>
  </si>
  <si>
    <t>10.3133/wsp340K</t>
  </si>
  <si>
    <t>p. 131-146</t>
  </si>
  <si>
    <t>Wood, Beatrice Dawson (compiler)</t>
  </si>
  <si>
    <t>4f4e4b15e4b07f02db6a507e</t>
  </si>
  <si>
    <t>https://pubs.usgs.gov/publication/wsp375A</t>
  </si>
  <si>
    <t>4779</t>
  </si>
  <si>
    <t>wsp375A</t>
  </si>
  <si>
    <t>Ground water for irrigation in the Sacramento Valley, California</t>
  </si>
  <si>
    <t>375</t>
  </si>
  <si>
    <t>A</t>
  </si>
  <si>
    <t>10.3133/wsp375A</t>
  </si>
  <si>
    <t>49 p.</t>
  </si>
  <si>
    <t>Sacramento Valley</t>
  </si>
  <si>
    <t>Bryan, Kirk</t>
  </si>
  <si>
    <t>4f4e4b0ce4b07f02db69e7f4</t>
  </si>
  <si>
    <t>https://pubs.usgs.gov/publication/wsp391</t>
  </si>
  <si>
    <t>1744</t>
  </si>
  <si>
    <t>wsp391</t>
  </si>
  <si>
    <t>Surface water supply of the United States, 1914 : Part 11, Pacific slope basins in California</t>
  </si>
  <si>
    <t>391</t>
  </si>
  <si>
    <t>10.3133/wsp391</t>
  </si>
  <si>
    <t>1917</t>
  </si>
  <si>
    <t>334, xxxvi p. :ill. ;24 cm.</t>
  </si>
  <si>
    <t>Grover, Nathan Clifford; McGlashan, Harry Deyoe; Henshaw, Fred Forbes</t>
  </si>
  <si>
    <t>4f4e4affe4b07f02db697e3a</t>
  </si>
  <si>
    <t>https://pubs.usgs.gov/publication/wsp400E</t>
  </si>
  <si>
    <t>4740</t>
  </si>
  <si>
    <t>wsp400E</t>
  </si>
  <si>
    <t>Ground water for irrigation in the Morgan Hill area, California</t>
  </si>
  <si>
    <t>400</t>
  </si>
  <si>
    <t>E</t>
  </si>
  <si>
    <t>10.3133/wsp400E</t>
  </si>
  <si>
    <t>p.61-108, [4] leaves of plates :ill., fold. maps ;23 cm.</t>
  </si>
  <si>
    <t>Clark, William O.</t>
  </si>
  <si>
    <t>4f4e4ab0e4b07f02db66dbd7</t>
  </si>
  <si>
    <t>https://pubs.usgs.gov/publication/b653</t>
  </si>
  <si>
    <t>35654</t>
  </si>
  <si>
    <t>b653</t>
  </si>
  <si>
    <t>Chemical relations of the oil-field waters in San Joaquin Valley, California (preliminary report)</t>
  </si>
  <si>
    <t>653</t>
  </si>
  <si>
    <t>10.3133/b653</t>
  </si>
  <si>
    <t>119 p. :ill. ;24 cm.</t>
  </si>
  <si>
    <t>Rogers, Gaillard Sherburne</t>
  </si>
  <si>
    <t>4f4e49dfe4b07f02db5e33d8</t>
  </si>
  <si>
    <t>https://pubs.usgs.gov/publication/pp98T</t>
  </si>
  <si>
    <t>39488</t>
  </si>
  <si>
    <t>pp98T</t>
  </si>
  <si>
    <t>The reef-coral fauna of Carrizo Creek, Imperial County, California, and its significance</t>
  </si>
  <si>
    <t>98</t>
  </si>
  <si>
    <t>T</t>
  </si>
  <si>
    <t>10.3133/pp98T</t>
  </si>
  <si>
    <t>p. 355-386</t>
  </si>
  <si>
    <t>Imperial County</t>
  </si>
  <si>
    <t>Vaughan, T.W.</t>
  </si>
  <si>
    <t>4f4e4a6fe4b07f02db640f7a</t>
  </si>
  <si>
    <t>https://pubs.usgs.gov/publication/wsp411</t>
  </si>
  <si>
    <t>366</t>
  </si>
  <si>
    <t>wsp411</t>
  </si>
  <si>
    <t>Surface water supply of the United States, 1915 : Part 11, Pacific slope basins in California</t>
  </si>
  <si>
    <t>17-20, 22-48, 50-59, 62-94, 96-119, 122, 123, 126-138, 140-148, 150-155, 157-169, 171-179, 181-184, 186-194, 196-199, 201-217, 219-226, 228-232, 234-251, 253-266, 268-281, 283-291, 293-301, 304-319, 321-324, 327, 329-334, 336-338, 340-343, 139, 282, 292, 320, 325, 305</t>
  </si>
  <si>
    <t>17-20, 22-48, 50-59, 62-94, 96-119, 122, 123, 126-138, 140-148, 150-155, 157-169, 171-179, 181-184, 186-194, 196-199, 201-217, 219-226, 228-232, 234-251, 253-266, 268-281, 283-291, 293-301, 304-319, 321-324, 327, 329-334, 336-338, 340-343</t>
  </si>
  <si>
    <t>17,19, 23, 25, 27, 31, 34, 36, 37, 38, 40, 42, 44, 46, 47, 50, 52, 54, 55, 56, 57, 59, 62, 64, 66, 68, 69, 70, 72, 73, 74, 76, 77, 79, 81, 106, 110, 112, 114, 116, 119, 128, 130, 132, 134, 135, 136, 137, 138, 139, 142, 143, 152, 153, 154, 157, 159, 161, 163, 165, 167, 172, 177, 178, 181, 182, 183, 187, 189, 192, 197, 199, 201, 203, 204, 206, 208, 210, 211, 213, 218, 219, 220, 225, 228, 230, 234, 237, 248, 249, 251, 254, 255, 257, 258, 260, 262, 263, 265, 269, 271, 272, 273, 275, 277, 282, 283, 284, 286, 288, 289, 291, 292, 293, 296, 299, 306, 307, 309, 310, 312, 314, 315, 319, 320, 321, 324, 325, 329, 331, 333, 336-338, 340-343</t>
  </si>
  <si>
    <t>18, 20, 22, 24, 26, 28, 29, 30, 32, 33, 35, 36, 38, 39, 41, 43, 45, 47, 48, 51, 53, 55, 57, 58, 62, 63, 65, 67, 70, 71, 75, 77, 78, 80, 90, 91-94, 96, 97, 99, 100, 101, 103, 105, 107, 108, 109, 111, 113, 115, 117, 118, 123, 127, 128, 130, 131, 133, 138, 141, 143, 144, 145, 147, 148, 150, 151, 152, 153, 155, 157, 158, 160, 162, 164, 166, 168, 171, 171, 173, 175, 176, 178, 179, 183, 184, 186, 187, 188, 190, 191, 193, 194, 196, 198, 201, 202, 204, 205, 207, 209, 211, 212, 214, 216, 217, 220, 221, 223, 224, 226, 229, 231, 232, 235, 237, 239, 240, 241, 243, 244, 246, 247, 249, 250, 253, 255, 256, 258, 259, 261, 263, 264, 266, 268, 270, 273, 274, 276, 278, 279, 281, 284, 285, 287, 288, 290, 291, 294, 295, 298, 299, 301, 305, 307, 308, 310, 311, 313, 314, 316, 317, 319, 322, 323, 324, 331</t>
  </si>
  <si>
    <t>195, 218</t>
  </si>
  <si>
    <t>Annual appropriations for the fiscal years (7), conversion tables (10), Depth of Tulare Lake (125), Evaporation (149, 180), Stream flow reports (356, 357), Number of water supply papers containing results of stream measurements (358)</t>
  </si>
  <si>
    <t>10, 100-119, 122, 123, 125-155, 17, 157-169, 18, 171-184, 19, 20, 186-199, 22, 201-226, 23, 228-232, 24, 25, 234-251, 26, 253-266, 27, 28, 29, 30, 268-301, 31, 32, 304-325, 33, 327, 329-334, 34, 336-338, 340-343, 356-358, 35, 36-48, 50-59, 7, 62-94, 96-99</t>
  </si>
  <si>
    <t>411</t>
  </si>
  <si>
    <t>10.3133/wsp411</t>
  </si>
  <si>
    <t>1918</t>
  </si>
  <si>
    <t>U.S. Govt. Print. Off.,</t>
  </si>
  <si>
    <t>345, xxxvi ; 24 cm.</t>
  </si>
  <si>
    <t>4f4e4affe4b07f02db697dc9</t>
  </si>
  <si>
    <t>https://pubs.usgs.gov/publication/wsp441</t>
  </si>
  <si>
    <t>1532</t>
  </si>
  <si>
    <t>wsp441</t>
  </si>
  <si>
    <t>Surface water supply of the United States, 1916 : Part 11, Pacific slope basins in California</t>
  </si>
  <si>
    <t>100-106, 109-143, 11, 145-148, 150-157, 159-171, 173-192, 19, 194-208, 21, 210-236, 22, 23, 238-240, 242-252, 25, 254-259, 26, 262-280, 27, 28, 282-284, 286-326, 29, 30, 32, 33, 34, 35, 36, 37-56, 58-74, 76-94, 96-99</t>
  </si>
  <si>
    <t>104, 107, 110, 112, 114, 115, 117, 119, 121, 122, 124, 125, 127, 128, 131, 132, 134, 136, 138, 142, 145, 147, 152, 154, 156, 160, 162, 164, 167, 169, 177, 179, 180, 182, 185, 187, 188, 19, 193, 194, 198, 20, 201, 203, 205, 209, 210, 211, 217, 225, 226, 228, 23, 231, 244, 245, 247, 248, 25, 250, 253, 254, 255, 257, 259, 260, 262, 264, 27, 265, 266, 269, 270, 273, 274, 275, 277, 279, 280, 283, 285, 286, 29, 290, 291, 292, 293, 302, 303-326, 31, 32, 33, 34, 36, 38, 40, 42, 44, 45, 47, 48, 50, 51, 53, 55, 58-63, 72, 73, 76, 79, 84, 86, 89, 91, 93, 94, 96, 97, 99</t>
  </si>
  <si>
    <t>100, 102, 103, 104, 106, 109, 11, 111, 113, 114, 116, 118, 120, 121, 123, 125, 126, 127, 129, 130, 132, 133, 135, 136, 137, 139, 141, 143, 145, 146, 148, 150, 151, 153, 155, 157, 159, 162, 163, 165, 166, 168, 170, 171, 173, 175, 176, 178, 180, 181, 183, 184, 186, 188, 189, 19, 191, 192, 195, 197, 20, 199, 200, 202, 204, 206, 208, 212, 213, 215, 216, 218, 22, 220, 221, 223, 224, 226, 227, 229, 230, 232, 24, 234, 235, 238, 240, 242, 243, 244, 246, 247, 249, 25, 251, 252, 255, 256, 26, 258, 259, 262, 263, 265, 268, 269, 271, 272, 273, 274, 276, 278, 279, 28, 282, 284, 286, 287, 289, 291, 293, 299, 30, 301, 32, 36, 37, 39, 41, 43, 44, 46, 49, 50, 52, 54, 56, 62, 64, 65, 67, 68, 70, 71, 74, 77, 78, 80, 81, 83, 84, 85, 87, 92, 93, 96, 98</t>
  </si>
  <si>
    <t>172, 193, 20</t>
  </si>
  <si>
    <t>Depth of Tulare lake (108), Conversion table (12), Evaporation (157), Drainage area (19), Stream flow reports (336, 337), Number of water supply papers (338), Elevation (75), Annual appropriations for the fiscal years (9), Flood flow (89)</t>
  </si>
  <si>
    <t>100-143, 11, 12, 145-240, 19, 20, 21, 22, 23, 24, 25, 26, 242-260, 28, 262-280, 29, 30, 31, 32, 282-326, 33, 336-338, 34, 35, 36, 37, 38-94, 9, 96-99</t>
  </si>
  <si>
    <t>441</t>
  </si>
  <si>
    <t>10.3133/wsp441</t>
  </si>
  <si>
    <t>330, xxxvi p. :ill. ;23 cm.</t>
  </si>
  <si>
    <t>4f4e4affe4b07f02db697d81</t>
  </si>
  <si>
    <t>https://pubs.usgs.gov/publication/wsp446</t>
  </si>
  <si>
    <t>1312</t>
  </si>
  <si>
    <t>wsp446</t>
  </si>
  <si>
    <t>Geology and ground waters of the western part of San Diego County, California</t>
  </si>
  <si>
    <t>Well No./CCS/TRS</t>
  </si>
  <si>
    <t>110, 111, 173, 174, 302-307, 309</t>
  </si>
  <si>
    <t>162-164, 171</t>
  </si>
  <si>
    <t>107, 109, 111</t>
  </si>
  <si>
    <t>147-152, 157, 167, 233, 239-251, 253-256</t>
  </si>
  <si>
    <t>181, 188, 189,  253-256</t>
  </si>
  <si>
    <t>107, 109, 110, 111, 324, 328, 330, 332, 333, 334, 335, 336, 337, 340, 341, 346, 347, 89-91, 94</t>
  </si>
  <si>
    <t>262, 271, 278, 285, 286, 289, 291, 294-297</t>
  </si>
  <si>
    <t>178</t>
  </si>
  <si>
    <t>181,  253-256</t>
  </si>
  <si>
    <t>253-256</t>
  </si>
  <si>
    <t>181, 302-307, 309</t>
  </si>
  <si>
    <t>227, 61, 64, 65, 66, 71, 72, 73, 74, 75, 76, 77, 78</t>
  </si>
  <si>
    <t>Evaporation (114-116), Areas of drainage basins (126)</t>
  </si>
  <si>
    <t>107, 109, 110, 111, 114-116, 126, 147-152, 157, 162-164, 167, 171, 173-174, 178, 181, 188, 189, 227, 233, 239-251, 253-256, 271, 278, 285, 286, 289, 291, 294-297, 299, 302-307, 309, 324, 328, 330, 332, 333, 334, 335, 336, 337, 340, 341, 346, 347, 61, 64, 65, 66, 71-78, 89-91, 94</t>
  </si>
  <si>
    <t>446</t>
  </si>
  <si>
    <t>10.3133/wsp446</t>
  </si>
  <si>
    <t>1919</t>
  </si>
  <si>
    <t>Report: 321 p.; 16 Plates: 34.00 x 14.17 inches or smaller</t>
  </si>
  <si>
    <t>San Diego County</t>
  </si>
  <si>
    <t>Ellis, Arthur Jackson; Lee, C.H.</t>
  </si>
  <si>
    <t>4f4e4adbe4b07f02db685ff3</t>
  </si>
  <si>
    <t>https://pubs.usgs.gov/publication/wsp429</t>
  </si>
  <si>
    <t>2886</t>
  </si>
  <si>
    <t>wsp429</t>
  </si>
  <si>
    <t>Ground water in the San Jacinto and Temecula basins, California</t>
  </si>
  <si>
    <t>429</t>
  </si>
  <si>
    <t>10.3133/wsp429</t>
  </si>
  <si>
    <t>113 p. :XIV pl. (part fold., incl. maps (3 in pocket)) fold. tables, diagrs. ;24 cm.</t>
  </si>
  <si>
    <t>4f4e4ab0e4b07f02db66d893</t>
  </si>
  <si>
    <t>https://pubs.usgs.gov/publication/pp117</t>
  </si>
  <si>
    <t>32842</t>
  </si>
  <si>
    <t>pp117</t>
  </si>
  <si>
    <t>The Sunset-Midway oil field, California, Part II, Geochemical relations of the oil, gas, and water</t>
  </si>
  <si>
    <t>117</t>
  </si>
  <si>
    <t>10.3133/pp117</t>
  </si>
  <si>
    <t>103 p.</t>
  </si>
  <si>
    <t>Rogers, G.S.</t>
  </si>
  <si>
    <t>4f4e4abde4b07f02db674139</t>
  </si>
  <si>
    <t>https://pubs.usgs.gov/publication/wsp490A</t>
  </si>
  <si>
    <t>1071</t>
  </si>
  <si>
    <t>wsp490A</t>
  </si>
  <si>
    <t>Routes to desert watering places in the Salton Sea Region, California</t>
  </si>
  <si>
    <t>490</t>
  </si>
  <si>
    <t>10.3133/wsp490A</t>
  </si>
  <si>
    <t>1920</t>
  </si>
  <si>
    <t>v, 86 p. vii pl. (incl. fold. maps) ;23 cm.</t>
  </si>
  <si>
    <t>Brown, John Stafford</t>
  </si>
  <si>
    <t>4f4e4a0ee4b07f02db5fe1d1</t>
  </si>
  <si>
    <t>https://pubs.usgs.gov/publication/wsp461</t>
  </si>
  <si>
    <t>4561</t>
  </si>
  <si>
    <t>wsp461</t>
  </si>
  <si>
    <t>Surface water supply of the United States, 1917 : Part 11, Pacific slope basins in California</t>
  </si>
  <si>
    <t>461</t>
  </si>
  <si>
    <t>10.3133/wsp461</t>
  </si>
  <si>
    <t>314 p. ;23 cm.</t>
  </si>
  <si>
    <t>4f4e4affe4b07f02db697d2a</t>
  </si>
  <si>
    <t>https://pubs.usgs.gov/publication/wsp481</t>
  </si>
  <si>
    <t>383</t>
  </si>
  <si>
    <t>wsp481</t>
  </si>
  <si>
    <t>Surface water supply of the United States, 1918 : Part XI, Pacific slope basins in California</t>
  </si>
  <si>
    <t>100-109, 111-152, 154-160, 162, 164-166, 18, 168-185, 19, 20, 187-205, 21, 22, 23, 24, 25, 207- 252, 26, 27, 254-269, 271-275, 28, 29, 277-283, 285-295, 31, 297, 299-306, 309, 32-35, 37-47, 49-82, 84-97, 99</t>
  </si>
  <si>
    <t>103, 105, 106, 113, 114, 116, 118, 120, 121, 123, 125, 127, 128, 130, 132, 134, 136, 138, 140, 142, 144, 147, 149, 151, 154, 155, 157, 158, 160, 165, 172, 173, 175, 176, 178, 179, 181, 184, 185, 187, 188, 19, 190, 193, 195, 196, 198, 199, 208, 210, 211, 213, 214, 216, 217, 22, 219, 221, 222, 224, 226, 227, 23, 229, 230, 232, 234, 236, 239, 240, 242, 246, 248, 25, 250, 253, 254, 257, 261, 262, 263, 265, 267, 269, 27, 272, 273, 274, 277, 279, 282, 284, 288, 289, 29, 290, 291, 292, 294, 299, 302, 304, 305, 306, 31, 309, 34, 35, 36, 38, 46, 49, 53, 57, 58, 60, 62, 65, 67, 69, 71, 73, 75, 77, 78, 80, 82, 84, 86, 88, 90, 92, 93, 94, 95, 97, 99</t>
  </si>
  <si>
    <t>100, 101, 102, 104, 105, 107, 109, 112, 113, 115, 117, 119, 121, 122, 124, 126, 127, 129, 131, 133, 135, 137, 139, 141, 143, 145, 146, 148, 150, 152, 154, 156, 158, 159, 162, 164, 166, 168, 170, 171, 173, 174, 176, 177, 179, 18, 180, 182, 183, 185, 188, 189, 191, 192, 194, 196, 197, 199, 200, 202, 203, 205, 208, 209, 21, 211, 212, 214, 215, 217, 218, 220, 222, 223, 225, 227, 228, 23, 230, 231, 233, 235, 237, 24, 239, 241, 243, 244, 246, 247, 249, 251, 252, 255, 256, 257, 259, 26, 260, 261, 262, 264, 266, 268, 269, 271, 272, 274, 275, 277, 278, 28, 280, 281, 283, 286, 287, 288, 290, 292, 293, 295, 300, 302, 33, 35, 37, 39, 40, 42, 43, 44, 46, 47, 50, 51, 52, 54, 55, 56, 57, 59, 61, 63, 65, 66, 68, 70, 71, 72, 74, 76, 77, 79, 81, 85, 87, 89, 91, 94, 96</t>
  </si>
  <si>
    <t>167, 185</t>
  </si>
  <si>
    <t>Depth of Tulare Lake (110), Evaporation (153), Stream flow reports (320, 321), Number of water supply papers containing results of stream measurements (322), Elevation (48)</t>
  </si>
  <si>
    <t>100-160, 162, 18, 164-185, 19, 20, 21, 22, 23, 24, 25, 26, 27, 187-269, 271-275, 28, 29, 277-295, 297, 299-306, 309, 320, 321, 322, 31-82, 84-97, 99</t>
  </si>
  <si>
    <t>481</t>
  </si>
  <si>
    <t>10.3133/wsp481</t>
  </si>
  <si>
    <t>1921</t>
  </si>
  <si>
    <t>314, xxxviii p. : 24 cm.</t>
  </si>
  <si>
    <t>4f4e4affe4b07f02db697ce3</t>
  </si>
  <si>
    <t>https://pubs.usgs.gov/publication/wsp468</t>
  </si>
  <si>
    <t>1305</t>
  </si>
  <si>
    <t>wsp468</t>
  </si>
  <si>
    <t>Records of water levels in wells in southern California</t>
  </si>
  <si>
    <t>Well No./TRS</t>
  </si>
  <si>
    <t>15, 8</t>
  </si>
  <si>
    <t>100-123, 126-157, 18-99</t>
  </si>
  <si>
    <t>Pressure of water in flowing wells (123-125)</t>
  </si>
  <si>
    <t>100-157, 15, 18-99, 8</t>
  </si>
  <si>
    <t>468</t>
  </si>
  <si>
    <t>10.3133/wsp468</t>
  </si>
  <si>
    <t>156 p. :IV pl. (incl. fold. map (in pocket) 3 fold. diagr.) tables. ;23 cm.</t>
  </si>
  <si>
    <t>Ebert, Fred Charles</t>
  </si>
  <si>
    <t>4f4e4a61e4b07f02db635701</t>
  </si>
  <si>
    <t>https://pubs.usgs.gov/publication/wsp447</t>
  </si>
  <si>
    <t>2246</t>
  </si>
  <si>
    <t>wsp447</t>
  </si>
  <si>
    <t>Surface water supply of the Pacific slope of southern California</t>
  </si>
  <si>
    <t xml:space="preserve">100, 101, 116, 118, 121, 122, 123, 125, 126, 127, 128, 129, 131, 132, 134, 135, 136, 137, 139, 140, 141, 142, 143, 145, 146, 147, 148, 149, 150, 151, 152, 154, 155, 156, 157, 158, 159, 160, 161, 162, 163, 164, 165, 167, 168, 171, 172, 173, 175, 176, 177, 178, 179, 180, 181, 182, 183, 185, 186, 187, 188, 189, 190, 191, 192, 193, 195, 196, 198, 199, 200, 201, 202, 203, 204, 205, 206, 207, 209, 210, 212, 213, 214, 215, 217, 217, 218, 219, 220, 221, 222, 223, 224, 225, 237, 238, 239, 240, 241, 242, 247, 248, 249, 250, 251, 252, 253, 255, 256, 257, 258, 259, 260, 261, 262, 263, 264, 265, 266, 267, 268, 269, 270, 271, 29, 296, 297, 298, 30, 300, 301, 302, 303, 304, 305, 306, 309, 31, 310, 311, 312, 313, 314, 32, 320, 321, 322, 323, 324, 326, 327, 328, 329, 33, 330, 331, 334, 336, 337, 338, 339, 34, 342, 343, 345, 346, 347, 348, 349, 35, 351, 354, 355, 359, 36, 360, 371, 372, 373, 374, 375, 376, 377, 378, 379, 380, 381, 383, 384, 386, 387, 388, 389, 39, 391, 392, 393, 394, 395, 396, 397, 398, 399, 40, 400, 401, 403, 404, 405, 407, 408, 409, 41, 410, 411, 412, 413, 414, 415, 416, 42, 435, 436, 437, 438, 439, 440, 445, 446, 447, 448, 451, 456, 457, 458, 460, 462, 465, 466, 467, 468, 469, 470, 471, 472, 473, 474, 475, 476, 477, 478, 479, 480, 481, 482, 484, 485, 486, 487, 488, 489, 490, 491, 492, 493, 494, 495, 498, 499, 500, 501, 503, 504, 505, 506, 509, 51, 510, 511, 512, 513, 514, 515, 516, 517, 518, 519, 520, 56, 560, 562, 563, 57, 58, 59, 60, 61, 62, 63, 64, 73, 74, 75, 76, 77, 78, 79, 80, 81, 82, 83, 85, 86, 87, 88, 89, 90, 92, 93, 94, 99, </t>
  </si>
  <si>
    <t xml:space="preserve">102, 103, 104, 105, 106, 107, 108, 109, 110, 111, 112, 113, 114, 115, 116, 118, 119, 120, 225, 226, 228, 229, 230, 231, 232, 233, 235, 236, 263, 264, 265, 266, 267, 268, 269, 270, 271, 272, 273, 274, 276, 277, 278, 279, 280, 281, 282, 283, 284, 285, 286, 289, 290, 291, 292, 293, 294, 295, 307, 308, 315, 318, 319, 336, 337, 340, 352, 353, 356, 357, 36, 362, 363, 364, 365, 366, 367, 368, 369, 370, 39, 40, 407, 408, 409, 410, 411, 412, 417, 418, 419, 420, 421, 422, 423, 424, 425, 426, 427, 428, 429, 43, 430, 431, 432, 44, 443, 444, 45, 46, 461, 47, 521, 524, 525, 526, 527, 528, 53, 530, 531, 534, 535, 536, 537, 538, 539, 54, 540, 542, 543, 544, 545, 546, 548, 549, 551, 552, 553, 554, 555, 556, 558, 66, 69, 70, 71, 72, 81, 82, 83, 85, 86, </t>
  </si>
  <si>
    <t xml:space="preserve">332, 96, 98, </t>
  </si>
  <si>
    <t xml:space="preserve">450, </t>
  </si>
  <si>
    <t>559, 561</t>
  </si>
  <si>
    <t>Floods (559, 561, 562, 563)</t>
  </si>
  <si>
    <t>447</t>
  </si>
  <si>
    <t>10.3133/wsp447</t>
  </si>
  <si>
    <t>557 p. :XVIII pl. (incl. 2 fold. maps (in pocket)) tables. ;23 cm.</t>
  </si>
  <si>
    <t>McGlashan, Harry Deyoe</t>
  </si>
  <si>
    <t>4f4e4b00e4b07f02db69813f</t>
  </si>
  <si>
    <t>https://pubs.usgs.gov/publication/wsp490B</t>
  </si>
  <si>
    <t>2817</t>
  </si>
  <si>
    <t>wsp490B</t>
  </si>
  <si>
    <t>Routes to desert watering places in the Mohave Desert Region, California</t>
  </si>
  <si>
    <t>B</t>
  </si>
  <si>
    <t>10.3133/wsp490B</t>
  </si>
  <si>
    <t>vii, 4, 87-269 p. :pl. i-iv, viii-xviii (incl. fold. maps) ;23 cm.</t>
  </si>
  <si>
    <t>Thompson, David Grosh</t>
  </si>
  <si>
    <t>6</t>
  </si>
  <si>
    <t>4f4e4aafe4b07f02db66cb4e</t>
  </si>
  <si>
    <t>https://pubs.usgs.gov/publication/wsp450B</t>
  </si>
  <si>
    <t>4792</t>
  </si>
  <si>
    <t>wsp450B</t>
  </si>
  <si>
    <t>Ground water in Lanfair Valley, California</t>
  </si>
  <si>
    <t>450</t>
  </si>
  <si>
    <t>10.3133/wsp450B</t>
  </si>
  <si>
    <t>U.S. Govt. Printing. Off.,</t>
  </si>
  <si>
    <t>p. 29-50; 86 p. :ill. ;23 cm.</t>
  </si>
  <si>
    <t>Thompson, D. G.</t>
  </si>
  <si>
    <t>4f4e4ab0e4b07f02db66dafe</t>
  </si>
  <si>
    <t>https://pubs.usgs.gov/publication/wsp450C</t>
  </si>
  <si>
    <t>4793</t>
  </si>
  <si>
    <t>wsp450C</t>
  </si>
  <si>
    <t>Ground water in Pahrump, Mesquite, and Ivanpah valleys, Nevada and California</t>
  </si>
  <si>
    <t>C</t>
  </si>
  <si>
    <t>10.3133/wsp450C</t>
  </si>
  <si>
    <t>p. 51-86; 86 p. :ill. ;23 cm.; including title page, contents, list of illustrations, and index to volume</t>
  </si>
  <si>
    <t>Waring, Gerald A.</t>
  </si>
  <si>
    <t>4f4e4ab0e4b07f02db66dad1</t>
  </si>
  <si>
    <t>https://pubs.usgs.gov/publication/wsp497</t>
  </si>
  <si>
    <t>1072</t>
  </si>
  <si>
    <t>wsp497</t>
  </si>
  <si>
    <t>The Salton Sea region, California: A geographic, geologic, and hydrologic reconnaissance, with a guide to desert watering places</t>
  </si>
  <si>
    <t>TRS</t>
  </si>
  <si>
    <t>107</t>
  </si>
  <si>
    <t>105, 114, 117, 104, 128, 130, 139</t>
  </si>
  <si>
    <t>29, 30</t>
  </si>
  <si>
    <t>314, 315</t>
  </si>
  <si>
    <t>102, 114, 312, 313</t>
  </si>
  <si>
    <t>102, 114, 312</t>
  </si>
  <si>
    <t>24</t>
  </si>
  <si>
    <t>100, 107, 109, 110, 274</t>
  </si>
  <si>
    <t>Direction and speed of wind (31,32), Area of lowlands and canyons (62), drainage basins (65), Price of minerals (84)</t>
  </si>
  <si>
    <t>24,29,30,31,32,62,65,84,105,107,114,117,128,130,139,164,165, 274,312-315</t>
  </si>
  <si>
    <t>497</t>
  </si>
  <si>
    <t>10.3133/wsp497</t>
  </si>
  <si>
    <t>1923</t>
  </si>
  <si>
    <t>Report: xv, 292 p.; 3 Plates: 21.00 x 29.50 inches or smaller</t>
  </si>
  <si>
    <t>Salton Sea region</t>
  </si>
  <si>
    <t>4f4e4ac7e4b07f02db67ac10</t>
  </si>
  <si>
    <t>https://pubs.usgs.gov/publication/wsp495</t>
  </si>
  <si>
    <t>1084</t>
  </si>
  <si>
    <t>wsp495</t>
  </si>
  <si>
    <t>Geology and ground-water resources of Sacramento Valley, California</t>
  </si>
  <si>
    <t>89- 92</t>
  </si>
  <si>
    <t>89-92</t>
  </si>
  <si>
    <t>185, 190,193-196, 206, 207, 214, 215, 219, 227, 228, 233, 237, 241, 245, 249, 250, 261, 262, 263, 268-280</t>
  </si>
  <si>
    <t>73-75</t>
  </si>
  <si>
    <t>121, 123, 178, 181, 185, 189, 193, 200, 205, 206, 213, 219, 227, 233, 240, 245, 249, 254, 261, 267</t>
  </si>
  <si>
    <t>178, 189, 193-196, 200, 205, 206, 213, 219, 227, 233, 240, 245, 249, 254, 261, 267</t>
  </si>
  <si>
    <t>122, 178, 189, 193-196, 200, 205, 206, 213, 219, 227, 233, 240, 245, 249, 254, 261, 267</t>
  </si>
  <si>
    <t>16, 170, 179, 181, 185, 190, 193, 20, 206, 207, 214, 215, 219, 227, 228, 233, 241, 245, 249, 250, 261, 262, 263, 268-280</t>
  </si>
  <si>
    <t>141, 144,167, 175, 183, 188, 204, 218, 226, 232, 238, 239, 243, 244, 246, 247, 248, 256, 257, 281,282-288, 290-304, 306-308</t>
  </si>
  <si>
    <t xml:space="preserve">Centrifugal pumps (150), pumping plants (160), Gas wells (305), Mean temperatur (75), source to mouth distances (76), </t>
  </si>
  <si>
    <t>121, 122, 123, 16, 170, 178, 179, 181, 185, 189, 193-196, 200, 205, 206, 207, 213, 214, 215, 219, 227, 228, 233, 240, 241, 245, 249, 250, 254, 261, 262, 263, 267, 268-280, 75, 76, 89-92</t>
  </si>
  <si>
    <t>495</t>
  </si>
  <si>
    <t>10.3133/wsp495</t>
  </si>
  <si>
    <t>Report: xi, 285 p.; 1 Plate: 20.04 x 41.66 inches</t>
  </si>
  <si>
    <t>Unites States</t>
  </si>
  <si>
    <t>4f4e4adbe4b07f02db6859cb</t>
  </si>
  <si>
    <t>https://pubs.usgs.gov/publication/wsp511</t>
  </si>
  <si>
    <t>1548</t>
  </si>
  <si>
    <t>wsp511</t>
  </si>
  <si>
    <t>Surface water supply of the United States, 1919 - 1920 : Part XI. Pacific slope basins in California</t>
  </si>
  <si>
    <t>21-26, 100-130, 132-149, 151-171, 173-219, 221-236, 238-280, 282-322, 324-367, 369-383, 387-440, 442-447, 449-459</t>
  </si>
  <si>
    <t>21, 25, 103, 105, 107, 110, 114, 117, 119, 122, 124, 126, 129, 137, 139, 141, 145, 147, 148, 149, 153, 154, 156, 159, 161, 162, 163, 165, 169, 173, 174, 177, 179, 182, 187, 189, 192, 194, 197, 207, 209, 212, 214, 217, 219, 223, 226, 228, 232, 235, 237, 238, 241, 243, 246, 248, 250, 255, 257, 259, 262, 264, 267, 269, 272, 274, 276, 282, 283, 285, 287, 289, 291, 293, 296, 298, 301, 303, 319, 326, 328, 331, 333, 336, 338, 340, 343, 346, 348, 350, 353, 355, 357, 360, 363, 365, 368, 369, 371, 374, 376, 378, 379, 382, 384, 385, 387, 390, 393, 395, 397, 398, 400, 402, 403, 405, 407, 410, 412, 414, 416, 418, 420, 422, 426, 427, 431, 432, 433, 436, 438, 440, 442, 444, 447, 449-459</t>
  </si>
  <si>
    <t>22, 24, 100, 102, 104, 106, 109, 110, 111, 113, 116, 118, 121, 122, 123, 124, 125, 128, 130, 133, 134, 136, 138, 140, 144, 148, 152, 155, 157, 159, 160, 161, 163, 164, 166, 168, 171, 173, 176, 178, 181, 183, 184, 186, 188, 191, 193, 196, 198, 201, 203, 204, 206, 208, 211, 213, 216, 218, 222, 225, 227, 230, 231, 234, 236, 240, 242, 245, 247, 250, 252, 254, 256, 259, 261, 263, 266, 268, 271, 273, 275, 278, 280, 283, 284, 286, 288, 290, 292, 295, 297, 300, 302, 305, 306, 307, 309, 310, 312, 314, 316, 318, 320, 322, 325, 327, 328, 330, 332, 335, 337, 339, 342, 344, 345, 347, 349, 350, 352, 354, 356, 359, 362, 364, 367, 370, 373, 375, 378, 381, 383, 388, 389, 392, 394, 397, 398, 399, 401, 402, 404, 406, 409, 411, 413, 414, 417, 419, 421, 424, 425, 428, 431, 433, 435, 437, 439, 446</t>
  </si>
  <si>
    <t xml:space="preserve">Stream flow reports (17), Number of water supply papers (18), Depth of Tulare lake (172), Readings used in correcting observed flow of Drew creek (281), </t>
  </si>
  <si>
    <t>9,17, 18, 21, 22, 23, 27-40, 42-130, 132-149, 151-219, 221-322, 324-365, 387-440, 442-447, 449-459</t>
  </si>
  <si>
    <t>511</t>
  </si>
  <si>
    <t>10.3133/wsp511</t>
  </si>
  <si>
    <t>vii, 456 p. :ill. ;23 cm.</t>
  </si>
  <si>
    <t>4f4e4affe4b07f02db697c8f</t>
  </si>
  <si>
    <t>https://pubs.usgs.gov/publication/wsp519</t>
  </si>
  <si>
    <t>1147</t>
  </si>
  <si>
    <t>wsp519</t>
  </si>
  <si>
    <t>Ground water in Santa Clara Valley, California</t>
  </si>
  <si>
    <t>126-128, 130-155, 84</t>
  </si>
  <si>
    <t>131-133, 136, 138, 140, 142, 143-155</t>
  </si>
  <si>
    <t>156-179, 181-210, 91, 92</t>
  </si>
  <si>
    <t>102, 103</t>
  </si>
  <si>
    <t>70, 74, 76, 77, 82, 84</t>
  </si>
  <si>
    <t>114</t>
  </si>
  <si>
    <t>212, 214-220</t>
  </si>
  <si>
    <t>112, 116-118, 120-124</t>
  </si>
  <si>
    <t>Dates of frosts (10), Water capacity of materials (55), Porosity of sands (55), Volume of alluvium (58)</t>
  </si>
  <si>
    <t>10, 102, 103, 112, 114, 116-118, 120-124, 126-128, 130-179, 181-210, 212-220, 55, 58, 70, 74, 76, 77, 82, 84, 91, 92</t>
  </si>
  <si>
    <t>519</t>
  </si>
  <si>
    <t>10.3133/wsp519</t>
  </si>
  <si>
    <t>1924</t>
  </si>
  <si>
    <t xml:space="preserve">vii, 209 p. </t>
  </si>
  <si>
    <t>226</t>
  </si>
  <si>
    <t>Santa Clara Valley</t>
  </si>
  <si>
    <t>4f4e4ab0e4b07f02db66da66</t>
  </si>
  <si>
    <t>https://pubs.usgs.gov/publication/wsp531</t>
  </si>
  <si>
    <t>1553</t>
  </si>
  <si>
    <t>wsp531</t>
  </si>
  <si>
    <t>Surface water supply of the United States, 1921 : Part XI. Pacific slope basins in California</t>
  </si>
  <si>
    <t>100-120, 122-171, 173-200, 202-257,  259-262, 264-274, 277-283, 285-298, 300-306,21, 22, 23, 24, 25, 26, 27, 28, 29, 30, 31, 32, 33, 34, 35, 37, 38, 39, 40, 41, 42, 43, 45, 46, 47, 48, 49, 50, 51, 52, 53, 54, 55, 56, 57, 58, 59, 60, 61, 62, 63-99</t>
  </si>
  <si>
    <t>100, 102, 104, 108, 109, 111, 112, 115, 116, 118, 120, 123, 125, 128, 132, 133, 135, 136, 138, 140, 143, 144, 146, 148, 150, 152, 154, 157, 158, 160, 161, 163, 165, 167, 169, 171, 172, 173, 175, 176, 178, 179, 181, 184, 188, 190, 191, 193, 195, 196, 199, 202, 203, 205, 206, 21, 208, 22, 215, 217, 218, 220, 222, 24, 233, 236, 238, 239, 241, 242, 244, 245, 247, 25, 248, 250, 251, 253, 254, 256, 259, 261, 263, 264, 265, 267, 269, 270, 272, 274, 275, 277, 28, 29, 279, 282, 283, 285, 286, 287, 288, 289, 291, 293, 294, 297, 301, 31, 302, 303-306, 33, 35, 37, 39, 42, 43, 45, 48, 55, 60, 61, 64, 65, 67, 68, 71, 73, 74, 76, 78, 82, 84, 86, 90, 91, 93, 94, 98</t>
  </si>
  <si>
    <t>101, 103, 105, 107, 109, 110, 112, 113, 116, 119, 122, 123, 125, 126, 127, 129, 130, 131, 133, 134, 136, 137, 139, 141, 142, 144, 145, 147, 149, 151, 152, 153, 155, 156, 158, 159, 160, 163, 164, 166, 167, 168, 170, 171, 174, 176, 177, 179, 180, 182, 183, 185, 186, 188, 189, 191, 192, 194, 196, 197, 199, 200, 203, 204, 306, 207, 209, 22, 215, 216, 218, 219, 221, 23, 223, 225, 226, 228, 229, 231, 232, 234, 235, 237, 239, 240, 242, 243, 245, 246, 25, 248, 249, 251, 252, 254, 255, 257, 260, 262, 265, 266, 268, 27, 270, 271, 273, 274, 277, 278, 28, 280, 281, 283, 285, 287, 290, 30, 292, 294, 295, 296, 298, 32, 302, 34, 35, 38, 40, 41, 43, 44, 46, 47, 49, 53, 54, 55, 56, 57, 59, 60, 62, 63, 65, 66, 68, 69, 71, 72, 74, 75, 77, 79, 80, 81, 83, 84, 85, 87, 88, 89, 91, 92, 94, 95, 96, 97, 99</t>
  </si>
  <si>
    <t>117, 35</t>
  </si>
  <si>
    <t>Stream flow reports (17), Number of water supply papers (18), Readings used in correcting observed flow of Drew creek (201), Daily elevation (77), Annual appropriations for the fiscal years (9)</t>
  </si>
  <si>
    <t>100-120, 122-257, 259-275, 277-283, 285-298, 300-306, 17, 18, 21, 22, 23, 24, 25, 26, 27, 28, 29, 30, 31, 32, 33, 34, 35, 37, 38, 39, 40, 41, 42, 43, 44, 45, 46, 47, 48, 49, 50, 51, 52, 53, 54, 55, 56, 57, 58, 59, 60, 61, 62, 63-99, 9</t>
  </si>
  <si>
    <t>531</t>
  </si>
  <si>
    <t>10.3133/wsp531</t>
  </si>
  <si>
    <t>1925</t>
  </si>
  <si>
    <t>vii, 304 p. :ill. ;23 cm.</t>
  </si>
  <si>
    <t>4f4e4afce4b07f02db6968a3</t>
  </si>
  <si>
    <t>https://pubs.usgs.gov/publication/wsp556</t>
  </si>
  <si>
    <t>2064</t>
  </si>
  <si>
    <t>wsp556</t>
  </si>
  <si>
    <t>Water power and flood control of Colorado River below Green River, Utah</t>
  </si>
  <si>
    <t xml:space="preserve">224, 225, 226, 227, 229, 233, 234, 236, 238, 239, 241, </t>
  </si>
  <si>
    <t xml:space="preserve">20, 75, 113, 141, 60, 115, 162, 176, 177, 187, 189, 150, </t>
  </si>
  <si>
    <t xml:space="preserve">113, 141, 60, 115, 162, 176, 177, 187, 189, 150, </t>
  </si>
  <si>
    <t xml:space="preserve">230, 232, 243, 244, </t>
  </si>
  <si>
    <t>Dams (113, 141, 60, 115, 162, 176, 177, 187, 189, 150)</t>
  </si>
  <si>
    <t>556</t>
  </si>
  <si>
    <t>10.3133/wsp556</t>
  </si>
  <si>
    <t>Report: x, 176 p.; 4 Plates: 30.00 x 23.25 inches or smaller</t>
  </si>
  <si>
    <t>307</t>
  </si>
  <si>
    <t>La Rue, Eugene Clyde; Work, Hubert; Grover, Nathan C.</t>
  </si>
  <si>
    <t>4f4e4a08e4b07f02db5f9c85</t>
  </si>
  <si>
    <t>https://pubs.usgs.gov/publication/wsp551</t>
  </si>
  <si>
    <t>1554</t>
  </si>
  <si>
    <t>wsp551</t>
  </si>
  <si>
    <t>Surface water supply of the United States, 1922 : Part 11. Pacific slope basins in California</t>
  </si>
  <si>
    <t>100-113, 115-127, 129-156, 158-197, 199, 201-207, 209-215, 217, 219, 220, 222-232, 234-250, 252-290, 292-353, 355-364, 367-369, 371-378, 380-408,  21, 22, 23, 24, 25, 26, 27, 28, 29, 30, 31, 32, 33, 35, 36, 38, 40, 41, 42-82, 84-99</t>
  </si>
  <si>
    <t>100, 102, 106, 108, 110, 112, 115, 117, 119, 121, 123, 125, 127, 129, 130, 131, 132, 134, 136, 137, 139, 141, 145, 146, 150, 151, 153, 155, 159, 161, 163, 165, 167, 169, 171, 178, 180, 182, 183-185, 21, 202, 205, 207, 210, 212, 214, 220, 223, 224, 226, 23, 229, 231, 233, 234, 236, 237, 238, 240, 245, 25, 248, 249, 253, 255, 257, 26, 258, 260, 262, 263, 265, 267, 268, 270, 271, 272, 274, 276, 28, 279, 283, 284, 287, 289, 294, 296, 298, 30, 300, 303, 304, 306, 317, 318, 32, 320, 321, 323, 325, 327, 328, 330, 332, 334, 336, 338, 35, 340, 342, 346, 347, 349, 351, 352, 354, 355, 356, 358, 360, 362, 364, 37, 366, 367, 373, 374, 38, 376, 377, 380, 382, 384, 386, 390, 392, 393, 40, 395, 396, 398, 399, 400-408, 44, 47, 53, 59, 61, 64, 66, 68, 70, 72, 74, 76, 78, 80, 84, 88, 91, 93, 98</t>
  </si>
  <si>
    <t>101, 102, 103, 105, 107, 109, 111, 113, 116, 118, 120, 122, 124, 126, 129, 130, 131, 133, 135, 136, 138, 140, 142, 143, 144, 146, 147, 149, 150, 152, 154, 156, 158, 160, 162, 163, 164, 166, 168, 170, 173, 175, 176, 178, 179, 181, 182, 183-185, 187, 188, 190, 192, 193, 195, 196, 197, 199, 201, 203, 205, 206, 209, 211, 213, 22, 215, 217, 219, 224, 225, 227, 228, 230, 232, 235, 24, 238, 239, 241, 242, 244, 246, 25, 247, 249, 250, 252, 254, 256, 258, 259, 261, 263, 264, 266, 27, 268, 269, 270, 271, 273, 276, 279, 280, 29, 282, 283, 286, 288, 290, 293, 295, 297, 299, 302, 304, 305, 307, 309, 31, 310, 311, 313, 314, 316, 318, 319, 321, 322, 324, 33, 326, 328, 329, 331, 333, 335, 337, 339, 341, 343, 345, 346, 348, 350, 352, 353, 356, 357, 36, 359, 363, 37, 368, 369, 371, 372, 374, 375, 377, 378, 381, 383, 385, 387, 389, 390, 391, 392, 394, 395, 397, 399, 41, 43, 45, 46, 48, 51, 52, 54, 55, 56, 58, 60, 62, 63, 65, 67, 69, 71, 73, 75, 77, 79, 81, 82, 85, 86, 88, 89, 90, 92, 94, 95, 97, 99</t>
  </si>
  <si>
    <t>128, 37</t>
  </si>
  <si>
    <t xml:space="preserve">Stream flow reports (17), Number of water supply papers (18), </t>
  </si>
  <si>
    <t>100-113, 115-156, 17, 18, 158-197, 199, 201-207, 209-215, 217, 219, 220, 222-250, 21, 22, 23, 24, 25, 26, 27, 28, 29, 252-290, 30, 31, 32, 33, 35, 36, 37, 292-364, 366-369, 38, 40, 371-408, 41-82, 84-99</t>
  </si>
  <si>
    <t>551</t>
  </si>
  <si>
    <t>10.3133/wsp551</t>
  </si>
  <si>
    <t>1927</t>
  </si>
  <si>
    <t>viii, 405 p. :ill. ;23 cm.</t>
  </si>
  <si>
    <t>4f4e4affe4b07f02db697bf6</t>
  </si>
  <si>
    <t>https://pubs.usgs.gov/publication/wsp571</t>
  </si>
  <si>
    <t>1558</t>
  </si>
  <si>
    <t>wsp571</t>
  </si>
  <si>
    <t>Surface water supply of the United States, 1923 : Part XI. Pacific slope basins in California</t>
  </si>
  <si>
    <t>100-141, 15, 16, 17, 18, 19, 20, 21, 22, 23, 24, 25, 26, 27, 29, 30, 31, 33, 34, 35, 36, 37, 38, 39, 40, 41, 42, 43, 44-55, 57-74, 76-99, 143-173, 175-180, 182-186, 188-225, 227, 229-336, 338-340, 342-352, 354, 355, 358-369, 371-375, 377-397</t>
  </si>
  <si>
    <t>101, 103, 105, 106, 108, 110, 112, 114, 116, 117, 119, 120, 121, 123, 124, 128, 132, 137, 139, 140, 143, 145, 146, 147, 15, 148, 150, 151, 153, 155, 161, 163, 165, 17, 171,  172, 197, 198, 20, 200, 203, 206, 208, 210, 211, 213, 214, 216, 218, 22, 221, 226, 227, 23, 230, 231, 233, 234, 237, 239, 240, 242, 244, 248, 25, 250, 252, 253, 255, 256, 257, 259, 261, 264, 267, 27, 271, 273, 274, 28, 284. 285, 287, 288, 29, 290, 291, 293, 294, 296, 297, 299, 301, 302, 304, 305, 308, 31, 310, 312, 313, 315, 317, 32, 319, 322, 324, 326, 328, 329, 33, 331, 333, 334, 336, 337, 338, 34, 339, 341, 342, 349, 351, 352, 354, 358, 36, 361, 362, 364, 366, 367, 37, 371, 372, 373, 375, 377, 378, 380, 381, 382, 384, 385, 386, 387-397, 39, 41, 44, 47, 49, 54, 55, 58, 60, 62, 64, 67, 69, 70, 72, 73, 76, 80, 82, 84, 87, 89, 91, 94, 96, 97, 99</t>
  </si>
  <si>
    <t>100, 102, 104, 105, 107, 109, 111, 113, 115, 117, 118, 119, 121, 122, 124, 125, 127, 129, 131, 133, 134, 135, 136, 138, 139, 141, 144, 146, 147, 149, 150, 152, 154, 156, 16, 159, 160, 162, 164, 166, 167, 169, 170, 172, 173, 176, 177, 18, 179, 180, 182, 183, 185, 186, 189, 19, 190, 192, 193, 195, 196, 198, 199, 201, 202, 204, 205, 207, 209, 21, 211, 212, 214, 217, 219, 22, 220, 221, 222, 224, 225, 229, 231, 232, 234, 235, 236, 24, 238, 240, 241, 243, 244, 246, 247, 249, 251, 252, 254, 256, 257, 258, 26, 259, 260, 262, 263, 265, 266, 27, 268, 269, 271, 272, 274, 275, 276, 278, 279, 280, 282, 283, 285, 286, 288, 289, 291, 292, 294, 295, 297, 298, 30, 300, 301, 303, 305, 306, 307, 31, 309, 311, 313, 314, 316, 317, 318, 32, 320, 321, 322, 323, 325, 327, 329, 330, 332, 333, 335, 336, 34, 339, 340, 343, 344, 345-348, 35, 350, 352, 355, 359, 360, 361, 363, 365, 366, 37, 368, 371, 372, 374, 377, 379, 38, 381, 383, 384, 386, 40, 42, 44, 46, 49, 50, 51, 53, 54, 57, 59, 61, 63, 65, 66, 68, 69, 71, 73, 74, 77, 78, 79, 80, 81, 83, 85, 87, 88, 90, 91, 92, 93, 95, 97, 98</t>
  </si>
  <si>
    <t>28, 32</t>
  </si>
  <si>
    <t>Elevation (215, 357), Stream flow reports (400, 401), Number of water supply papers (402), Annual appropriations for the fiscal years (9)</t>
  </si>
  <si>
    <t>15, 16, 17, 18, 19, 20, 21, 22, 23, 24, 25, 26, 27, 28, 29, 30, 31, 32, 33, 34, 35, 36, 37, 38, 39, 40, 41, 42, 43, 44-55, 57-74, 76-99, 100-173, 175-180, 182-186, 188-352, 354, 355, 357-369, 371-375, 377-397, 400, 401, 402</t>
  </si>
  <si>
    <t>571</t>
  </si>
  <si>
    <t>10.3133/wsp571</t>
  </si>
  <si>
    <t>1928</t>
  </si>
  <si>
    <t>viii, 431 p. ;23 cm.</t>
  </si>
  <si>
    <t>4f4e4affe4b07f02db697bae</t>
  </si>
  <si>
    <t>https://pubs.usgs.gov/publication/wsp591</t>
  </si>
  <si>
    <t>4536</t>
  </si>
  <si>
    <t>wsp591</t>
  </si>
  <si>
    <t>Surface water supply of the United States, 1924: Part 11. Pacific slope basins in California</t>
  </si>
  <si>
    <t>591</t>
  </si>
  <si>
    <t>10.3133/wsp591</t>
  </si>
  <si>
    <t>viii, 448 p.</t>
  </si>
  <si>
    <t>4f4e4affe4b07f02db697b6f</t>
  </si>
  <si>
    <t>https://pubs.usgs.gov/publication/wsp611</t>
  </si>
  <si>
    <t>1568</t>
  </si>
  <si>
    <t>wsp611</t>
  </si>
  <si>
    <t>Surface water supply of the United States, 1925 : Part XI. Pacific slope basins in California</t>
  </si>
  <si>
    <t>100-204, 207-216, 218-253, 29, 31, 32, 33, 34, 37, 38, 39, 255-311, 313-339, 341-343, 345-354, 356-394, 40-48, 50-78, 80-82, 84-97, 99</t>
  </si>
  <si>
    <t>100, 102, 104, 105, 107, 108, 110, 111, 112, 118, 136, 138, 139, 141, 143, 145, 147, 148, 150, 152, 153, 155, 156, 158, 160, 162, 165, 166, 169, 171, 172, 174, 175, 176, 177, 179, 180, 182, 183, 184, 186, 187, 189, 191, 193, 201, 204, 208, 210, 211, 219, 220, 222, 223, 226, 228, 235, 238, 240, 244, 245, 248, 250, 253, 256, 259, 262, 264, 269, 270, 272, 281, 283, 284, 286, 287, 289, 29, 290, 292, 293, 295, 296, 298, 299, 301, 303, 304, 306, 309, 311, 314, 316, 317, 318, 32, 320, 323, 325, 327, 328, 33, 330, 331, 333, 334, 336, 338, 340, 341, 342, 345, 352, 353, 358, 360, 364, 365, 367, 368, 370, 371, 373, 374, 375, 376, 378, 380, 385, 387, 388-394, 43, 46, 53, 57, 59, 62, 63, 65, 66, 68, 71, 72, 74, 76, 77, 80, 84, 85, 89, 91, 93, 97, 99</t>
  </si>
  <si>
    <t>101, 103, 105, 106, 108, 109, 110, 112, 113, 115, 116, 117, 119, 120, 122, 123, 124, 125, 126, 127, 128, 129, 130, 131, 133, 134, 135, 137, 138, 140, 141, 143, 144, 146, 148, 149, 151, 153, 154, 156, 157, 159, 161, 163, 164, 166, 167, 168, 170, 172, 173, 175, 176, 178, 179, 181, 182, 183, 185, 186, 188, 190, 192, 194, 195, 197, 198, 200, 201, 203, 204, 208, 209, 211, 213, 214, 216, 218, 220, 221, 223, 224, 226, 227, 229, 230, 232, 233, 234, 236, 237, 239, 240, 242, 243, 245, 246, 248, 249, 251, 252, 255, 257, 258, 260, 262, 263, 264, 266, 267, 270, 271, 273, 274, 275, 276, 278, 279, 280, 282, 283, 285, 286, 288, 29, 290, 291, 293, 294, 296, 297, 299, 300, 302, 303, 305, 307, 308, 31, 310, 311, 315, 317, 318, 320, 322, 324, 325, 326, 327, 33, 329, 330, 332, 333, 335, 336, 338, 339, 34, 341, 343, 345, 347, 348, 349, 35, 351, 352, 354, 357, 359, 360, 362, 363, 365, 366, 368, 369, 37, 370, 372, 374, 376, 377, 379, 380, 382, 384, 385, 387, 39, 40, 41, 42, 44, 45, 47, 50, 51, 53, 54 55, 57, 58, 60, 61, 63, 64, 66, 67, 69, 70, 72, 73, 75, 77, 78, 80, 81, 82, 84, 86, 87, 88, 90, 92, 94, 96, 97, 99</t>
  </si>
  <si>
    <t>35, 382</t>
  </si>
  <si>
    <t xml:space="preserve">Annual appropriations for the fiscal years (19), Elevaion (206, 217, 344, 355, 78), Stream flow reports (25), Number of water supply papers (26), </t>
  </si>
  <si>
    <t>19, 25, 26, 29, 31, 32, 33, 34, 35, 37, 38, 39, 100-204, 206-253, 255-311, 313-394, 40-48, 50-78, 80-97, 99</t>
  </si>
  <si>
    <t>611</t>
  </si>
  <si>
    <t>10.3133/wsp611</t>
  </si>
  <si>
    <t>1929</t>
  </si>
  <si>
    <t>viii, 383 p. :ill. ;23 cm.</t>
  </si>
  <si>
    <t>4f4e4affe4b07f02db697b11</t>
  </si>
  <si>
    <t>https://pubs.usgs.gov/publication/wsp597E</t>
  </si>
  <si>
    <t>2247</t>
  </si>
  <si>
    <t>wsp597E</t>
  </si>
  <si>
    <t>Surface water supply of the Sacramento River Basin, California, 1895-1927</t>
  </si>
  <si>
    <t>22, 23, 24, 25, 26, 27, 28, 29, 20, 31, 32, 35, 39, 40, 44, 45, 47, 48, 50, 53</t>
  </si>
  <si>
    <t>597</t>
  </si>
  <si>
    <t>10.3133/wsp597E</t>
  </si>
  <si>
    <t>53 p.</t>
  </si>
  <si>
    <t>Contributions to the hydrology of the United States, 1928 (Water Supply Paper 597)</t>
  </si>
  <si>
    <t>Sacramento River Basin</t>
  </si>
  <si>
    <t>4f4e4afee4b07f02db6973b7</t>
  </si>
  <si>
    <t>https://pubs.usgs.gov/publication/wsp631</t>
  </si>
  <si>
    <t>431</t>
  </si>
  <si>
    <t>wsp631</t>
  </si>
  <si>
    <t>Surface water supply of the United States, 1926: Part 11. Pacific slope basins in California</t>
  </si>
  <si>
    <t>100-208, 210-213, 22, 215-218, 23, 24, 25, 26, 220-265, 27, 29, 30, 31, 32, 33, 34, 35, 36, 37, 267-376, 38, 378-381, 383, 384, 39, 40, 41, 387-422, 42-74, 76-99</t>
  </si>
  <si>
    <t>diversions (286)</t>
  </si>
  <si>
    <t>100, 102, 104, 105, 107, 108, 110, 112, 116, 120, 130, 133, 136, 138, 140, 142, 143, 145, 146, 148, 150, 152, 153, 155, 157, 159, 160, 162, 164, 165, 167, 169, 170, 172, 175, 177, 178, 180, 182, 183, 185, 188, 190, 192, 194, 196, 197, 199, 203, 204, 206, 210, 22, 222, 225, 227, 23, 229, 231, 234, 236, 237, 238, 240, 241, 244, 245, 247, 248, 252, 253, 255, 256, 26, 261, 262, 265, 267, 268, 27, 272, 274, 278, 284, 285, 288, 289, 299, 300, 302, 303, 305, 306, 308, 309, 311, 314, 315, 317, 318, 327, 329, 330, 333, 335, 337, 338, 344, 346, 347, 350, 351, 353, 354, 356, 359, 362, 363, 364, 366, 368, 37, 376, 378, 381, 388, 389, 391, 393, 394, 396, 397, 399, 40, 401, 403, 404, 406, 41, 410, 412, 413, 415-422, 43, 47, 49, 53, 55, 58, 59, 61, 62, 64, 65, 67, 69, 70, 72, 74, 76, 80, 82, 84, 88, 90, 92, 95, 97, 98</t>
  </si>
  <si>
    <t>101, 103, 105, 106, 108, 109, 111, 112, 114, 115, 116, 117, 119, 120, 122, 123, 124, 125, 126, 127, 128, 129, 131, 132, 133, 134, 135, 137, 138, 140, 141, 143, 144, 146, 147, 149, 151, 153, 154, 156, 158, 160, 161, 163, 165, 166, 168, 170, 171, 173, 174, 176, 177, 179, 181, 182, 184, 186, 187, 189, 191, 193, 195, 196, 198, 199, 201, 202, 204, 205, 207, 210, 212, 213, 215, 217, 218, 22, 220, 222, 223, 225, 226, 228, 229, 230, 232, 233, 235, 236, 24, 238, 239, 240, 241, 243, 244, 246, 248, 25, 249, 250, 251, 253, 254, 256, 257, 259, 260, 262, 263, 265, 268, 27, 269, 270, 271, 273, 275, 276, 278, 28, 279, 281, 282, 284, 285, 286, 287, 289, 290, 291, 293, 294, 295, 297, 298, 30, 300, 301, 303, 304, 306, 307, 309, 31, 310, 312, 313, 315, 316, 318, 319, 321, 322, 324, 325, 327, 328, 33, 330, 331, 332, 334, 336, 337, 339, 34, 340, 342, 343, 344, 345, 347, 348, 350, 352, 354, 355, 357, 358, 36, 360, 361, 363, 365, 367, 369, 371, 372, 373, 375, 376, 38, 379, 380, 381, 383, 387, 388, 39, 390, 392, 393, 395, 397, 398, 40, 400, 402, 403, 405, 407, 409, 411, 413, 414, 42, 44, 45, 46, 48, 50, 51, 52, 54, 56, 57, 58, 60, 62, 63, 65, 66, 68, 70, 71, 73, 74, 77, 78, 79, 80, 81, 83, 85, 87, 89, 91, 92, 93, 94, 96, 98, 99</t>
  </si>
  <si>
    <t>contents/change in contents (401, 409)</t>
  </si>
  <si>
    <t>279 (inflow)</t>
  </si>
  <si>
    <t>Annual appropriations for the fiscal years (11),  Stream flow reports (17), Number of water supply papers containing results of stream measurements (19), Elevation (208, 209, 214, 219, 367, 377, 75)</t>
  </si>
  <si>
    <t>11, 17, 19, 22, 23, 24, 25, 26, 27, 28, 29, 30, 31, 32, 33, 34, 35, 36, 37, 38, 39, 40, 41, 42, 100-381, 383, 384, 387-422, 43-99</t>
  </si>
  <si>
    <t>631</t>
  </si>
  <si>
    <t>10.3133/wsp631</t>
  </si>
  <si>
    <t>1930</t>
  </si>
  <si>
    <t>ix, 419 p.</t>
  </si>
  <si>
    <t>4f4e4affe4b07f02db697ac2</t>
  </si>
  <si>
    <t>https://pubs.usgs.gov/publication/wsp619</t>
  </si>
  <si>
    <t>2749</t>
  </si>
  <si>
    <t>wsp619</t>
  </si>
  <si>
    <t>Geology and water resources of the Mokelumne area, California</t>
  </si>
  <si>
    <t>619</t>
  </si>
  <si>
    <t>10.3133/wsp619</t>
  </si>
  <si>
    <t>xii, 402 p. :ill., maps ;24 cm.</t>
  </si>
  <si>
    <t>Stearns, Harold T.; Robinson, T. W.; Taylor, G.H.</t>
  </si>
  <si>
    <t>4f4e4ad6e4b07f02db6840a3</t>
  </si>
  <si>
    <t>https://pubs.usgs.gov/publication/wsp636A</t>
  </si>
  <si>
    <t>25073</t>
  </si>
  <si>
    <t>wsp636A</t>
  </si>
  <si>
    <t>Quality of water of the Colorado River in 1926-1928</t>
  </si>
  <si>
    <t>636</t>
  </si>
  <si>
    <t>10.3133/wsp636A</t>
  </si>
  <si>
    <t>ii, 14 p.</t>
  </si>
  <si>
    <t>Contributions to the hydrology of the United States, 1929 (Water Supply Paper 636)</t>
  </si>
  <si>
    <t>16</t>
  </si>
  <si>
    <t>Howard, C. S.</t>
  </si>
  <si>
    <t>Grover, N.C.</t>
  </si>
  <si>
    <t>4f4e4a8ae4b07f02db6515e1</t>
  </si>
  <si>
    <t>https://pubs.usgs.gov/publication/wsp636B</t>
  </si>
  <si>
    <t>25074</t>
  </si>
  <si>
    <t>wsp636B</t>
  </si>
  <si>
    <t>Suspended matter in the Colorado River in 1925-1928</t>
  </si>
  <si>
    <t>10.3133/wsp636B</t>
  </si>
  <si>
    <t>U.S. Geological Survey,</t>
  </si>
  <si>
    <t>30 p.</t>
  </si>
  <si>
    <t>15</t>
  </si>
  <si>
    <t>44</t>
  </si>
  <si>
    <t>31</t>
  </si>
  <si>
    <t>4f4e4ae0e4b07f02db688050</t>
  </si>
  <si>
    <t>https://pubs.usgs.gov/publication/wsp636D</t>
  </si>
  <si>
    <t>25076</t>
  </si>
  <si>
    <t>wsp636D</t>
  </si>
  <si>
    <t>Surface water supply of the San Joaquin River Basin, California, 1895-1927</t>
  </si>
  <si>
    <t>10.3133/wsp636D</t>
  </si>
  <si>
    <t>68 p.</t>
  </si>
  <si>
    <t>101</t>
  </si>
  <si>
    <t>168</t>
  </si>
  <si>
    <t>San Joaquin River Basin</t>
  </si>
  <si>
    <t>McGlashan, H.D.</t>
  </si>
  <si>
    <t>4f4e4affe4b07f02db697c8e</t>
  </si>
  <si>
    <t>https://pubs.usgs.gov/publication/wsp636E</t>
  </si>
  <si>
    <t>25077</t>
  </si>
  <si>
    <t>wsp636E</t>
  </si>
  <si>
    <t>Surface water supply of Pacific slope basins in southern California, 1894-1927</t>
  </si>
  <si>
    <t>10.3133/wsp636E</t>
  </si>
  <si>
    <t>U.S. Department of the Interior, Geological Survey,</t>
  </si>
  <si>
    <t>p. 169-219; v, 330 p. :ill., maps (1 map in pocket) ;23 cm.</t>
  </si>
  <si>
    <t>4f4e4b00e4b07f02db698120</t>
  </si>
  <si>
    <t>https://pubs.usgs.gov/publication/wsp651</t>
  </si>
  <si>
    <t>1572</t>
  </si>
  <si>
    <t>wsp651</t>
  </si>
  <si>
    <t>Surface water supply of the United States, 1927: Part 11. Pacific slope basins in California</t>
  </si>
  <si>
    <t>101-145, 147-149, 151-157, 159-191, 193, 194, 21, 22, 26, 27, 196-199, 201-227, 229-266, 268, 269, 271-275, 277, 28, 29, 279-290, 292-297, 30, 299-302, 31-58, 60-99</t>
  </si>
  <si>
    <t>158, 267, 270, 295-297, 299-302</t>
  </si>
  <si>
    <t>101-145, 147-149, 151-157, 159-190, 192, 194, 21, 22, 23, 26, 27, 196-199, 201-209, 211-227, 229-266, 268, 269, 271-275, 28, 277-284, 29, 286-290, 292-294, 30, 31, 32, 34-58, 60-99</t>
  </si>
  <si>
    <t>contents (192, 195, 285, 291)</t>
  </si>
  <si>
    <t>24, 25</t>
  </si>
  <si>
    <t xml:space="preserve">Annual appropriations for the fiscal years (11), Elevation (146, 150, 276, 59), Stream flow reports (16, 17), Number of water supply papers (28), </t>
  </si>
  <si>
    <t>11, 17, 18, 101-199, 21, 22, 201-227, 23, 24, 25, 26, 27, 28, 29, 229-297, 30, 299-302, 30-99</t>
  </si>
  <si>
    <t>651</t>
  </si>
  <si>
    <t>10.3133/wsp651</t>
  </si>
  <si>
    <t>1931</t>
  </si>
  <si>
    <t>ix, 299 p.</t>
  </si>
  <si>
    <t>4f4e4affe4b07f02db697a24</t>
  </si>
  <si>
    <t>https://pubs.usgs.gov/publication/wsp671</t>
  </si>
  <si>
    <t>1573</t>
  </si>
  <si>
    <t>wsp671</t>
  </si>
  <si>
    <t>Surface water supply of the United States, 1928 : Part XI. Pacific slope basins in California</t>
  </si>
  <si>
    <t>21, 24, 25, 26, 28, 29, 30, 31, 32, 33, 34, 35, 36, 37, 38, 39, 40, 41, 42, 43, 44, 45, 46, 47, 48, 49, 50, 51, 52, 53, 54, 56, 57, 58, 59, 60, 61, 62, 63, 64, 65, 66, 67, 68, 69, 70, 71, 72, 73, 74, 75, 76, 77, 78, 79, 80, 81, 82, 83, 84, 85, 86, 87, 88, 89, 90, 92, 93, 94, 95, 96, 97, 98, 99, 100, 101, 102, 103, 104, 105, 106, 107, 108, 109, 110, 111, 112, 113, 114, 115, 116, 117, 118, 119, 120, 121, 122, 123, 124, 125, 126, 127, 128, 129, 130, 132, 133, 134, 135, 136, 137, 138, 139, 140, 142, 144, 146, 148, 149, 150, 151, 152, 153, 154, 156, 157, 158, 159, 160, 161, 163, 164, 165, 166, 167, 168, 169, 170, 171, 172, 173, 174, 175, 176, 177, 178, 180, 181, 182, 183, 184, 185, 186, 187, 188, 189, 190, 192, 194, 196, 197, 198, 199, 200, 201, 202, 203, 204, 205, 206, 207, 208, 209, 210, 211, 212, 213, 214, 215, 216, 217, 218, 219, 220, 222, 223, 224, 226, 227, 228, 229, 230, 231, 232, 233, 234, 235, 236, 237, 238, 239, 240, 241, 242, 243, 244, 245, 246, 247, 248, 249, 250, 252, 253, 254, 255, 256, 258, 259, 260, 261, 262, 263, 264, 265, 266, 267, 268, 269, 270, 271, 273, 274, 276, 277, 278, 279, 280, 282, 283, 284, 285, 286, 287, 288, 290, 291, 292, 293, 294, 295, 297, 298, 299, 300, 301, 302, 304, 305</t>
  </si>
  <si>
    <t>147, 155, 191, 193, 272, 275, 296</t>
  </si>
  <si>
    <t>22, 27, 78, 191</t>
  </si>
  <si>
    <t>22, 23, 281, 143</t>
  </si>
  <si>
    <t>River inflow to lake (22, 23)</t>
  </si>
  <si>
    <t>21, 22, 23, 24, 25, 26, 27, 28, 29, 30, 31, 32, 33, 34, 35, 36, 37, 38, 39, 40, 41, 42, 43, 44, 45, 46, 47, 48, 49, 50, 51, 52, 53, 54, 56, 57, 58, 59, 60, 61, 62, 63, 64, 65, 66, 67, 68, 69, 70, 71, 72, 73, 74, 75, 76, 77, 78, 79, 80, 81, 82, 83, 84, 85, 86, 87, 88, 89, 90, 92, 93, 94, 95, 96, 97, 98, 99, 100, 101, 102, 103, 104, 105, 106, 107, 108, 109, 110, 111, 112, 113, 114, 115, 116, 117, 118, 119, 120, 121, 122, 123, 124, 125, 126, 127, 128, 129, 130, 132, 133, 134, 135, 136, 137, 138, 139, 140, 142, 143, 144, 146, 148, 149, 150, 151, 152, 153, 154, 155, 156, 157, 158, 159, 160, 161, 162, 163, 164, 165, 166, 167, 168, 169, 170, 171, 172, 173, 174, 175, 176, 177, 178, 180, 181, 182, 183, 184, 185, 186, 187, 188, 189, 190, 191, 192, 193, 194, 196, 197, 198, 199, 200, 201, 202, 203, 204, 205, 206, 207, 208, 209, 210, 211, 212, 213, 214, 215, 216, 217, 218, 219, 220, 222, 223, 224, 226, 227, 228, 229, 230, 231, 232, 233, 234, 235, 236, 237, 238, 239, 240, 241, 242, 243, 244, 245, 246, 247, 248, 249, 250, 252, 253, 254, 255, 256, 258, 259, 260, 261, 262, 263, 264, 265, 266, 267, 268, 269, 270, 271, 272, 273, 274, 275, 276, 277, 278, 279, 280, 281, 282, 283, 284, 285, 286, 287, 288, 290, 291, 292, 293, 294, 295, 296, 297, 298, 299, 300, 301, 302, 304, 305</t>
  </si>
  <si>
    <t>671</t>
  </si>
  <si>
    <t>10.3133/wsp671</t>
  </si>
  <si>
    <t>ix, 304 p. :ill. ;23 cm.</t>
  </si>
  <si>
    <t>4f4e4affe4b07f02db6979e3</t>
  </si>
  <si>
    <t>https://pubs.usgs.gov/publication/wsp691</t>
  </si>
  <si>
    <t>1577</t>
  </si>
  <si>
    <t>wsp691</t>
  </si>
  <si>
    <t>Surface water supply of the United States, 1929 : Part XI. Pacific slope basins in California</t>
  </si>
  <si>
    <t>100, 101, 103, 104, 105, 106, 107, 108, 109, 110, 111, 112, 113, 114, 115, 116, 117, 119, 120, 121, 122, 124, 125, 126, 127, 129, 131, 133, 135, 137, 139, 143, 144, 145, 147, 148, 149, 150, 152, 153, 154, 155, 156, 157, 159, 160, 161, 162, 163, 164, 165, 166, 168, 169, 170, 171, 172, 173, 174, 175, 176, 177, 178, 179, 181, 182, 183, 184, 186, 187, 188, 189, 190, 191, 192, 194, 195, 196, 197, 198, 199, 201, 202, 203, 204, 205, 206, 207, 209, 210, 211, 212, 213, 214, 215, 216, 217, 219, 22, 221, 222, 223, 225, 226, 227, 228, 229, 230, 231, 232, 234, 235, 236, 237, 238, 240, 241, 242, 243, 244, 245, 247, 248, 249, 25, 250, 251, 253, 254, 256, 257, 258, 259, 26, 260, 261, 262, 264, 265, 266, 267, 269, 27, 270, 271, 272, 273, 274, 275, 277, 278, 279, 280, 282, 284, 285, 286, 287, 292, 30, 31, 33, 34, 35, 37, 38, 39, 40, 41, 42, 43, 44, 45, 46, 47, 48, 49, 50, 51, 52, 53, 54, 56, 57, 58, 59, 60, 61, 62, 63, 64, 65, 66, 67, 68, 69, 70, 71, 72, 73, 74, 75, 76, 77, 78, 79, 80, 81, 82, 83, 84, 85, 86, 87, 88, 89, 90, 92, 93, 94, 95, 96, 97, 98, 99, 268, 28, 185</t>
  </si>
  <si>
    <t>100, 101, 103, 104, 105, 106, 107, 108, 109, 110, 111, 112, 113, 114, 115, 116, 117, 119, 120, 121, 122, 124, 125, 126, 127, 129, 131, 133, 135, 137, 139, 143, 144, 145, 147, 148, 149, 150, 152, 153, 154, 155, 156, 157, 159, 160, 161, 162, 163, 164, 165, 166, 168, 169, 170, 171, 172, 173, 174, 175, 176, 177, 178, 179, 181, 182, 183, 184, 186, 187, 188, 189, 190, 191, 192, 194, 195, 196, 197, 198, 199, 201, 202, 203, 204, 205, 206, 207, 209, 210, 211, 212, 213, 214, 215, 216, 217, 219, 22, 221, 222, 223, 225, 226, 227, 228, 229, 230, 231, 232, 234, 235, 236, 237, 238, 240, 241, 242, 243, 244, 245, 247, 248, 249, 25, 250, 251, 253, 254, 256, 257, 258, 259, 26, 260, 261, 262, 264, 265, 266, 267, 269, 27, 270, 271, 272, 273, 274, 275, 277, 278, 279, 280, 282, 284, 285, 286, 287, 292, 30, 31, 33, 34, 35, 37, 38, 39, 40, 41, 42, 43, 44, 45, 46, 47, 48, 49, 50, 51, 52, 53, 54, 56, 57, 58, 59, 60, 61, 62, 63, 64, 65, 66, 67, 68, 69, 70, 71, 72, 73, 74, 75, 76, 77, 78, 79, 80, 81, 82, 83, 84, 85, 86, 87, 88, 89, 90, 92, 93, 94, 95, 96, 97, 98, 99</t>
  </si>
  <si>
    <t>185, 268</t>
  </si>
  <si>
    <t>185, 28</t>
  </si>
  <si>
    <t>134, 138, 142, 146, 167, 23, 24, 276, 62, 283, 290</t>
  </si>
  <si>
    <t>100, 101, 103, 104, 105, 106, 107, 108, 109, 110, 111, 112, 113, 114, 115, 116, 117, 119, 120, 121, 122, 124, 125, 126, 127, 129, 131, 133, 134, 135, 137, 138, 139, 142, 143, 144, 145, 146, 147, 148, 149, 150, 152, 153, 154, 155, 156, 157, 159, 160, 161, 162, 163, 164, 165, 166, 167, 168, 169, 170, 171, 172, 173, 174, 175, 176, 177, 178, 179, 181, 182, 183, 184, 185, 186, 187, 188, 189, 190, 191, 192, 194, 195, 196, 197, 198, 199, 201, 202, 203, 204, 205, 206, 207, 209, 210, 211, 212, 213, 214, 215, 216, 217, 219, 22, 221, 222, 223, 225, 226, 227, 228, 229, 23, 230, 231, 232, 234, 235, 236, 237, 238, 24, 28, 240, 241, 242, 243, 244, 245, 247, 248, 249, 25, 250, 251, 253, 254, 256, 257, 258, 259, 26, 260, 261, 262, 264, 265, 266, 267, 268,  269, 27, 270, 271, 272, 273, 274, 275, 276, 277, 278, 279, 280, 282, 283, 284, 285, 286, 287, 292, 30, 31, 33, 34, 35, 37, 38, 39, 40, 41, 42, 43, 44, 45, 46, 47, 48, 49, 50, 51, 52, 53, 54, 56, 57, 58, 59, 60, 61, 62, 63, 64, 65, 66, 67, 68, 69, 70, 71, 72, 73, 74, 75, 76, 77, 78, 79, 80, 81, 82, 83, 84, 85, 86, 87, 88, 89, 90, 92, 93, 94, 95, 96, 97, 98, 99, 290</t>
  </si>
  <si>
    <t>691</t>
  </si>
  <si>
    <t>10.3133/wsp691</t>
  </si>
  <si>
    <t>ix, 294 p. :ill. ;23 cm.</t>
  </si>
  <si>
    <t>4f4e4afee4b07f02db697981</t>
  </si>
  <si>
    <t>https://pubs.usgs.gov/publication/wsp637A</t>
  </si>
  <si>
    <t>2245</t>
  </si>
  <si>
    <t>wsp637A</t>
  </si>
  <si>
    <t>Surface water supply of minor San Francisco Bay, Northern Pacific, and Great Basins in California, 1895-1927</t>
  </si>
  <si>
    <t xml:space="preserve">32, 33, 34, 35, 36, 37, 38, 39, 40, 41, 42, 43, 44, 45, 46, 47, 48, 49, 50, 51, 52, 53, 54, 55, 56, 57, 58, 59, 60, 61, 62, 63, 64, 65, 66, 67, 68, 69, 70, 71, 72, 73, 74, </t>
  </si>
  <si>
    <t>637</t>
  </si>
  <si>
    <t>10.3133/wsp637A</t>
  </si>
  <si>
    <t>iv, 68 p.</t>
  </si>
  <si>
    <t>4f4e4b00e4b07f02db6980e5</t>
  </si>
  <si>
    <t>https://pubs.usgs.gov/publication/70220375</t>
  </si>
  <si>
    <t>70220375</t>
  </si>
  <si>
    <t>Investigations relating to the absorption of precipitation and its penetration to the zone of saturation</t>
  </si>
  <si>
    <t>Eos, Transactions, American Geophysical Union</t>
  </si>
  <si>
    <t>2324-9250</t>
  </si>
  <si>
    <t>0096-394</t>
  </si>
  <si>
    <t>10.1029/TR012i001p00206</t>
  </si>
  <si>
    <t>12</t>
  </si>
  <si>
    <t>American Geophysical Union</t>
  </si>
  <si>
    <t>6 p.</t>
  </si>
  <si>
    <t>206</t>
  </si>
  <si>
    <t>211</t>
  </si>
  <si>
    <t>United  States</t>
  </si>
  <si>
    <t>Los Angeles</t>
  </si>
  <si>
    <t>Taylor, G.H.</t>
  </si>
  <si>
    <t>https://pubs.usgs.gov/publication/wsp706</t>
  </si>
  <si>
    <t>455</t>
  </si>
  <si>
    <t>wsp706</t>
  </si>
  <si>
    <t>Surface water supply of the United States, 1930 : Part 11. Pacific slope basins in California</t>
  </si>
  <si>
    <t>100-106, 108-149, 151-153, 155-157, 159-161, 163-179, 181-195, 20, 198-210, 23, 24, 212-242,  25, 26, 27, 28, 244-282, 29, 30, 284-301, 303-306, 31, 309-311, 312-317, 32-62, 64-69, 71-94, 96, 97, 99</t>
  </si>
  <si>
    <t>154, 162, 197, 283, 308, 312-317</t>
  </si>
  <si>
    <t>100-106, 108-149, 151-153, 155-157, 159-161, 163-179, 181-195, 197, 20, 198-210, 23, 24, 25, 26, 27, 28, 212-242, 244-282, 29, 30, 284-301, 303-306, 31, 309-311, 32-54, 56-62, 64-69, 71-75, 77-94, 96, 97, 99</t>
  </si>
  <si>
    <t>21, 22, 224</t>
  </si>
  <si>
    <t>contents/change in contents (197, 198, 308)</t>
  </si>
  <si>
    <t>21, 22 (inflow)</t>
  </si>
  <si>
    <t>Stream flow reports (15), Elevation (150, 158, 180), Number of water supply papers containing results of stream measurements (17), Annual appropriations for the fiscal years (9)</t>
  </si>
  <si>
    <t>100-106, 15, 17, 108-195, 20, 21, 197-210, 22, 23, 24, 212-242, 25, 26, 27, 28, 29, 30, 244-301, 31, 303-306, 32, 308-314, 316, 317, 33-62, 64-69, 9, 71-97, 99</t>
  </si>
  <si>
    <t>706</t>
  </si>
  <si>
    <t>10.3133/wsp706</t>
  </si>
  <si>
    <t>1932</t>
  </si>
  <si>
    <t>ix, 317 p. ;23 cm.</t>
  </si>
  <si>
    <t>4f4e4afee4b07f02db697924</t>
  </si>
  <si>
    <t>https://pubs.usgs.gov/publication/wsp721</t>
  </si>
  <si>
    <t>1585</t>
  </si>
  <si>
    <t>wsp721</t>
  </si>
  <si>
    <t>Surface water supply of the United States, 1931 : Part 11. Pacific slope basins in California</t>
  </si>
  <si>
    <t>101, 102, 103, 104, 105, 106, 107, 108, 109, 110, 111, 112, 114, 115, 116, 117, 118, 119, 120, 121, 122, 123, 124, 125, 126, 127, 128, 129, 130, 131, 132, 133, 134, 135, 136, 137, 138, 139, 140, 142, 145, 146, 147, 148, 149, 150, 151, 153, 154, 156, 157, 158, 159, 160, 161, 162, 163, 164, 165, 166, 167, 170, 171, 172, 173, 174, 177, 178, 179, 180, 182, 183, 187, 188, 189, 190, 191, 192, 193, 194, 195, 196, 197, 198, 199, 200, 201, 202, 203, 204, 205, 206, 207, 208, 209, 21, 210, 211, 212, 213, 214, 215, 216, 221, 222, 223, 224, 225, 226, 227, 228, 229, 230, 231, 232, 236, 237, 24, 242, 243, 244, 245, 247, 248, 25, 250, 251, 252, 254, 255, 256, 259, 26, 260, 262, 263, 264, 265, 266, 267, 268, 269, 27, 270, 271, 272, 273, 274, 276, 277, 278, 28, 280, 281, 282, 283, 284, 285, 286, 287, 289, 29, 290, 291, 292, 293, 294, 295, 298, 299, 30, 300, 301, 302, 303, 304, 305, 306, 307, 308, 309, 31310, 311, 312, 313, 314, 315, 316, 317, 318, 319, 32, 320, 321, 323, 324, 325, 328, 329, 33, 330, 331, 332, 333, 334, 335, 336, 337, 339, 34, 340, 341, 342, 343, 344, 345, 346, 347, 348, 349, 35, 350, 351, 352, 353, 354, 355, 356, 357, 358, 359, 36, 360, 361, 362, 364, 365, 366, 367, 368, 369, 37, 370, 371, 372, 373, 374, 375, 376, 377, 378, 379, 38, 380, 381, 382, 383, 385, 386, 387, 388, 389, 39, 392, 392, 395, 396, 397, 398, 399, 40, 400, 401, 402, 403, 404, 405, 407, 409, 41, 410, 411, 412, 413, 414, 415, 416, 417, 418, 419, 42, 420, 421, 422, 423, 424, 425, 426, 427, 428, 429, 43, 431, 432, 433, 434, 435, 436, 437, 438, 439, 44, 440, 441, 442, 443, 444, 447, 448, 449, 45, 450, 451, 452, 453, 457, 458, 459, 46, 460, 461, 463, 464, 466, 467, 469, 47, 470, 472, 473, 477, 478, 48, 480, 481, 483, 485, 486, 487, 488, 489, 49, 490, 491, 492, 493, 494, 495, 496, 50, 51, 52, 53, 54, 55, 57, 58, 59, 60, 61, 62, 63, 65, 66, 67, 68, 69, 70, 71, 72, 73, 74, 75, 76, 77, 78, 79, 80, 81, 82, 84, 85, 86, 87, 88, 89, 90, 91, 92, 93, 94, 95, 96, 97, 98, 99</t>
  </si>
  <si>
    <t xml:space="preserve">101, 102, 103, 104, 105, 106, 107, 108, 109, 110, 111, 112, 114, 115, 116, 117, 118, 119, 120, 121, 122, 123, 124, 125, 126, 127, 128, 129, 130, 131, 132, 133, 134, 135, 136, 137, 138, 139, 140, 142, 145, 146, 147, 148, 149, 150, 151, 153, 154, 156, 157, 158, 159, 160, 161, 162, 163, 164, 165, 166, 167, 170, 171, 172, 173, 174, 177, 178, 179, 180, 182, 183, 187, 188, 189, 190, 191, 192, 193, 194, 195, 196, 197, 198, 199, 200, 201, 202, 203, 204, 205, 206, 207, 208, 209, 21, 210, 211, 212, 213, 214, 215, 216, 221, 222, 223, 224, 225, 226, 227, 228, 229, 230, 231, 232, 236, 237, 24, 242, 243, 244, 245, 247, 248, 25, 250, 251, 252, 254, 255, 256, 259, 26, 260, 262, 263, 264, 265, 266, 267, 268, 269, 27, 270, 271, 272, 273, 274, </t>
  </si>
  <si>
    <t>132, 135, 137, 140, 147, 148, 150, 153</t>
  </si>
  <si>
    <t>22, 23, 275, 279, 390, 391, 445, 455, 456, 462, 476, 217, 219, 220, 233, 234, 235, 238, 240, 241, 249, 253, 257, 261, 275</t>
  </si>
  <si>
    <t>101, 102, 103, 104, 105, 106, 107, 108, 109, 110, 111, 112, 114, 115, 116, 117, 118, 119, 120, 121, 122, 123, 124, 125, 126, 127, 128, 129, 130, 131, 132, 133, 134, 135, 136, 137, 138, 139, 140, 142, 145, 146, 147, 148, 149, 150, 151, 153, 154, 156, 157, 158, 159, 160, 161, 162, 163, 164, 165, 166, 167, 170, 171, 172, 173, 174, 177, 178, 179, 180, 182, 183, 187, 188, 189, 190, 191, 192, 193, 194, 195, 196, 197, 198, 199, 200, 201, 202, 203, 204, 205, 206, 207, 208, 209, 21, 210, 211, 212, 213, 214, 215, 216, 22, 221, 222, 223, 224, 225, 226, 227, 228, 229, 23, 230, 231, 232, 236, 237, 24, 242, 243, 244, 245, 247, 248, 25, 250, 251, 252, 254, 255, 256, 259, 26, 260, 262, 263, 264, 265, 266, 267, 268, 269, 27, 270, 271, 272, 273, 274, 275, 276, 277, 278, 279, 28, 280, 281, 282, 283, 284, 285, 286, 287, 289, 29, 290, 291, 292, 293, 294, 295, 298, 299, 30, 300, 301, 302, 303, 304, 305, 306, 307, 308, 309, 31310, 311, 312, 313, 314, 315, 316, 317, 318, 319, 32, 320, 321, 323, 324, 325, 328, 329, 33, 330, 331, 332, 333, 334, 335, 336, 337, 339, 34, 340, 341, 342, 343, 344, 345, 346, 347, 348, 349, 35, 350, 351, 352, 353, 354, 355, 356, 357, 358, 359, 36, 360, 361, 362, 364, 365, 366, 367, 368, 369, 37, 370, 371, 372, 373, 374, 375, 376, 377, 378, 379, 38, 380, 381, 382, 383, 385, 386, 387, 388, 389, 39, 390, 391, 392, 392, 395, 396, 397, 398, 399, 40, 400, 401, 402, 403, 404, 405, 407, 409, 41, 410, 411, 412, 413, 414, 415, 416, 417, 418, 419, 42, 420, 421, 422, 423, 424, 425, 426, 427, 428, 429, 43, 431, 432, 433, 434, 435, 436, 437, 438, 439, 44, 440, 441, 442, 443, 444, 445, 447, 448, 449, 45, 450, 451, 452, 453, 455, 456, 457, 458, 459, 46, 460, 461, 462, 463, 464, 466, 467, 469, 47, 470, 472, 473, 476, 477, 478, 48, 480, 481, 483, 485, 486, 487, 488, 489, 49, 490, 491, 492, 493, 494, 495, 496, 50, 51, 52, 53, 54, 55, 57, 58, 59, 60, 61, 62, 63, 65, 66, 67, 68, 69, 70, 71, 72, 73, 74, 75, 76, 77, 78, 79, 80, 81, 82, 84, 85, 86, 87, 88, 89, 90, 91, 92, 93, 94, 95, 96, 97, 98, 99, 217, 219, 220, 233, 234, 235, 238, 240, 241, 249, 253, 257, 261, 275</t>
  </si>
  <si>
    <t>721</t>
  </si>
  <si>
    <t>10.3133/wsp721</t>
  </si>
  <si>
    <t>xi, 497 p. :ill. ;23 cm.</t>
  </si>
  <si>
    <t>4f4e4afee4b07f02db6978b9</t>
  </si>
  <si>
    <t>https://pubs.usgs.gov/publication/70220411</t>
  </si>
  <si>
    <t>70220411</t>
  </si>
  <si>
    <t>Investigations of underground water problems in Arizona, California, New Mexico, and Oregon</t>
  </si>
  <si>
    <t>10.1029/TR013i001p00308</t>
  </si>
  <si>
    <t>13</t>
  </si>
  <si>
    <t>3 p.</t>
  </si>
  <si>
    <t>308</t>
  </si>
  <si>
    <t>310</t>
  </si>
  <si>
    <t>Arizona, California, New Mexico, Oregon</t>
  </si>
  <si>
    <t>Piper, Arthur M.</t>
  </si>
  <si>
    <t>https://pubs.usgs.gov/publication/wsp736</t>
  </si>
  <si>
    <t>1588</t>
  </si>
  <si>
    <t>wsp736</t>
  </si>
  <si>
    <t>Surface water supply of the United States, 1932 : Part 11. Pacific slope basins in California</t>
  </si>
  <si>
    <t xml:space="preserve">24, 25, 26, 27, 28, 29, 30, 31, 32, 34, 35, 36, 37, 38, 39, 41, 42, 43, 44, 45, 53, 54, 55, 56, 57, 58, 59, 60, 61, 63, 65, 66, 67, 68, 69, 70, 71, 72, 74, 75, 76, 77, 80, 81, 84, 85, 86, 87, 88, 89, 90, 91, 92, 93, 94, 95, 97, 98, 99, 100, 103, 104, 105, 106, 107, 108, 109, 110, 111, 112, 113, 114, 115, 116, 117, 118, 119, 120, 121, 122, 123, 124, 125, 128, 129, 130, 131, 132, 133, 134, 135, 136, 137, 139, 140, 141, 142, 143, 145, 146, 147, 148, 150, 154, 155, 156, 157, 158, 159, 161, 163, 165, 166, 169, 171, 174, 175, 177, 179, 180, 182, 183, 186, 187, 188, 189, 190, 191, 193, 194, 195, 196, 197, 198, 200, 201, 203, 204, 206, 207, 208, 209, 210, 211, 213, 214, 218, 219, 220, 222, 223, 226, 227, 228, 229, 230, 231, 232, 233, 237, 241, 242, 243, 244, 247, 248, 249, 251, 252, 253, 256, 258, 259, 260, 261, 262, 267, 268, 269, 270, 271, 275, 276, 277, 278, 279, 280, 281, 282, 283, 284, 285, 286, 287, 288, 289, 290, 291, 292, 294, 295, 296, 297, 298, 299, 300, 301, 303, 304, 305, 306, 308, 309, 310, 312, 313, 314, 315, 316, 318, 319, 320, 321, 322, 324, 325, 326, 327, 329, 333, 335, 336, 337, 338, 339, 340, 342, 344, 345, 346, 347, 348, 350, 351, 253, 356, 360, 361, 364, 366, 369, 370, 372, 373, 374, 376, 377, 379, 382, 383, 384, 385, 386, 387, 388, 390, 396, 401, 402, 403, 404, 406, 407, 408, 412, 413, 414, 415, 417, 49, </t>
  </si>
  <si>
    <t>47, 49, 50, 51, 52, 78, 83, 152, 167, 266, 246, 245, 236, 235, 234, 274, 330, 343, 359, 393, 394, 399, 199, 334, 48, 64, 96, 263, 264, 265, 255</t>
  </si>
  <si>
    <t>79, 192, 202, 205, 212, 217, 221, 225, 240, 250, 254, 274, 311, 317, 367, 375, 381, 355, 353, 354, 357, 365, 255</t>
  </si>
  <si>
    <t>Canals (47, 49, 50, 51, 52, 78, 83, 152, 167, 266, 246, 245, 236, 235, 234, 274, 330, 343, 359, 393, 394, 399), Lake tunnels (199, 334), Pipe lines (48, 64, 96), Aqueducts (263, 264, 265, 255)</t>
  </si>
  <si>
    <t>24, 25, 26, 27, 28, 29, 30, 31, 32, 34, 35, 36, 37, 38, 39, 41, 42, 43, 44, 45, 53, 54, 55, 56, 57, 58, 59, 60, 61, 63, 65, 66, 67, 68, 69, 70, 71, 72, 74, 75, 76, 77, 79, 80, 81, 84, 85, 86, 87, 88, 89, 90, 91, 92, 93, 94, 95, 97, 98, 99, 100, 103, 104, 105, 106, 107, 108, 109, 110, 111, 112, 113, 114, 115, 116, 117, 118, 119, 120, 121, 122, 123, 124, 125, 128, 129, 130, 131, 132, 133, 134, 135, 136, 137, 139, 140, 141, 142, 143, 145, 146, 147, 148, 150, 154, 155, 156, 157, 158, 159, 161, 163, 165, 166, 169, 171, 174, 175, 177, 179, 180, 182, 183, 186, 187, 188, 189, 190, 191, 192, 193, 194, 195, 196, 197, 198, 200, 201, 202, 203, 204, 205, 206, 207, 208, 209, 210, 211, 212, 213, 214, 217, 218, 219, 220, 221, 222, 223, 225, 226, 227, 228, 229, 230, 231, 232, 233, 234, 235, 236, 237, 240, 241, 242, 243, 244, 245, 246, 247, 248, 249, 250, 251, 252, 253, 254, 256, 258, 259, 260, 261, 262, 267, 268, 269, 270, 271, 274, 275, 276, 277, 278, 279, 280, 281, 282, 283, 284, 285, 286, 287, 288, 289, 290, 291, 292, 294, 295, 296, 297, 298, 299, 300, 301, 303, 304, 305, 306, 308, 309, 310, 312, 313, 314, 315, 316, 317, 318, 319, 320, 321, 322, 324, 325, 326, 327, 329, 333, 335, 336, 337, 338, 339, 340, 342, 344, 345, 346, 347, 348, 350, 351, 253, 356, 360, 361, 364, 366, 367, 369, 370, 372, 373, 374, 375, 376, 377, 379, 381, 382, 383, 384, 385, 386, 387, 388, 390, 396, 401, 402, 403, 404, 406, 407, 408, 412, 413, 414, 415, 417, 353, 355, 357, 255, 47, 49, 50, 51, 52, 78, 83, 152, 167, 266, 246, 245, 236, 235, 234, 330, 343, 359, 393, 394, 399, 199, 334, 48, 64, 96, 263, 264, 265, 255</t>
  </si>
  <si>
    <t>736</t>
  </si>
  <si>
    <t>10.3133/wsp736</t>
  </si>
  <si>
    <t>1933</t>
  </si>
  <si>
    <t>xi, 415 p. :ill. ;23 cm.</t>
  </si>
  <si>
    <t>4f4e4afee4b07f02db69788d</t>
  </si>
  <si>
    <t>https://pubs.usgs.gov/publication/70220412</t>
  </si>
  <si>
    <t>70220412</t>
  </si>
  <si>
    <t>Notes on the relation between the moisture‐equivalent and the specific retention of water‐bearing materials</t>
  </si>
  <si>
    <t>Eos, American Geophysical Union</t>
  </si>
  <si>
    <t>10.1029/TR014i001p00481</t>
  </si>
  <si>
    <t>14</t>
  </si>
  <si>
    <t>487</t>
  </si>
  <si>
    <t>Mokelumne Area</t>
  </si>
  <si>
    <t>https://pubs.usgs.gov/publication/70220433</t>
  </si>
  <si>
    <t>70220433</t>
  </si>
  <si>
    <t>Fluctuations of water‐surface in observation‐wells and at stream gaging‐stations in the Mokelumne Area, California, during the earthquake of December 20, 1932</t>
  </si>
  <si>
    <t>10.1029/TR014i001p00471</t>
  </si>
  <si>
    <t>5 p.</t>
  </si>
  <si>
    <t>471</t>
  </si>
  <si>
    <t>475</t>
  </si>
  <si>
    <t>https://pubs.usgs.gov/publication/70220434</t>
  </si>
  <si>
    <t>70220434</t>
  </si>
  <si>
    <t>Appendix B—investigations of underground‐water problems in California, New Mexico, and Oregon</t>
  </si>
  <si>
    <t>10.1029/TR014i001p00374</t>
  </si>
  <si>
    <t>9 p.</t>
  </si>
  <si>
    <t>374</t>
  </si>
  <si>
    <t>377</t>
  </si>
  <si>
    <t>California, New Mexico, Oregon</t>
  </si>
  <si>
    <t>https://pubs.usgs.gov/publication/wsp751</t>
  </si>
  <si>
    <t>1592</t>
  </si>
  <si>
    <t>wsp751</t>
  </si>
  <si>
    <t>Surface water supply of the United States, 1933 : Part 11. Pacific slope basins in California</t>
  </si>
  <si>
    <t>100, 101, 102, 103, 107, 108, 109, 110, 111, 112, 113, 114, 115, 116, 117, 119, 120, 121, 122, 123, 124, 125, 126, 127, 128, 129, 130, 131, 132, 133, 134, 135, 136, 137, 138, 139, 141, 142, 145, 146, 148, 149, 150, 151, 152, 153, 156, 157, 158, 159, 161, 162, 163, 165, 166, 167, 168, 169, 170, 171, 172, 173, 174, 175, 179, 181, 182, 185, 186, 188, 189, 193, 194, 195, 196, 197, 198, 199, 200, 201, 203, 204, 205, 207, 208, 209, 211, 212, 213, 214, 215, 216, 217, 220, 222, 223, 224, 227, 228, 229, 231, 232, 234, 235, 238, 239, 24, 240, 241, 248, 25, 251, 254, 255, 256, 257, 258, 259, 26, 260, 261, 262, 263, 264, 265, 266, 267, 268, 269, 270, 271, 272, 274, 275, 276, 277, 278, 279, 28, 280, 282, 283, 284, 286, 287, 288, 289, 29, 290, 292, 293, 294, 295, 296, 297, 298, 299, 30, 300, 302, 303, 304, 306, 307, 309, 31, 310, 311, 313, 315, 316, 317, 319, 32, 320, 321, 322, 326, 33, 330, 331, 332, 333, 334, 336, 338, 339, 34, 341, 342, 344, 345, 346, 347, 348, 350, 351, 352, 353, 354, 355, 361, 365, 366, 367, 368, 369, 37, 370, 371, 373, 374, 375, 377, 378, 380, 39, 40, 41, 42, 43, 45, 46, 47, 50, 51, 52, 53, 54, 55, 56, 58, 59, 62, 63, 65, 66, 67, 68, 70, 71, 72, 75, 76, 77, 78, 79, 80, 82, 83, 84, 87, 89, 91, 96, 98, 99</t>
  </si>
  <si>
    <t>140, 150, 152, 154, 155, 183, 184, 191, 218, 219, 225, 226, 237, 242, 245, 246, 301, 305, 312, 314, 329, 357, 358, 360, 364, 37, 44, 47, 48, 49, 53, 57, 60, 64, 72, 73, 80, 85, 89, 90</t>
  </si>
  <si>
    <t>177, 187, 202, 210, 221, 253, 291, 323, 324, 325, 327, 335, 337, 343, 349, 356, 74</t>
  </si>
  <si>
    <t>100, 101, 102, 103, 107, 108, 109, 110, 111, 112, 113, 114, 115, 116, 117, 119, 120, 121, 122, 123, 124, 125, 126, 127, 128, 129, 130, 131, 132, 133, 134, 135, 136, 137, 138, 139, 140, 141, 142, 145, 146, 148, 149, 150, 151, 152, 153, 154, 155, 156, 157, 158, 159, 161, 162, 163, 165, 166, 167, 168, 169, 170, 171, 172, 173, 174, 175, 177, 179, 181, 182, 183, 184, 185, 186, 187, 188, 189, 191, 193, 194, 195, 196, 197, 198, 199, 200, 201, 202, 203, 204, 205, 207, 208, 209, 210, 211, 212, 213, 214, 215, 216, 217, 218, 219, 220, 221, 222, 223, 224, 225, 226, 227, 228, 229, 231, 232, 234, 235, 237, 238, 239, 24, 240, 241, 242, 245, 246, 248, 25, 251, 253, 254, 255, 256, 257, 258, 259, 26, 260, 261, 262, 263, 264, 265, 266, 267, 268, 269, 270, 271, 272, 274, 275, 276, 277, 278, 279, 28, 280, 282, 283, 284, 286, 287, 288, 289, 29, 290, 291, 292, 293, 294, 295, 296, 297, 298, 299, 30, 300, 301, 302, 303, 304, 305, 307, 309, 31, 310, 311, 312, 214, 313, 315, 316, 317, 319, 32, 320, 321, 322, 323, 324, 325, 326, 327, 329, 33, 330, 331, 332, 333, 334, 335, 336, 337, 338, 339, 34, 341, 342, 343, 344, 345, 346, 347, 348, 349, 350, 351, 352, 353, 354, 355, 356, 357, 358, 360, 361, 363, 364, 365, 366, 367, 368, 369, 37, 370, 371, 373, 374, 375, 377, 378, 380, 39, 40, 41, 42, 43, 44, 45, 46, 47, 48, 49, 50, 51, 52, 53, 54, 55, 56, 57, 58, 59, 60, 62, 63, 64, 65, 66, 67, 68, 70, 71, 72, 73, 74, 75, 76, 77, 78, 79, 80, 82, 83, 84, 85, 87, 89, 90, 91, 96, 98, 99</t>
  </si>
  <si>
    <t>751</t>
  </si>
  <si>
    <t>10.3133/wsp751</t>
  </si>
  <si>
    <t>1935</t>
  </si>
  <si>
    <t>xi, 376 p. :ill. ;23 cm.</t>
  </si>
  <si>
    <t>4f4e4afee4b07f02db697839</t>
  </si>
  <si>
    <t>https://pubs.usgs.gov/publication/70220435</t>
  </si>
  <si>
    <t>70220435</t>
  </si>
  <si>
    <t>Appendix B—Active ground‐water projects in California, Oregon, and Washington</t>
  </si>
  <si>
    <t>10.1029/TR016i002p00441</t>
  </si>
  <si>
    <t>443</t>
  </si>
  <si>
    <t>California, Oregon, Washington</t>
  </si>
  <si>
    <t>https://pubs.usgs.gov/publication/wsp791</t>
  </si>
  <si>
    <t>489</t>
  </si>
  <si>
    <t>wsp791</t>
  </si>
  <si>
    <t>Surface water supply of the United States, 1935 : Part 11. Pacific slope basins in California</t>
  </si>
  <si>
    <t>LL/TRS</t>
  </si>
  <si>
    <t>100-176, 178-186, 19, 188, 189, 191-196, 20, 198-201, 203, 204, 206-208, 21, 210-216, 22, 218-223, 23, 24, 225-239, 241-244, 25, 26, 246-267, 27, 269-275, 28, 29, 277-292, 30, 31, 32, 294-319, 321-325, 33, 327-331, 34, 333-338, 340-345, 35, 347-353, 355, 357, 36-66, 68-71, 73-99</t>
  </si>
  <si>
    <t>136-139, 144, 149, 165-171, 173-175, 179, 180, 185, 186, 188, 192, 195, 197, 198, 203,  204, 207, 208, 219, 223, 233, 234, 238, 240, 241-244, 251-255, 257-259, 262, 263, 265, 275, 277, 279, 282, 290, 292, 304, 305, 307, 308, 310, 315-318, 320, 324, 331, 334, 335, 337, 338, 341, 345, 348, 349, 350, 351, 353, 67</t>
  </si>
  <si>
    <t>100-176, 178-186, 19, 188, 189, 191-196, 20, 198-201, 203, 204, 206-208, 21, 210-216, 22, 218-223, 23, 24, 25, 26, 225-244, 246-267, 27, 269-275, 28, 29, 277-292, 30, 31, 32, 294-319, 321-325, 33, 327-331, 34, 333-338, 340-345, 35, 347-353, 36-66, 68-71, 73-99</t>
  </si>
  <si>
    <t>contents (177, 187, 190, 202, 205, 209, 217, 224, 240, 268, 276, 293, 320, 326, 332, 339, 246)</t>
  </si>
  <si>
    <t>Stream flow reports (14, 15),  Number of water supply papers containing results of stream measurements (16), Records of discharge collected by agencies other then Geological Survey (17), Elevation (332, 346)</t>
  </si>
  <si>
    <t xml:space="preserve">14, 15, 16, 17, 19-71, 73-244, 246-353, 355, 357, </t>
  </si>
  <si>
    <t>791</t>
  </si>
  <si>
    <t>10.3133/wsp791</t>
  </si>
  <si>
    <t>1936</t>
  </si>
  <si>
    <t>361 p. ;23 cm.</t>
  </si>
  <si>
    <t>4f4e4afee4b07f02db69770e</t>
  </si>
  <si>
    <t>https://pubs.usgs.gov/publication/wsp766</t>
  </si>
  <si>
    <t>1595</t>
  </si>
  <si>
    <t>wsp766</t>
  </si>
  <si>
    <t>Surface water supply of the United States, 1934 : Part 11. Pacific slope basins in California</t>
  </si>
  <si>
    <t xml:space="preserve">100, 101, 103, 104, 105, 106, 107, 108, 110, 111, 112, 113, 114, 115, 116, 117, 118, 119, 120, 121, 122, 123, 124, 125, 126, 127, 128, 129, 130, 131, 132, 133, 135, 138, 139, 140, 141, 142, 143, 144, 145, 146, 147, 148, 149, 150, 151, 154, 155, 156, 157, 158, 159, 160, 161, 162, 163, 164, 165, 166, 167, 168, 169, 170, 171, 172, 174, 175, 176, 177, 178, 181, 182, 184, 185, 188, 189, 190, 191, 192, 194, 195, 196, 197, 199, 200, 201, 203, 204, 205, 207, 208, 209, 210, 213, 215, 216, 219, 220, 222, 223, 224, 225, 226, 228, 229, 23, 230, 231, 232, 233, 234, 235, 237, 238, 24, 240, 242, 243, 244, 245, 246, 247, 248, 249, 25, 250, 251, 252, 253, 255, 256, 257, 258, 259, 26, 260, 261, 262, 263, 264, 265, 266, 267, 268, 269, 27, 270, 272, 273, 274, 275, 276, 277, 278, 28, 280, 281, 282, 283, 285, 287, 288, 29, 290, 291, 293, 294, 295, 30, 301, 302, 305, 306, 307, 309, 31, 310, 311, 312, 313, 317, 32, 321, 322, 323, 324, 325, 327, 329, 33, 330, 331, 332, 333, 336, 337, 338, 339, 34, 341, 343, 344, 345, 346, 35, 353, 356, 357, 358, 359, 360, 361, 363, 366, 367, 37, 38, 42, 45, 46, 49, 50, 51, 52, 53, 54, 55, 57, 59, 62, 63, 65, 66, 67, 69, 70, 71, 73, 76, 77, 78, 79, 80, 81, 82, 84, 85, 86, 87, 89, 90, 91, 92, 93, 94, 95, 96, 97, 98, 99, </t>
  </si>
  <si>
    <t xml:space="preserve">136, 137, 148, 150, 152, 153, 179, 180, 187, 211, 212, 217, 218, 227, 236, 241, 289, 292, 304, 319, 320, 348, 349, 350, 351, 352, 354, 43, 44, 46, 47, 48, 52, 56, 59, 60, 64, 72, 75, 83, 88, 326, </t>
  </si>
  <si>
    <t xml:space="preserve">173, 183, 186, 193, 198, 202, 206, 214, 221, 241, 271, 279, 296, 298, 299, 300, 316, 328, 334, 340, 347, 355, 314, 315, 318, 326, </t>
  </si>
  <si>
    <t>766</t>
  </si>
  <si>
    <t>10.3133/wsp766</t>
  </si>
  <si>
    <t>xi, 364 p. :ill. ;23 cm.</t>
  </si>
  <si>
    <t>4f4e4afee4b07f02db6977f0</t>
  </si>
  <si>
    <t>https://pubs.usgs.gov/publication/70212906</t>
  </si>
  <si>
    <t>70212906</t>
  </si>
  <si>
    <t>An interpretation of water‐table fluctuations at four wells in Southern California</t>
  </si>
  <si>
    <t>10.1029/TR017i002p00371</t>
  </si>
  <si>
    <t>8 p.</t>
  </si>
  <si>
    <t>371</t>
  </si>
  <si>
    <t>378</t>
  </si>
  <si>
    <t>https://pubs.usgs.gov/publication/70213007</t>
  </si>
  <si>
    <t>70213007</t>
  </si>
  <si>
    <t>The diurnal fluctuation in the ground‐water and flow of the Santa Ana River and its meaning</t>
  </si>
  <si>
    <t>10.1029/TR017i002p00496</t>
  </si>
  <si>
    <t>496</t>
  </si>
  <si>
    <t>504</t>
  </si>
  <si>
    <t>Santa Ana River</t>
  </si>
  <si>
    <t>Troxell, Harold C.</t>
  </si>
  <si>
    <t>https://pubs.usgs.gov/publication/wsp811</t>
  </si>
  <si>
    <t>499</t>
  </si>
  <si>
    <t>wsp811</t>
  </si>
  <si>
    <t>Surface water supply of the United States, 1936 : Part 11. Pacific slope basins in California</t>
  </si>
  <si>
    <t>100-146, 148-156, 158, 159, 161-165, 167-170, 172, 173, 175-177, 179-185, 19, 187-192, 20, 21, 194-209, 22, 23, 211-236, 24, 238-243, 25, 26, 245-261, 27, 28, 29, 263-290, 292-296, 30, 31, 298-302, 31, 304-309, 311-316, 32, 318-324, 326, 327, 33-62, 64-67, 69-99</t>
  </si>
  <si>
    <t>diversions (93)</t>
  </si>
  <si>
    <t>114-117, 121, 122, 129, 139, 140, 141, 143, 144, 149, 150, 155, 156, 159, 161, 164, 166, 170, 175, 176, 177, 180, 181, 187, 188, 200, 202, 207, 208, 210, 211, 212, 215, 220-224, 226-228, 230, 243, 245, 247, 250, 255, 259, 261, 275, 276, 278, 279, 281, 282, 284, 286-289, 291, 299, 302, 305, 306, 308, 316, 319, 321, 323, 324, 63</t>
  </si>
  <si>
    <t>100-146, 148-156, 158, 159, 161-165, 167-170, 172, 173, 175-177, 179-185, 19, 187-192, 20, 21, 194-209, 210, 22, 23, 211-236, 24, 238-243, 25, 26, 245-261, 27, 28, 29, 263-290, 292-296, 30, 298-302, 31, 304-309, 311-316, 32, 318-324, 33-62, 64-67, 69-99</t>
  </si>
  <si>
    <t>contents (147, 157, 160, 171, 174, 178, 186, 193, 210, 237, 244, 262, 297, 303, 310, 317</t>
  </si>
  <si>
    <t>Stream flow reports (14), Number of water supply papers containing results of stream measurements (16),  Records of discharge collected by agencies other then Geological Survey (17), Elevation (303, 317)</t>
  </si>
  <si>
    <t>14, 16, 17, 19, 20, 21, 22, 23, 24, 25, 26, 27, 28, 29, 30, 31, 32, 100-324, 326, 327, 33-99</t>
  </si>
  <si>
    <t>811</t>
  </si>
  <si>
    <t>10.3133/wsp811</t>
  </si>
  <si>
    <t>1937</t>
  </si>
  <si>
    <t>331 p. ;23 cm.</t>
  </si>
  <si>
    <t>4f4e4afee4b07f02db6976c3</t>
  </si>
  <si>
    <t>https://pubs.usgs.gov/publication/wsp679B</t>
  </si>
  <si>
    <t>3153</t>
  </si>
  <si>
    <t>wsp679B</t>
  </si>
  <si>
    <t>Thermal springs in the United States</t>
  </si>
  <si>
    <t>679</t>
  </si>
  <si>
    <t>10.3133/wsp679B</t>
  </si>
  <si>
    <t>Report: iv, 147 p.; 1 Plate: 29.00 x 20.00 inches</t>
  </si>
  <si>
    <t>175</t>
  </si>
  <si>
    <t>Stearns, Norah D.; Stearns, Harold T.; Waring, Gerald A.</t>
  </si>
  <si>
    <t>4f4e4a56e4b07f02db62dc25</t>
  </si>
  <si>
    <t>https://pubs.usgs.gov/publication/wsp831</t>
  </si>
  <si>
    <t>4537</t>
  </si>
  <si>
    <t>wsp831</t>
  </si>
  <si>
    <t>Surface water supply of the United States, 1937 : Part 11. Pacific slope basins in California</t>
  </si>
  <si>
    <t>831</t>
  </si>
  <si>
    <t>10.3133/wsp831</t>
  </si>
  <si>
    <t>1938</t>
  </si>
  <si>
    <t>vii, 358 p. ;23 cm.</t>
  </si>
  <si>
    <t>4f4e4afee4b07f02db6975bc</t>
  </si>
  <si>
    <t>https://pubs.usgs.gov/publication/wsp861</t>
  </si>
  <si>
    <t>1606</t>
  </si>
  <si>
    <t>wsp861</t>
  </si>
  <si>
    <t>Surface water supply of the United States, 1938 : Part 11. Pacific slope basins in California</t>
  </si>
  <si>
    <t>TRS/LL/CCS</t>
  </si>
  <si>
    <t>101, 102, 103, 104, 105, 106, 107, 108, 109, 110, 111, 112, 113, 114, 115, 116, 117, 118, 119, 120, 121, 122, 123, 124, 125, 126, 127, 129, 130, 131, 132, 133, 134, 135, 136, 137, 138, 139, 140, 141, 142, 143, 144, 145, 146, 147, 148, 149, 150, 151, 152, 153, 154, 155, 156, 157, 158, 159, 260, 161, 162, 165, 166, 167, 168, 169,170, 171, 172, 173, 174, 175, 176, 179, 180, 182, 183, 184, 185, 186, 187, 188, 189, 190, 191, 192, 193, 194, 195, 196, 198, 201, 202, 204, 205, 206, 211, 212, 213, 214, 215, 216, 22, 220, 221, 222, 223, 224, 226, 228, 229, 23, 230, 232, 233, 234, 235, 238, 24, 240, 242, 246, 247, 249, 25, 250, 251, 252, 253, 255, 256, 257, 258, 260, 261, 262, 263, 264, 265, 266, 267, 268, 269, 270, 271, 272, 273, 274, 275, 276, 277, 278, 28, 281, 282, 283, 284, 285, 286, 288, 289, 290, 292, 293, 294, 295, 296, 298, 299, 30, 300, 301, 302, 303, 304, 305, 306, 308, 309, 31, 310, 312, 313, 314, 316, 318, 319, 32, 321, 322, 323, 324, 325, 326, 327, 328, 33, 332, 335, 336, 337, 338, 339, 34, 341, 343, 344, 345, 346, 347, 349, 35, 350, 351, 352, 353, 355, 356, 357, 358, 359, 36, 366, 369, 37, 370, 371, 372, 373, 374, 38, 39, 40, 41, 42, 43, 44, 45, 46, 47, 48, 49, 50, 51, 52, 54, 55, 56, 59, 60, 61, 62, 63, 64, 65, 66, 68, 69, 70, 72, 73, 74, 75, 77, 78, 79, 80, 82, 83, 84, 85, 87, 88, 90, 91, 92, 93, 94, 95, 96, 97, 98, 99</t>
  </si>
  <si>
    <t xml:space="preserve">100, 163, 164, 175, 177, 178, 199, 200, 208, 209, 210, 236, 237, 243, 244, 245, 254, 259, 307, 311, 320, 334, 340, 361, 362, 363, 364, 368, 46, 53, 56, 57, 58, 62, 66, 67, 70, 71, 76, 85, 86, 89, 365, </t>
  </si>
  <si>
    <t xml:space="preserve">147, 148, 181, 197, 203, 207, 21, 217, 218, 219, 225, 227, 231, 239, 248, 26, 27, 29, 291, 297, 315, 317, 329, 330, 331, 333, 340, 342, 348, 354, 360, 367, 81, </t>
  </si>
  <si>
    <t>861</t>
  </si>
  <si>
    <t>10.3133/wsp861</t>
  </si>
  <si>
    <t>1939</t>
  </si>
  <si>
    <t>vii, 374 p. ;23 cm.</t>
  </si>
  <si>
    <t>4f4e4afee4b07f02db69756f</t>
  </si>
  <si>
    <t>https://pubs.usgs.gov/publication/wsp780</t>
  </si>
  <si>
    <t>2501</t>
  </si>
  <si>
    <t>wsp780</t>
  </si>
  <si>
    <t>Geology and ground-water hydrology of the Mokelumne area, California</t>
  </si>
  <si>
    <t>780</t>
  </si>
  <si>
    <t>10.3133/wsp780</t>
  </si>
  <si>
    <t>Washington</t>
  </si>
  <si>
    <t>Report: vii, 230 p.; 8 Plates: 52.32 x 43.46 and smaller</t>
  </si>
  <si>
    <t>257</t>
  </si>
  <si>
    <t>Calaveras River;California Trough;Cosumnes River;Dry Creek;Mokelumne River;Sierra Nevada</t>
  </si>
  <si>
    <t>500000</t>
  </si>
  <si>
    <t>Piper, A. M.; Gale, H. S.; Thomas, H. E.; Robinson, T. W.</t>
  </si>
  <si>
    <t>4f4e4adce4b07f02db6864a1</t>
  </si>
  <si>
    <t>https://pubs.usgs.gov/publication/wsp881</t>
  </si>
  <si>
    <t>1607</t>
  </si>
  <si>
    <t>wsp881</t>
  </si>
  <si>
    <t>Surface water supply of the United States, 1939 : Part 11. Pacific slope basins in California</t>
  </si>
  <si>
    <t>881</t>
  </si>
  <si>
    <t>10.3133/wsp881</t>
  </si>
  <si>
    <t>1940</t>
  </si>
  <si>
    <t>xii, 446 p. :ill. ;23 cm.</t>
  </si>
  <si>
    <t>4f4e4afee4b07f02db697505</t>
  </si>
  <si>
    <t>https://pubs.usgs.gov/publication/wsp847</t>
  </si>
  <si>
    <t>2987</t>
  </si>
  <si>
    <t>wsp847</t>
  </si>
  <si>
    <t>Maximum discharges at stream-measurement stations through December 31, 1937, with a supplement including additions and changes through September 30, 1938</t>
  </si>
  <si>
    <t>847</t>
  </si>
  <si>
    <t>10.3133/wsp847</t>
  </si>
  <si>
    <t>iii, 272 p.</t>
  </si>
  <si>
    <t>276</t>
  </si>
  <si>
    <t>Williams, Gordon R.; Crawford, Lawrence C.; Eisenlohr, William Stewart Jr.</t>
  </si>
  <si>
    <t>4f4e4a27e4b07f02db6100fa</t>
  </si>
  <si>
    <t>https://pubs.usgs.gov/publication/wsp901</t>
  </si>
  <si>
    <t>1609</t>
  </si>
  <si>
    <t>wsp901</t>
  </si>
  <si>
    <t>Surface water supply of the United States, 1940 : Part 11. Pacific slope basins in California</t>
  </si>
  <si>
    <t>901</t>
  </si>
  <si>
    <t>10.3133/wsp901</t>
  </si>
  <si>
    <t>1941</t>
  </si>
  <si>
    <t>viii, 377 p. :ill. ;23 cm.</t>
  </si>
  <si>
    <t>4f4e4afee4b07f02db697410</t>
  </si>
  <si>
    <t>https://pubs.usgs.gov/publication/70213281</t>
  </si>
  <si>
    <t>70213281</t>
  </si>
  <si>
    <t>Fluctuations of water‐level in wells in the Los Angeles basin, California, during five strong earthquakes, 1933–1940</t>
  </si>
  <si>
    <t>10.1029/TR022i002p00374-2</t>
  </si>
  <si>
    <t>22</t>
  </si>
  <si>
    <t>13 p.</t>
  </si>
  <si>
    <t>386</t>
  </si>
  <si>
    <t>LaRocque, G.A. Jr.</t>
  </si>
  <si>
    <t>https://pubs.usgs.gov/publication/wsp931</t>
  </si>
  <si>
    <t>4538</t>
  </si>
  <si>
    <t>wsp931</t>
  </si>
  <si>
    <t>Surface water supply of the United States, 1941 : Part 11. Pacific slope basins in California</t>
  </si>
  <si>
    <t>931</t>
  </si>
  <si>
    <t>10.3133/wsp931</t>
  </si>
  <si>
    <t>1942</t>
  </si>
  <si>
    <t>viii, 417 p. ;23 cm.</t>
  </si>
  <si>
    <t>4f4e4afee4b07f02db697386</t>
  </si>
  <si>
    <t>https://pubs.usgs.gov/publication/ofr4217</t>
  </si>
  <si>
    <t>55397</t>
  </si>
  <si>
    <t>ofr4217</t>
  </si>
  <si>
    <t>Geological maps of Eagle Mountains iron ore deposits, Riverside County, California</t>
  </si>
  <si>
    <t>Open-File Report</t>
  </si>
  <si>
    <t>42-17</t>
  </si>
  <si>
    <t>2331-1258</t>
  </si>
  <si>
    <t>0196-1497</t>
  </si>
  <si>
    <t>10.3133/ofr4217</t>
  </si>
  <si>
    <t>3 maps</t>
  </si>
  <si>
    <t>Hadley, J. B.; Littleton, R. T.</t>
  </si>
  <si>
    <t>4f4e4adee4b07f02db6874cc</t>
  </si>
  <si>
    <t>https://pubs.usgs.gov/publication/ofr425</t>
  </si>
  <si>
    <t>55438</t>
  </si>
  <si>
    <t>ofr425</t>
  </si>
  <si>
    <t>Chromite deposits on North Elder Creek, Tehama County, California</t>
  </si>
  <si>
    <t>42-5</t>
  </si>
  <si>
    <t>10.3133/ofr425</t>
  </si>
  <si>
    <t>Rynearson, G.A.; Littleton, R. T.</t>
  </si>
  <si>
    <t>4f4e49dde4b07f02db5e233f</t>
  </si>
  <si>
    <t>https://pubs.usgs.gov/publication/ofr426</t>
  </si>
  <si>
    <t>55448</t>
  </si>
  <si>
    <t>ofr426</t>
  </si>
  <si>
    <t>Geologic map of McGuffy Creek area, Siskiyou County, California</t>
  </si>
  <si>
    <t>42-6</t>
  </si>
  <si>
    <t>10.3133/ofr426</t>
  </si>
  <si>
    <t>3 p.; 1 map</t>
  </si>
  <si>
    <t>Livermore, J.S.; Gros, F.C.; French, L. H. III</t>
  </si>
  <si>
    <t>4f4e4b12e4b07f02db6a2d14</t>
  </si>
  <si>
    <t>https://pubs.usgs.gov/publication/70213071</t>
  </si>
  <si>
    <t>70213071</t>
  </si>
  <si>
    <t>Runoff in the Santa Ynez River Basin, California, following the excessive rainfall of 1940–41</t>
  </si>
  <si>
    <t>10.1029/TR023i001p00124</t>
  </si>
  <si>
    <t>23</t>
  </si>
  <si>
    <t>124</t>
  </si>
  <si>
    <t>129</t>
  </si>
  <si>
    <t>Santa Ynez River</t>
  </si>
  <si>
    <t>https://pubs.usgs.gov/publication/wsp961</t>
  </si>
  <si>
    <t>553</t>
  </si>
  <si>
    <t>wsp961</t>
  </si>
  <si>
    <t>Surface water supply of the United States, 1942 : Part 11. Pacific slope basins in California</t>
  </si>
  <si>
    <t>100-151, 153-183, 185-198, 200-204, 206, 207, 209-217, 22, 219-222, 224,  23, 226-229, 24, 231-238, 25, 240-250, 26, 27, 28, 29, 30, 252-301, 31, 32, 303-321, 33, 34, 35, 323-348, 36, 350-361, 37, 363-369, 371-374, 38, 39, 376-388, 40-79, 81-99</t>
  </si>
  <si>
    <t>diversions (115, 294, 69, 70)</t>
  </si>
  <si>
    <t>152, 157, 163, 166, 168, 169, 171, 173-176, 185, 186, 188, 189-196, 200, 203, 204, 207, 210, 212, 213, 222,  226, 228, 229, 231, 232, 233, 237, 238, 240-244, 250, 252, 253, 258, 259, 263, 264, 265, 266, 269, 271, 272, 276, 277-282, 285, 289, 294, 295, 296, 298, 299, 300, 301, 303-305, 307, 308-310, 312, 315, 316, 318-321, 325-327, 329, 330, 332, 333, 335, 337-340, 344-346, 349, 351-354, 356, 358, 360, 363-365, 368, 374, 376, 382, 384, 387, 388</t>
  </si>
  <si>
    <t>100-151, 153-183, 185-198, 200-204, 206, 209-217, 22, 219-222, 224, 23, 226-229, 24, 231-238, 25, 240-250, 26, 27, 28, 29, 30, 252-301, 31, 303-312, 32, 314-321, 33, 34, 35, 323-348, 36, 350-361, 37, 363-369, 371-374, 38, 39, 376-388, 40-79, 81-99</t>
  </si>
  <si>
    <t>contents/change in contents (152, 199, 205, 208, 218, 223, 225, 230, 239, 250, 265, 293, 302, 322, 362, 370, 375, 80)</t>
  </si>
  <si>
    <t>62 (inflow)</t>
  </si>
  <si>
    <t>Stream flow reports (15), Elevation (152, 184, 199, 205, 208, 218, 223, 225, 230, 239, 250, 293, 302, 322, 362, 370, 375, 80), Reports containing compilation of records of discharge (17, 18, 19, 20)</t>
  </si>
  <si>
    <t>15, 17, 18, 19, 20, 22, 23, 24, 25, 26, 27, 28, 29, 30, 31, 32, 33, 34, 35, 36, 37, 38, 39, 40-99, 100-388</t>
  </si>
  <si>
    <t>961</t>
  </si>
  <si>
    <t>10.3133/wsp961</t>
  </si>
  <si>
    <t>1943</t>
  </si>
  <si>
    <t>viii, 391 p. ;23 cm.</t>
  </si>
  <si>
    <t>4f4e4afee4b07f02db697370</t>
  </si>
  <si>
    <t>https://pubs.usgs.gov/publication/ofr4338</t>
  </si>
  <si>
    <t>55447</t>
  </si>
  <si>
    <t>ofr4338</t>
  </si>
  <si>
    <t>Chromite deposits of Little Castle Creek area, Shasta and Siskiyou Counties, California</t>
  </si>
  <si>
    <t>43-38</t>
  </si>
  <si>
    <t>10.3133/ofr4338</t>
  </si>
  <si>
    <t>6 maps on 5 sheets</t>
  </si>
  <si>
    <t>Hawkes, H.W.; Wheller, D.P.; Livermore, J.S.</t>
  </si>
  <si>
    <t>4f4e49dde4b07f02db5e2475</t>
  </si>
  <si>
    <t>https://pubs.usgs.gov/publication/ofr4331</t>
  </si>
  <si>
    <t>55545</t>
  </si>
  <si>
    <t>ofr4331</t>
  </si>
  <si>
    <t>Water-power resources of Mill Creek and Deer Creek, California</t>
  </si>
  <si>
    <t>43-31</t>
  </si>
  <si>
    <t>10.3133/ofr4331</t>
  </si>
  <si>
    <t>64 p. :ill.; 7 maps</t>
  </si>
  <si>
    <t>4f4e49e6e4b07f02db5e72db</t>
  </si>
  <si>
    <t>https://pubs.usgs.gov/publication/70047721</t>
  </si>
  <si>
    <t>70047721</t>
  </si>
  <si>
    <t>USGS Unnumbered Series</t>
  </si>
  <si>
    <t>Preliminary report on water storage capacity of unconsolidated deposits beneath the Lompoc Plain, Santa Barbara County, California</t>
  </si>
  <si>
    <t>10.3133/70047721</t>
  </si>
  <si>
    <t>39 p.</t>
  </si>
  <si>
    <t>64</t>
  </si>
  <si>
    <t>Santa Barbara County</t>
  </si>
  <si>
    <t>Lompoc Plain</t>
  </si>
  <si>
    <t>Upson, Joseph E.</t>
  </si>
  <si>
    <t>52148fe4e4b06d85e08fb50e</t>
  </si>
  <si>
    <t>https://pubs.usgs.gov/publication/wsp918</t>
  </si>
  <si>
    <t>1276</t>
  </si>
  <si>
    <t>wsp918</t>
  </si>
  <si>
    <t>Summary of records of surface waters at base stations in Colorado River Basin, 1891-1938</t>
  </si>
  <si>
    <t>100-105, 108-162, 164-166, 167-182, 186-209, 212-223, 225-256, 263-287, 35-66, 68-72, 74-99</t>
  </si>
  <si>
    <t>100-105, 108-162, 167-182, 186-209, 212-223, 225-256, 263-287, 35-66, 68-99</t>
  </si>
  <si>
    <t>Elevation (224, 289), Water supply/stremflow papers (20, 21, 22, 23, 24, 25, 26, 27, 28, 29-33, 34)</t>
  </si>
  <si>
    <t>100-105, 108-162, 164-182, 186-209, 212-256, 263-289, 30-66, 68-72, 74-99</t>
  </si>
  <si>
    <t>918</t>
  </si>
  <si>
    <t>10.3133/wsp918</t>
  </si>
  <si>
    <t>1944</t>
  </si>
  <si>
    <t>Report: iv, 274 p.; Plate: 20.69 x 27.73 inches</t>
  </si>
  <si>
    <t>292</t>
  </si>
  <si>
    <t>Colorado River Basin</t>
  </si>
  <si>
    <t>Dickinson, W.E.</t>
  </si>
  <si>
    <t>4f4e4b03e4b07f02db698f62</t>
  </si>
  <si>
    <t>https://pubs.usgs.gov/publication/wsp981</t>
  </si>
  <si>
    <t>1610</t>
  </si>
  <si>
    <t>wsp981</t>
  </si>
  <si>
    <t>Surface water supply of the United States, 1943 : Part 11. Pacific slope basins in California</t>
  </si>
  <si>
    <t>981</t>
  </si>
  <si>
    <t>10.3133/wsp981</t>
  </si>
  <si>
    <t>viii, 413 p. :ill. ;23 cm.</t>
  </si>
  <si>
    <t>4f4e4afee4b07f02db69729a</t>
  </si>
  <si>
    <t>https://pubs.usgs.gov/publication/oc6</t>
  </si>
  <si>
    <t>68716</t>
  </si>
  <si>
    <t>oc6</t>
  </si>
  <si>
    <t>Tertiary and Late Upper Cretaceous stratigraphy of west border of San Joaquin Valley, north of Panoche Creek, Fresno, Merced and Stanislaus counties, California</t>
  </si>
  <si>
    <t>Oil and Gas Investigation Chart</t>
  </si>
  <si>
    <t>10.3133/oc6</t>
  </si>
  <si>
    <t>1 wall chart ;100 x 149 cm.</t>
  </si>
  <si>
    <t>84000</t>
  </si>
  <si>
    <t>Stewart, Ralph; Popenoe, W.P.; Snavely, Parke Detweiler Jr.</t>
  </si>
  <si>
    <t>4f4e4ad9e4b07f02db685069</t>
  </si>
  <si>
    <t>https://pubs.usgs.gov/publication/70215112</t>
  </si>
  <si>
    <t>70215112</t>
  </si>
  <si>
    <t>Variations in chemical composition of Los Angeles Basin ground waters</t>
  </si>
  <si>
    <t>Economic Geology</t>
  </si>
  <si>
    <t>10.2113/gsecongeo.39.4.315</t>
  </si>
  <si>
    <t>Society of Economic Geologist</t>
  </si>
  <si>
    <t>4 p.</t>
  </si>
  <si>
    <t>315</t>
  </si>
  <si>
    <t>318</t>
  </si>
  <si>
    <t>Poland, J. F.</t>
  </si>
  <si>
    <t>https://pubs.usgs.gov/publication/70215116</t>
  </si>
  <si>
    <t>70215116</t>
  </si>
  <si>
    <t>Differences in basin‐characteristics as reflected by precipitation‐runoff relations in San Bernardino and Eastern San Gabriel Mountain drainages</t>
  </si>
  <si>
    <t>10.1029/TR025i001p00021</t>
  </si>
  <si>
    <t>25</t>
  </si>
  <si>
    <t>15 p.</t>
  </si>
  <si>
    <t>21</t>
  </si>
  <si>
    <t>San Bernardino and Eastern San Gabriel Mountain</t>
  </si>
  <si>
    <t>Stafford, H.M.; Troxell, H.C.</t>
  </si>
  <si>
    <t>https://pubs.usgs.gov/publication/wsp1011</t>
  </si>
  <si>
    <t>573</t>
  </si>
  <si>
    <t>wsp1011</t>
  </si>
  <si>
    <t>Surface water supply of the United States, 1944, Part XI, Pacific slope basins in California</t>
  </si>
  <si>
    <t>LL/CCS</t>
  </si>
  <si>
    <t>100-158, 160-164, 166-188, 190-201, 204-206, 208-213, 215, 216, 22, 218-227, 23, 229-232, 234, 24, 236-239, 241-248, 25, 26, 250-258, 260, 27, 262-267, 269-276, 28, 30, 280-306, 308-315, 317-324, 33, 326-334, 34, 336-341, 35, 343-349, 36, 37, 351-355, 357-372, 38, 375-381, 39, 383-400, 40, 405, 41-99</t>
  </si>
  <si>
    <t>diversions (117, 35, 384)</t>
  </si>
  <si>
    <t>173-175, 180-181, 191, 193-201, 204, 205, 208, 211, 212, 215, 216, 222-227, 229, 232, 236, 238, 239, 241-243, 247, 248, 250, 252-254, 262-264, 269-271, 273, 274, 275, 281-283, 288, 289, 293-303, 308-315, 317-319, 321-324, 327, 328, 330, 331, 332, 334, 336, 338, 347, 351, 352, 357, 358, 361, 364, 365, 367-369, 377, 380, 381, 386, 395-400</t>
  </si>
  <si>
    <t>100-158, 160-164, 166-188, 190-200, 204-206, 208-211, 213, 215, 216, 22, 218-227, 23, 229-232, 234, 24, 236-239, 241-248, 25, 26, 250-258, 260, 27, 262-267, 269-276, 28, 280-288, 30, 292-306, 308-315, 317-324, 33, 326-334, 34, 336-341, 35, 343-349, 36, 351-355, 357-360, 37, 362-372, 38, 375-381, 39, 383-400, 40-99</t>
  </si>
  <si>
    <t>contents/change in contents (159, 203, 207, 214, 217, 228, 233, 235, 240, 249, 261, 275, 277, 278, 279, 307, 316, 335, 373, 374, 382)</t>
  </si>
  <si>
    <t>384</t>
  </si>
  <si>
    <t>Stream flow reports (15), Elevation (159, 189, 203, 207,  214, 217, 228, 233, 235, 240, 249, 261, 277, 279, 307, 316, 335, 373, 374, 382, 77),  Number of water supply papers containing results of stream measurements (16), Reports containing compilation of records of discharge (17, 18, 19, 20)</t>
  </si>
  <si>
    <t>15, 16, 17, 18, 19, 20, 100-164, 166-201, 22, 203-225, 23, 24, 25, 26, 227-258, 27, 260-267, 28, 30, 269-324, 33, 34, 326-341, 35, 343-349, 351-355, 36, 37, 38, 357-386, 39, 388-400, 405, 40, 41-99</t>
  </si>
  <si>
    <t>1011</t>
  </si>
  <si>
    <t>10.3133/wsp1011</t>
  </si>
  <si>
    <t>1945</t>
  </si>
  <si>
    <t>viii, 405 p. ;23 cm.</t>
  </si>
  <si>
    <t>4f4e4afde4b07f02db69705d</t>
  </si>
  <si>
    <t>https://pubs.usgs.gov/publication/wsp967A</t>
  </si>
  <si>
    <t>1422</t>
  </si>
  <si>
    <t>wsp967A</t>
  </si>
  <si>
    <t>Notable local floods of 1939: Part 1: Floods of September 1939 in Colorado River Basin below Boulder Dam</t>
  </si>
  <si>
    <t>30, 31, 33, 35, 36, 37, 38, 39, 40, 42, 43, 45</t>
  </si>
  <si>
    <t>30, 35, 38, 39, 42, 45</t>
  </si>
  <si>
    <t>14-18</t>
  </si>
  <si>
    <t>48</t>
  </si>
  <si>
    <t>Cost of flood damage (20), Elevation (31-34, 36, 37, 48), Drainage area (45)</t>
  </si>
  <si>
    <t>14-18, 20, 30-40, 42, 43, 45, 48</t>
  </si>
  <si>
    <t>967</t>
  </si>
  <si>
    <t>10.3133/wsp967A</t>
  </si>
  <si>
    <t>Report: iv, 39 p.; 4 Plates: 11.27 x 8.29 inches or smaller</t>
  </si>
  <si>
    <t>Arizona, California, Nevada, Utah</t>
  </si>
  <si>
    <t>Gatewood, Joseph Strong</t>
  </si>
  <si>
    <t>4f4e4afde4b07f02db696b54</t>
  </si>
  <si>
    <t>https://pubs.usgs.gov/publication/ofr4513</t>
  </si>
  <si>
    <t>53770</t>
  </si>
  <si>
    <t>ofr4513</t>
  </si>
  <si>
    <t>The Temescal Tin District, Riverside County, California</t>
  </si>
  <si>
    <t>45-13</t>
  </si>
  <si>
    <t>10.3133/ofr4513</t>
  </si>
  <si>
    <t>29 p.</t>
  </si>
  <si>
    <t>Page, L. R.; Thayer, T. P.</t>
  </si>
  <si>
    <t>4f4e4ac6e4b07f02db67a8b3</t>
  </si>
  <si>
    <t>https://pubs.usgs.gov/publication/ofr4596</t>
  </si>
  <si>
    <t>55471</t>
  </si>
  <si>
    <t>ofr4596</t>
  </si>
  <si>
    <t>Pine Creek and Adamson tungsten mines, Inyo County, California</t>
  </si>
  <si>
    <t>45-96</t>
  </si>
  <si>
    <t>10.3133/ofr4596</t>
  </si>
  <si>
    <t>25 maps</t>
  </si>
  <si>
    <t>Bateman, P. C.</t>
  </si>
  <si>
    <t>4f4e4b16e4b07f02db6a54cd</t>
  </si>
  <si>
    <t>https://pubs.usgs.gov/publication/b945G</t>
  </si>
  <si>
    <t>35690</t>
  </si>
  <si>
    <t>b945G</t>
  </si>
  <si>
    <t>Chromite deposits of the North Elder Creek area, Tehama County, California</t>
  </si>
  <si>
    <t>945</t>
  </si>
  <si>
    <t>G</t>
  </si>
  <si>
    <t>10.3133/b945G</t>
  </si>
  <si>
    <t>1946</t>
  </si>
  <si>
    <t>Report: iv, 20 p.; 6 Plates: 39.50 × 18.00 inches</t>
  </si>
  <si>
    <t>Strategic minerals investigations, 1944</t>
  </si>
  <si>
    <t>Tehama County</t>
  </si>
  <si>
    <t>North Elder Creek area</t>
  </si>
  <si>
    <t>Rynearson, Garn A.</t>
  </si>
  <si>
    <t>4f4e49dae4b07f02db5e04a6</t>
  </si>
  <si>
    <t>https://pubs.usgs.gov/publication/wsp1049</t>
  </si>
  <si>
    <t>wsp1049</t>
  </si>
  <si>
    <t>Summary of records of surface waters at stations on tributaries in lower Colorado River Basin, 1888-1938</t>
  </si>
  <si>
    <t>LL / TRS</t>
  </si>
  <si>
    <t>100-202, 207-265, 35, 36, 37, 38, 39, 40, 41, 42, 43, 44, 45, 46, 47, 267-339, 341-408, 410-444, 446-470, 48, 471-483, 49-74, 77, 81, 82, 85-99</t>
  </si>
  <si>
    <t>100-202, 207-265, 35, 36, 37, 38, 39, 40, 41, 42, 43, 44, 45, 46, 47, 267-339, 341-408, 410-444, 446-470, 48, 472-483, 49-62, 66-74, 77, 81, 82, 85-99</t>
  </si>
  <si>
    <t>diversions (177, 199, 36, 37, 38, 39, 418, 419, 420, 421, 458, 460, 461, 63-65, ) return/combined flow (75-81)</t>
  </si>
  <si>
    <t>100-202, 210-265, 35, 36, 37, 38, 39, 267-339, 40, 41, 42, 43, 44, 45, 46, 47, 341-408, 410-444, 447-470, 48, 472-483, 49-62, 77-82, 85-99</t>
  </si>
  <si>
    <t>contents/change in contents (203-205, 409, 410)</t>
  </si>
  <si>
    <t>Gaging stations (10-34), Elevation (203, 84)</t>
  </si>
  <si>
    <t>10, 11, 12, 13, 14, 15, 16, 17, 18, 19. 20, 100-205, 21, 22, 23, 24, 25, 26, 207-265, 27, 28, 29, 30, 31, 32, 33, 34, 267-339, 35, 36, 37, 38, 39, 341-394, 40, 41, 42, 43, 44, 396-444, 45, 46, 47, 48, 446-483, 49-82, 84-99</t>
  </si>
  <si>
    <t>1049</t>
  </si>
  <si>
    <t>10.3133/wsp1049</t>
  </si>
  <si>
    <t>1947</t>
  </si>
  <si>
    <t>iv, 486 p.</t>
  </si>
  <si>
    <t>4f4e4b04e4b07f02db699054</t>
  </si>
  <si>
    <t>https://pubs.usgs.gov/publication/wsp1041</t>
  </si>
  <si>
    <t>583</t>
  </si>
  <si>
    <t>wsp1041</t>
  </si>
  <si>
    <t>Surface water supply of the United States, 1945, Part XI, Pacific slope basins in California</t>
  </si>
  <si>
    <t>100-164, 166-198, 200-209, 211-213, 22, 23, 215-233, 24, 235-237, 240, 241, 25, 26, 243-264, 27, 266-271, 273-275, 277, 28, 279-282, 29, 284-291, 30, 293-306, 31, 32, 308-323, 325, 33, 34, 35, 328-353, 36, 355-362, 364-369, 37, 38, 371-377, 379-387, 39, 40, 41, 389-417, 42, 43, 419-433, 44, 436-442, 45, 444-461, 463-465, 47-99</t>
  </si>
  <si>
    <t>diversions (122, 355, 36)</t>
  </si>
  <si>
    <t>173, 175, 177, 180, 183, 187, 189-191, 205, 206, 208, 209, 211-213, 215, 221, 231, 237, 240, 241, 247, 262-264, 266, 267, 271, 275, 277, 279, 281, 282, 284-287, 291, 293, 295-297, 302-304, 306, 308-310, 314, 315, 319, 320, 325, 329, 330, 332, 335-342, 344-351, 356-362, 364, 365, 367-369, 372, 373, 377, 381, 384, 387, 389, 391, 392, 395, 397, 402, 405, 406, 410-412, 414, 418, 425-427, 43, 429, 436, 438, 441, 442, 447, 456-461</t>
  </si>
  <si>
    <t>100-140, 142, 144-164, 166-174, 176-198, 200-209, 211-213, 215, 22, 219, 220, 224, 228, 23, 229-233, 24, 235-237, 240, 241, 25, 243-248, 251, 252, 255, 256, 26, 260-264, 266, 27, 270, 271, 274, 275, 277, 28, 279-282, 29, 284-291, 30, 293-303, 305, 306, 31, 32, 308-320, 322, 323, 325, 33, 34, 35, 328-353, 36, 355-362, 364-369, 37, 38, 371-377, 379, 380, 383, 386, 387, 39, 40, 389-399, 41, 401-413, 416, 417, 42, 419,422-433, 44, 436-442, 45, 46, 444-461, 47-99</t>
  </si>
  <si>
    <t>contents/change in contents (165, 214, 233, 239, 242, 265, 276, 278, 283, 292, 307, 323, 326, 327, 354, 363, 388, 434, 435, 443)</t>
  </si>
  <si>
    <t>Stream flow reports (15), Elevation (165, 199, 214, 233, 239, 242, 265, 276, 278, 283, 292, 307, 327, 354, 363, 388, 434, 435, 443),  Reports containing compilation of records of discharge (17, 18, 19, 20, 21)</t>
  </si>
  <si>
    <t>15, 17, 18, 19, 20, 21, 100-209, 22, 23, 211-233, 24, 235-237, 25, 26, 27, 239-271, 28, 29, 273-289, 30, 31, 32, 291-323, 33, 34, 35, 36, 37, 325-369, 38, 39, 40, 41, 42, 43, 44, 45, 46, 371-461, 463, 47, 464, 465, 48-99</t>
  </si>
  <si>
    <t>1041</t>
  </si>
  <si>
    <t>10.3133/wsp1041</t>
  </si>
  <si>
    <t>viii, 469 p. ;23 cm.</t>
  </si>
  <si>
    <t>4f4e4afde4b07f02db696e57</t>
  </si>
  <si>
    <t>https://pubs.usgs.gov/publication/ofr4733</t>
  </si>
  <si>
    <t>57120</t>
  </si>
  <si>
    <t>ofr4733</t>
  </si>
  <si>
    <t>Geology of San Antonio Canyon, California, in relation to ground-water storage</t>
  </si>
  <si>
    <t>47-33</t>
  </si>
  <si>
    <t>10.3133/ofr4733</t>
  </si>
  <si>
    <t>Report: 41 p.; 2 Plates: 10.49 x 3.95 inches and 7.23 x 10.49 inches</t>
  </si>
  <si>
    <t>41</t>
  </si>
  <si>
    <t>San Bernardino County</t>
  </si>
  <si>
    <t>San Antonio Canyon</t>
  </si>
  <si>
    <t>Dennis, P. Eldon</t>
  </si>
  <si>
    <t>5355946ee4b0120853e8bfd4</t>
  </si>
  <si>
    <t>https://pubs.usgs.gov/publication/wsp1061</t>
  </si>
  <si>
    <t>593</t>
  </si>
  <si>
    <t>wsp1061</t>
  </si>
  <si>
    <t>Surface water supply of the United States, 1946, Part XI, Pacific slope basins in California</t>
  </si>
  <si>
    <t>100-166, 168-186, 188-198, 200-213, 215-221, 223-227, 229, 230, 232-246, 25, 248-252, 254, 257-259, 26, 261-268, 27, 28, 270-279, 281, 282, 29, 30, 284-301, 31, 32, 33, 303-328, 330-337, 34, 35, 36, 339-357, 37, 38, 359-383, 39, 385-396, 40, 399-405, 41, 407-410, 42, 43, 412, 430, 432, 44-67, 69-99</t>
  </si>
  <si>
    <t>diversions (330)</t>
  </si>
  <si>
    <t>175, 177, 178, 181, 188-190, 201, 202, 205, 206, 208, 209-213, 215, 223, 226, 227, 229, 230, 235, 239, 243-246, 248, 251, 254, 258, 259, 261-264, 268, 270, 272-274, 279, 281, 284-286, 290-293, 296, 298, 300, 301, 304, 305, 307, 310-325, 331, 332, 335-337, 339, 340, 342, 343-345, 347, 348, 352, 353, 355, 356, 357, 359, 361, 365, 370, 371, 374, 378, 379, 380, 382, 384, 385-393, 395, 399, 401, 403, 404, 405, 410, 422, 423, 424, 426, 427, 428</t>
  </si>
  <si>
    <t>100-166, 168-186, 188-192, 194-198, 200-213, 215-221, 223-227, 229, 230, 232-236, 238-246, 25,  248-252, 254, 257-259, 26, 261-268, 27, 28, 270-279, 281, 282, 29, 30, 284-301, 31, 32, 33, 303-328, 330-337, 34, 35, 36, 339-357, 37, 38, 359-383, 39, 385-396, 40, 399-405, 41, 407-410, 42, 43, 412-428, 44-66, 69-78, 81-99</t>
  </si>
  <si>
    <t>contents/change in contents (167, 214, 222, 228, 231, 247, 253, 255, 260, 283, 302, 329, 338, 397, 398, 406, 411)</t>
  </si>
  <si>
    <t>66 (inflow)</t>
  </si>
  <si>
    <t>Elevation (167, 199, 214, 222, 228, 231, 247, 253, 255, 260, 283, 302, 329, 338, 397, 398, 406, 411), Stream flow reports (17), Reports containing compilation of records of discharge (19, 20, 21, 22, 23)</t>
  </si>
  <si>
    <t>17, 100-186, 19, 20, 21, 22, 23, 25, 188-255, 26, 27, 28, 257-279, 29, 30, 31, 32, 33, 34, 35, 36, 37, 38, 39, 40, 41, 42, 43, 281-428, 430, 432, 44-67, 69-99</t>
  </si>
  <si>
    <t>1061</t>
  </si>
  <si>
    <t>10.3133/wsp1061</t>
  </si>
  <si>
    <t>1948</t>
  </si>
  <si>
    <t>x, 431 p. :ill. ;23 cm.</t>
  </si>
  <si>
    <t>4f4e4afce4b07f02db6968ac</t>
  </si>
  <si>
    <t>https://pubs.usgs.gov/publication/wsp1091</t>
  </si>
  <si>
    <t>604</t>
  </si>
  <si>
    <t>wsp1091</t>
  </si>
  <si>
    <t>Surface water supply of the United States, 1947, Part XI, Pacific slope basins in California</t>
  </si>
  <si>
    <t>100-151, 153-177, 179-223, 225-231, 233-240, 242-255, 258-261, 263, 265-268, 27, 270-277, 28, 279-287, 29, 289-291, 30, 31, 293-309, 32, 311-338, 340-347, 349-367, 37, 369-398, 40, 400-406, 41, 408-415, 42, 418-422, 424, 425, 43, 427-430, 432-448, 45, 450-452, 46, 47, 49-99</t>
  </si>
  <si>
    <t>diversions (152, 428, 85)</t>
  </si>
  <si>
    <t>152, 179, 193, 194, 196, 197-202, 205, 211, 212, 214-216, 218-223, 225, 233, 236, 239, 240, 246, 247, 249, 25, 255, 258, 26, 263, 265, 267, 268, 270-273, 276, 277, 279, 281-283, 289, 290, 291, 293-296, 299-302, 305, 308, 309, 312, 315, 318-327, 329, 33, 331-336, 34, 341-343, 345-347, 35, 349, 350, 352-355, 357, 358, 362, 36, 363, 365, 366, 369, 371, 375, 376, 38, 378, 380, 382, 385, 386, 388, 389, 39, 393-395, 399-406, 408, 410, 412, 418, 420, 422, 424, 425, 430, 432, 44, 442-447, 48</t>
  </si>
  <si>
    <t>100-153, 155-177, 179-223, 225-231, 233-240, 25, 242-255, 26, 258-261, 263, 265-268, 27, 270-277, 28, 279-287, 29, 289-291, 30, 31, 293-309, 32, 311-326, 33, 328-338, 34, 340-347, 35, 36, 349-367, 37, 38, 369-381, 383-386, 39, 388-398, 40, 400-406, 41, 408-413, 415, 42, 418-422, 424, 425, 43, 427-430, 44, 432-448, 45-99</t>
  </si>
  <si>
    <t>152</t>
  </si>
  <si>
    <t>contents/change in contents (152, 178, 224, 232, 241, 25, 257, 26, 262, 264, 269, 278, 292, 33, 34, 339, 35, 348, 36, 368, 38, 368, 416, 417, 426, 431, 44, 48</t>
  </si>
  <si>
    <t>Stream flow reports (17), Elevation (178, 224, 232, 241, 257, 262, 264, 269, 278, 292, 339, 348, 368, 416, 417, 426, 431, 93), Number of water supply papers containing results of stream measurements (18), Reports containing compilation of records of discharge (19, 20, 21, 22, 23)</t>
  </si>
  <si>
    <t>45-99, 17, 18, 19, 20, 21, 22, 23, 25, 100-255, 26, 27, 28, 29, 257-287, 30, 31, 32, 33, 34, 35, 36, 37, 38, 39, 40, 289-406, 41, 408-422, 43, 44, 424-448, 450-452</t>
  </si>
  <si>
    <t>1091</t>
  </si>
  <si>
    <t>10.3133/wsp1091</t>
  </si>
  <si>
    <t>1949</t>
  </si>
  <si>
    <t>xi, 450 p. :ill. ;23 cm.</t>
  </si>
  <si>
    <t>4f4e4afde4b07f02db696e33</t>
  </si>
  <si>
    <t>https://pubs.usgs.gov/publication/ofr4972</t>
  </si>
  <si>
    <t>23101</t>
  </si>
  <si>
    <t>ofr4972</t>
  </si>
  <si>
    <t>Ground-water outflow from the Chino Basin, California, and the controlling geologic and hydrologic conditions</t>
  </si>
  <si>
    <t>49-72</t>
  </si>
  <si>
    <t>10.3133/ofr4972</t>
  </si>
  <si>
    <t>United States Geological Survey],</t>
  </si>
  <si>
    <t>143 p.; 19 folded plates., maps ;27 cm.</t>
  </si>
  <si>
    <t>Garrett, A. A.; Thomasson, H.G. Jr.</t>
  </si>
  <si>
    <t>4f4e4aa8e4b07f02db667417</t>
  </si>
  <si>
    <t>https://pubs.usgs.gov/publication/b948B</t>
  </si>
  <si>
    <t>36184</t>
  </si>
  <si>
    <t>b948B</t>
  </si>
  <si>
    <t>Chromite deposits near Seiad and McGuffy Creeks, Siskiyou County, California</t>
  </si>
  <si>
    <t>948</t>
  </si>
  <si>
    <t>10.3133/b948B</t>
  </si>
  <si>
    <t>Reston, VA</t>
  </si>
  <si>
    <t>1Report: 59 p.; 8 Plates</t>
  </si>
  <si>
    <t>Siskiyou County</t>
  </si>
  <si>
    <t>Wells, Francis Gerritt; Smith, Clay Taylor; Rynearson, Garn A.; Livermore, John S.</t>
  </si>
  <si>
    <t>20</t>
  </si>
  <si>
    <t>4f4e49dde4b07f02db5e2421</t>
  </si>
  <si>
    <t>https://pubs.usgs.gov/publication/ofr498</t>
  </si>
  <si>
    <t>51950</t>
  </si>
  <si>
    <t>ofr498</t>
  </si>
  <si>
    <t>Progress report on water supply for the Point Mugu Naval Base, Ventura County, California</t>
  </si>
  <si>
    <t>49-8</t>
  </si>
  <si>
    <t>10.3133/ofr498</t>
  </si>
  <si>
    <t>45 p., 7 plates</t>
  </si>
  <si>
    <t>4f4e4a82e4b07f02db64af44</t>
  </si>
  <si>
    <t>https://pubs.usgs.gov/publication/ofr4970</t>
  </si>
  <si>
    <t>52010</t>
  </si>
  <si>
    <t>ofr4970</t>
  </si>
  <si>
    <t>Memorandum on present status of the saline front, to supplement progress report on water supply for the Point Mugu Naval Base, Ventura County, California, by J. F. Poland</t>
  </si>
  <si>
    <t>49-70</t>
  </si>
  <si>
    <t>10.3133/ofr4970</t>
  </si>
  <si>
    <t>Report: 4 p.; 1 Plate: 10.10 x 4.54 inches</t>
  </si>
  <si>
    <t>Ventura County</t>
  </si>
  <si>
    <t>Garrett, A. A.</t>
  </si>
  <si>
    <t>4f4e4a2ce4b07f02db613e1d</t>
  </si>
  <si>
    <t>https://pubs.usgs.gov/publication/ofr4971</t>
  </si>
  <si>
    <t>52011</t>
  </si>
  <si>
    <t>ofr4971</t>
  </si>
  <si>
    <t>Status of salt-water contamination in the coastal part of Orange County, California, as of 1948-49</t>
  </si>
  <si>
    <t>49-71</t>
  </si>
  <si>
    <t>10.3133/ofr4971</t>
  </si>
  <si>
    <t>Report: 36 p.; 7 Plates: 10.01 x 8.12 inches or smaller</t>
  </si>
  <si>
    <t>Orange County</t>
  </si>
  <si>
    <t>4f4e49d6e4b07f02db5de67c</t>
  </si>
  <si>
    <t>https://pubs.usgs.gov/publication/ofr4993</t>
  </si>
  <si>
    <t>52031</t>
  </si>
  <si>
    <t>ofr4993</t>
  </si>
  <si>
    <t>Memorandum on deeper sources of water, to supplement progress report on water supply for the Point Mugu Naval Base, Ventura County, California</t>
  </si>
  <si>
    <t>49-93</t>
  </si>
  <si>
    <t>10.3133/ofr4993</t>
  </si>
  <si>
    <t>2 p.</t>
  </si>
  <si>
    <t>Mann, J.F.</t>
  </si>
  <si>
    <t>4f4e4a2ce4b07f02db613d69</t>
  </si>
  <si>
    <t>https://pubs.usgs.gov/publication/ofr49100</t>
  </si>
  <si>
    <t>52038</t>
  </si>
  <si>
    <t>ofr49100</t>
  </si>
  <si>
    <t>New well for water supply at Veterans Administration Hospital, Livermore, California</t>
  </si>
  <si>
    <t>49-100</t>
  </si>
  <si>
    <t>10.3133/ofr49100</t>
  </si>
  <si>
    <t>Report: 4 p.; 3 Plates: 9.41 x 7.02 inches or smaller</t>
  </si>
  <si>
    <t>4f4e4afee4b07f02db697582</t>
  </si>
  <si>
    <t>https://pubs.usgs.gov/publication/ofr49118</t>
  </si>
  <si>
    <t>52056</t>
  </si>
  <si>
    <t>ofr49118</t>
  </si>
  <si>
    <t>Progress report on the cooperative investigation of springs and stream flow in the Tecolote Tunnel area of Santa Barbara County, California</t>
  </si>
  <si>
    <t>49-118</t>
  </si>
  <si>
    <t>10.3133/ofr49118</t>
  </si>
  <si>
    <t>18 p.</t>
  </si>
  <si>
    <t>Troxell, H.C.; Burgess, C.E.; Warren, M.A.</t>
  </si>
  <si>
    <t>4f4e4a9be4b07f02db65de4b</t>
  </si>
  <si>
    <t>https://pubs.usgs.gov/publication/ofr49126</t>
  </si>
  <si>
    <t>52064</t>
  </si>
  <si>
    <t>ofr49126</t>
  </si>
  <si>
    <t>Report on water power possibilities of Lower Trinity River, California</t>
  </si>
  <si>
    <t>49-126</t>
  </si>
  <si>
    <t>10.3133/ofr49126</t>
  </si>
  <si>
    <t>64 p.</t>
  </si>
  <si>
    <t>Johnson, F.A.</t>
  </si>
  <si>
    <t>4f4e4b32e4b07f02db6b43c1</t>
  </si>
  <si>
    <t>https://pubs.usgs.gov/publication/70215508</t>
  </si>
  <si>
    <t>70215508</t>
  </si>
  <si>
    <t>Natural water losses in mountain drainage areas of southern California</t>
  </si>
  <si>
    <t>10.1029/TR030i005p00752</t>
  </si>
  <si>
    <t>30</t>
  </si>
  <si>
    <t>752</t>
  </si>
  <si>
    <t>758</t>
  </si>
  <si>
    <t>Southern California</t>
  </si>
  <si>
    <t>Troxell, Harold C.; Stafford, H.M.</t>
  </si>
  <si>
    <t>https://pubs.usgs.gov/publication/wsp1121</t>
  </si>
  <si>
    <t>614</t>
  </si>
  <si>
    <t>wsp1121</t>
  </si>
  <si>
    <t>Surface water supply of the United States, 1948, Part XI, Pacific slope basins in California</t>
  </si>
  <si>
    <t>100, 101, 102, 106-132, 135-153, 155-161, 163-181, 183-205, 207-227, 229-235, 237-240, 243, 244, 246-261, 263-266, 268, 271-273, 28, 275-282, 29, 284-296, 30, 31, 298-314, 32, 33, 316-330, 332-342, 344-351, 37, 353-371, 373-383, 40, 385-401, 41, 403-413, 415-417, 42, 420-427, 429-432, 44, 45, 434-450, 452, 453, 46, 49-99</t>
  </si>
  <si>
    <t>206, diversions (133, 134, 344, 430)</t>
  </si>
  <si>
    <t>102-105, 154, 183, 196, 198, 199, 201, 203, 204, 214, 218, 222-227, 229, 237, 240, 243, 244, 249, 253, 254, 256, 259, 260, 263, 27, 272, 273, 275-278, 281, 282, 284, 287, 293, 298, 299, 300, 301, 304, 305, 306, 310, 311, 313, 314, 317, 323-330, 332-337, 339, 34, 340, 345, 346, 349, 35, 350, 351, 353, 354, 36, 357-359, 361, 362, 366, 367, 369, 373, 377, 38, 379, 380, 386, 388, 389, 39, 391, 392, 396-398, 402, 403, 404, 405, 407-410, 413, 416, 420, 424, 426, 427, 43, 432, 434, 440, 444, 445, 447, 449, 450, 47</t>
  </si>
  <si>
    <t>100, 102-105, 106-132, 133, 134, 135-153, 155-161, 163-181, 183-227, 229-235, 237-240, 243, 244, 246-261, 263-266, 268, 27, 271-273, 28, 275-282, 29, 284-296, 30, 31, 298-314, 32, 33, 316-330, 34, 332-342, 35, 344-351, 36, 37, 353-371, 38, 373-383, 39, 40, 385-401, 41, 403-413, 415-417, 42, 420-427, 429-432, 44, 45, 434-450, 46, 47, 49-99</t>
  </si>
  <si>
    <t>contents/change in contents (102-105, 154, 182, 228, 236, 242, 245, 262, 27, 267, 269, 274, 283, 297, 315, 34, 343, 35, 352, 36, 372, 38, 39, 418, 419, 428, 43, 433, 47</t>
  </si>
  <si>
    <t>101 (inflow)</t>
  </si>
  <si>
    <t>Elevation (182, 228, 236, 242, 245, 262, 267, 269, 274, 283, 297, 315, 343, 352, 372, 418, 419, 428, 433), Stream flow reports (19), Number of water supply papers containing results of stream measurements (20), Reports containing compilation of records of discharge (21, 22, 23, 24, 25, 26)</t>
  </si>
  <si>
    <t xml:space="preserve">49-99, 100-161, 19, 20, 21, 22, 23, 24, 25, 163-240, 26, 27, 242-269, 28, 29, 30, 31, 32, 33, 271-330, 34, 35, 36, 37, 38, 332-383, 39, 40, 41, 385-413, 42, 43, 44, 45, 415-450, 452, 453, 46, 47, </t>
  </si>
  <si>
    <t>1121</t>
  </si>
  <si>
    <t>10.3133/wsp1121</t>
  </si>
  <si>
    <t>1950</t>
  </si>
  <si>
    <t>xi, 449 p. :ill. ;23 cm.</t>
  </si>
  <si>
    <t>4f4e4afce4b07f02db696755</t>
  </si>
  <si>
    <t>https://pubs.usgs.gov/publication/wsp1068</t>
  </si>
  <si>
    <t>2060</t>
  </si>
  <si>
    <t>wsp1068</t>
  </si>
  <si>
    <t>Wells and water levels in principal ground-water basins in Santa Barbara County, California</t>
  </si>
  <si>
    <t>CCS/Well no./TRS</t>
  </si>
  <si>
    <t xml:space="preserve">40, 42, 46, 47, 50, 52, 55, 56, 57, 58, 59, 60, 61, 66, 68, 69, 70, 71, 72,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 180, 181, 182, 183, 184, 186, 187, 188, 189, 19, 190, 191, 192, 193, 194, 195, 196, 197, 198, 199, 200, 201, 202, 203, 204, 205, 206, 207, 208, 209, 210, 211, 212, 213, 214, 215, 216, 217, 218, 219, 220, 221, 222, 223, 224, 225, 226, 227, 228, 229, 230, 231, 232, 233, 234, 235, 236, 237, 238, 239, 240, 241, 242, 243, 244, 245, 246, 247, 248, 249, 25, 250, 251, 252, 253, 254, 255, 256, 257, 258, 259, 26, 260, 261, 262, 263, 264, 265, 266, 267, 268, 269, 27, 270, 271, 272, 273, 274, 275, 276, 277, 278, 279, 28, 280, 281, 282, 283, 284, 285, 286, 287, 288, 289, 29, 290, 291, 292, 293, 294, 295, 297, 298, 299, 300, 302, 303, 304, 305, 306, 307, 308, 309, 31, 310, 311, 312, 313, 314, 315, 316, 317, 318, 319, 32, 320, 321, 322, 323, 324, 325, 326, 327, 328, 329, 330, 331, 332, 333, 334, 335, 336, 337, 338, 339, 340, 341, 342, 343, 344, 345, 346, 347, 348, 349, 35, 350, 351, 352, 353, 354, 355, 356, 357, 358, 359, 360, 361, 362, 364, 365, 366, 367, 368, 37, 377, 378, 38, 383, 385, 39, 391, 399, 400, 402, 403, 404, 406, 407, 408, 410, 411, 413, 414, 415, 416, 417, 418, 425, 429, 430, 431, 432, 433, 434, 435, 436, 437, 438, 439, 440, 441, 442, 443, 444, 445, 446, 447, 448, 449, 450, 451, 452, 453, 454, 455, 456, 457, 458, 459, 460, 461, 462, </t>
  </si>
  <si>
    <t xml:space="preserve">25, 26, 27, 28, 29, 31, 32, 35, 37, 38, 39, 40, 42, 46, 47, 50, 52, 55, 56, 57, 58, 59, 60, 61, 66, 68, 69, 70, 71, 72, 74, 75, 76, 77, 78,  383, 385, 391, 399, 400, 402, 403, 404, 406, 407, 408, 410, 411, 413, 414, 415, 416, 417, 418, 425, 429, </t>
  </si>
  <si>
    <t>1068</t>
  </si>
  <si>
    <t>10.3133/wsp1068</t>
  </si>
  <si>
    <t>Report: v, 459 p.; 7 Plates: 31.89 × 13.68 inches or smaller</t>
  </si>
  <si>
    <t>La Rocque, G. A.; Upson, J. E.; Worts, G. F.; Porter, L.</t>
  </si>
  <si>
    <t>4f4e49e2e4b07f02db5e4ac4</t>
  </si>
  <si>
    <t>https://pubs.usgs.gov/publication/cir72</t>
  </si>
  <si>
    <t>3884</t>
  </si>
  <si>
    <t>cir72</t>
  </si>
  <si>
    <t>Index of surface-water records, part 11, Pacific slope basins in California, to September 30, 1948</t>
  </si>
  <si>
    <t>Circular</t>
  </si>
  <si>
    <t>72</t>
  </si>
  <si>
    <t>2330-5703</t>
  </si>
  <si>
    <t>1067-084X</t>
  </si>
  <si>
    <t>10.3133/cir72</t>
  </si>
  <si>
    <t>24 p.</t>
  </si>
  <si>
    <t>27</t>
  </si>
  <si>
    <t>4f4e49f8e4b07f02db5f2a8d</t>
  </si>
  <si>
    <t>https://pubs.usgs.gov/publication/ofr50101</t>
  </si>
  <si>
    <t>52982</t>
  </si>
  <si>
    <t>ofr50101</t>
  </si>
  <si>
    <t>Second progress report on the cooperative investigation of springs and stream flow in the Tecolote Tunnel area of Santa Barbara County, California</t>
  </si>
  <si>
    <t>50-101</t>
  </si>
  <si>
    <t>10.3133/ofr50101</t>
  </si>
  <si>
    <t>156 p.</t>
  </si>
  <si>
    <t>159</t>
  </si>
  <si>
    <t>Tecolote Tunnel</t>
  </si>
  <si>
    <t>50000</t>
  </si>
  <si>
    <t>Troxell, Harold C.; Burgess, C.E.</t>
  </si>
  <si>
    <t>4f4e4a0ce4b07f02db5fc336</t>
  </si>
  <si>
    <t>https://pubs.usgs.gov/publication/ofr50102</t>
  </si>
  <si>
    <t>52983</t>
  </si>
  <si>
    <t>ofr50102</t>
  </si>
  <si>
    <t>Some aspects of the water supply in the South Coastal Basin, California</t>
  </si>
  <si>
    <t>50-102</t>
  </si>
  <si>
    <t>10.3133/ofr50102</t>
  </si>
  <si>
    <t>14 p., 5 plates (to be issued as Circular 105)</t>
  </si>
  <si>
    <t>Troxell, H.C.; Poland, J. F.</t>
  </si>
  <si>
    <t>4f4e49e9e4b07f02db5e946f</t>
  </si>
  <si>
    <t>https://pubs.usgs.gov/publication/ofr50105</t>
  </si>
  <si>
    <t>52987</t>
  </si>
  <si>
    <t>ofr50105</t>
  </si>
  <si>
    <t>Water levels in observation wells in Santa Barbara County, California, in 1948</t>
  </si>
  <si>
    <t>50-105</t>
  </si>
  <si>
    <t>10.3133/ofr50105</t>
  </si>
  <si>
    <t>57 p.</t>
  </si>
  <si>
    <t>Warren, M.A.</t>
  </si>
  <si>
    <t>4f4e4a08e4b07f02db5f9dbe</t>
  </si>
  <si>
    <t>https://pubs.usgs.gov/publication/ofr50110</t>
  </si>
  <si>
    <t>52993</t>
  </si>
  <si>
    <t>ofr50110</t>
  </si>
  <si>
    <t>Water levels in observation wells in Santa Barbara County, California, in 1949</t>
  </si>
  <si>
    <t>50-110</t>
  </si>
  <si>
    <t>10.3133/ofr50110</t>
  </si>
  <si>
    <t>53 p., 1 plate</t>
  </si>
  <si>
    <t>Wilson, H.D. Jr.</t>
  </si>
  <si>
    <t>4f4e4a08e4b07f02db5f9dbf</t>
  </si>
  <si>
    <t>https://pubs.usgs.gov/publication/ofr50111</t>
  </si>
  <si>
    <t>52994</t>
  </si>
  <si>
    <t>ofr50111</t>
  </si>
  <si>
    <t>Progress report on the ground-water investigation in Solano County, California</t>
  </si>
  <si>
    <t>50-111</t>
  </si>
  <si>
    <t>10.3133/ofr50111</t>
  </si>
  <si>
    <t>50 p., 7 plates</t>
  </si>
  <si>
    <t>Worts, G.F. Jr.; and others</t>
  </si>
  <si>
    <t>4f4e4a9be4b07f02db65de2f</t>
  </si>
  <si>
    <t>https://pubs.usgs.gov/publication/wsp1151</t>
  </si>
  <si>
    <t>623</t>
  </si>
  <si>
    <t>wsp1151</t>
  </si>
  <si>
    <t>Surface water supply of the United States, 1949, Part XI, Pacific slope basins in California</t>
  </si>
  <si>
    <t>100-143, 145-151, 154-177, 179-222, 224-226, 228-234, 236-238, 240, 242, 245, 246-263, 265-268, 273-276, 28, 29, 278-299, 30, 31, 301-314, 316-320, 32, 33, 323-331, 333-336, 34, 35, 338-350, 36, 352-359, 37, 38, 361-379, 39, 40, 41, 381-411, 413-418, 420-426, 428-430, 44, 433-440, 442-445, 45, 46, 447-463, 47-91, 93-96, 98, 99</t>
  </si>
  <si>
    <t>diversions (124, 178, 80, 81)</t>
  </si>
  <si>
    <t>152, 153, 179, 187, 189, 190, 193, 199, 201, 202, 206, 211, 218, 221, 222, 224-226, 228, 236, 240, 242, 248, 249, 253, 261, 262, 263, 265, 273, 275, 276, 278, 28, 279, 280, 284, 285, 287, 289, 290, 291, 296, 298, 299, 301, 303, 307, 309, 310, 314, 318, 319, 320, 324, 330, 331, 333, 334-336, 338-342, 344, 347, 348, 352-354, 356, 357, 359, 361, 362, 364, 366, 367, 370, 375, 376, 378, 379, 381, 383-385, 390, 391, 393, 394, 398, 399, 406-408, 412, 413, 416, 417, 42, 418, 420, 424, 426, 429, 430, 433, 435, 437, 439, 443-445, 447, 453-455, 458, 459, 460, 461-463, 97</t>
  </si>
  <si>
    <t>100-143, 145-151, 152, 153, 154-177, 179-206, 208-222, 224-226, 228-234, 236-238, 240, 242, 245, 246-263, 265-268, 273-276, 278-285, 29, 287-299, 30, 31, 301-314, 316-320, 32, 33, 323-331, 333-336, 34, 35, 338-350, 36, 352-359, 37, 38, 361-379, 39, 40, 41, 381-411, 42, 413-418, 421-426, 428-430, 44, 433-440, 442-445, 45, 46, 447-463, 47-91, 93-99</t>
  </si>
  <si>
    <t>contents/change in contents (144, 152, 153, 178, 227, 235, 241, 244, 264, 270, 272, 277, 286, 300, 322, 351, 360, 380, 42, 431, 432, 441, 446, 97)</t>
  </si>
  <si>
    <t>Elevation (144, 178, 227, 235, 241, 244, 264, 270, 272, 277, 286, 300, 322, 351, 360, 380, 431, 432, 441, 446, 92), Stream flow reports (19),  Number of water supply papers containing results of stream measurements (20), Reports containing compilation of records of discharge (21, 22, 23, 24, 25, 26)</t>
  </si>
  <si>
    <t>47-99, 19, 100-196, 20, 21, 22, 198-222, 23, 24, 224-238, 240-242, 25, 26, 244-268, 270, 28, 29, 30, 31, 272-314, 32, 316-320, 33, 322-331, 333-336, 338-418, 42, 41, 40, 39, 38, 37, 36, 35, 34, 420-426, 428- 463, 46, 45, 44, 43</t>
  </si>
  <si>
    <t>1151</t>
  </si>
  <si>
    <t>10.3133/wsp1151</t>
  </si>
  <si>
    <t>1951</t>
  </si>
  <si>
    <t>xi, 464 p. :ill. ;23 cm.</t>
  </si>
  <si>
    <t>4f4e4afce4b07f02db6966ab</t>
  </si>
  <si>
    <t>https://pubs.usgs.gov/publication/wsp1108</t>
  </si>
  <si>
    <t>2847</t>
  </si>
  <si>
    <t>wsp1108</t>
  </si>
  <si>
    <t>Geology and ground-water resources of the south-coast basins of Santa Barbara County, California</t>
  </si>
  <si>
    <t>1108</t>
  </si>
  <si>
    <t>10.3133/wsp1108</t>
  </si>
  <si>
    <t>Report: vi, 144 p.; 8 Plates: 32.50 × 17.50 inches or smaller</t>
  </si>
  <si>
    <t>Upson, J. E.; Thomasson, H. G. Jr.</t>
  </si>
  <si>
    <t>4f4e4adae4b07f02db68531d</t>
  </si>
  <si>
    <t>https://pubs.usgs.gov/publication/wsp1107</t>
  </si>
  <si>
    <t>2848</t>
  </si>
  <si>
    <t>wsp1107</t>
  </si>
  <si>
    <t>Geology and water resources of the Santa Ynez River basin, Santa Barbara County, California</t>
  </si>
  <si>
    <t>1107</t>
  </si>
  <si>
    <t>10.3133/wsp1107</t>
  </si>
  <si>
    <t>vii, 194 p. :ill. ;24 cm. + plates folded in pocket.</t>
  </si>
  <si>
    <t>Upson, J. E.; Thomasson, H.G. Jr.</t>
  </si>
  <si>
    <t>4f4e4ad6e4b07f02db68405f</t>
  </si>
  <si>
    <t>https://pubs.usgs.gov/publication/wsp1110B</t>
  </si>
  <si>
    <t>2849</t>
  </si>
  <si>
    <t>wsp1110B</t>
  </si>
  <si>
    <t>Ground water in the Cuyama Valley, California</t>
  </si>
  <si>
    <t>1110</t>
  </si>
  <si>
    <t>10.3133/wsp1110B</t>
  </si>
  <si>
    <t>Report: iv, 61 p.; 2 Plates: 17.00 x 13.54 inches and 20.50 x 16.26 inches</t>
  </si>
  <si>
    <t>81</t>
  </si>
  <si>
    <t>Cuyama Valley</t>
  </si>
  <si>
    <t>Upson, J. E.; Worts, George Frank</t>
  </si>
  <si>
    <t>4f4e4ab0e4b07f02db66d9d6</t>
  </si>
  <si>
    <t>https://pubs.usgs.gov/publication/wsp1000</t>
  </si>
  <si>
    <t>3019</t>
  </si>
  <si>
    <t>wsp1000</t>
  </si>
  <si>
    <t>Geology and ground-water resources of the Santa Maria Valley area, California, with a section on surface-water resources</t>
  </si>
  <si>
    <t>1000</t>
  </si>
  <si>
    <t>10.3133/wsp1000</t>
  </si>
  <si>
    <t>Report: vi, 169 p.; 6 Plates: 34.50 x 56.50 inches or smaller</t>
  </si>
  <si>
    <t>Santa Maria Valley area</t>
  </si>
  <si>
    <t>Worts, George Frank; Thomasson, H. G. Jr.</t>
  </si>
  <si>
    <t>4f4e4adae4b07f02db685527</t>
  </si>
  <si>
    <t>https://pubs.usgs.gov/publication/cir105</t>
  </si>
  <si>
    <t>3354</t>
  </si>
  <si>
    <t>cir105</t>
  </si>
  <si>
    <t>Some aspects of the water supply in the South Coastal basin, California</t>
  </si>
  <si>
    <t>10.3133/cir105</t>
  </si>
  <si>
    <t>[U.S. Geological Survey],</t>
  </si>
  <si>
    <t>10 p. :illus. ;27cm.</t>
  </si>
  <si>
    <t>Troxell, Harold Coble; Poland, J. F.; and others</t>
  </si>
  <si>
    <t>4f4e48b3e4b07f02db5321c1</t>
  </si>
  <si>
    <t>https://pubs.usgs.gov/publication/cir145</t>
  </si>
  <si>
    <t>3885</t>
  </si>
  <si>
    <t>cir145</t>
  </si>
  <si>
    <t>Index of surface-water records, part 11, Pacific slope basins in California, to September 30, 1950</t>
  </si>
  <si>
    <t>145</t>
  </si>
  <si>
    <t>10.3133/cir145</t>
  </si>
  <si>
    <t>25 p.</t>
  </si>
  <si>
    <t>4f4e4ae0e4b07f02db687fe4</t>
  </si>
  <si>
    <t>https://pubs.usgs.gov/publication/ofr5173</t>
  </si>
  <si>
    <t>14867</t>
  </si>
  <si>
    <t>ofr5173</t>
  </si>
  <si>
    <t>Rocks and structure of the Quartz Spring area, northern Panamint Range, California</t>
  </si>
  <si>
    <t>51-73</t>
  </si>
  <si>
    <t>10.3133/ofr5173</t>
  </si>
  <si>
    <t>U.S. Geological Survey],</t>
  </si>
  <si>
    <t>143 p. ill., maps ;29 cm.</t>
  </si>
  <si>
    <t>McAllister, James Franklin</t>
  </si>
  <si>
    <t>4f4e4ae0e4b07f02db687df4</t>
  </si>
  <si>
    <t>https://pubs.usgs.gov/publication/ofr51104</t>
  </si>
  <si>
    <t>51002</t>
  </si>
  <si>
    <t>ofr51104</t>
  </si>
  <si>
    <t>Third progress report on the cooperative investigation of springs and streamflow in the Tecolote Tunnel area of Santa Barbara County, California</t>
  </si>
  <si>
    <t>51-104</t>
  </si>
  <si>
    <t>10.3133/ofr51104</t>
  </si>
  <si>
    <t>Report: 156 p.; 3 Plates: 9.39 x 7.12 inches or smaller</t>
  </si>
  <si>
    <t>Burgess, C.E.</t>
  </si>
  <si>
    <t>4f4e4a54e4b07f02db62c469</t>
  </si>
  <si>
    <t>https://pubs.usgs.gov/publication/ofr5130</t>
  </si>
  <si>
    <t>51008</t>
  </si>
  <si>
    <t>ofr5130</t>
  </si>
  <si>
    <t>Possibility of excessive rise of the water table at the site of Birmingham General Hospital, San Fernando Valley, California</t>
  </si>
  <si>
    <t>51-30</t>
  </si>
  <si>
    <t>10.3133/ofr5130</t>
  </si>
  <si>
    <t>San Fernando Valley</t>
  </si>
  <si>
    <t>4f4e4ad5e4b07f02db683bc4</t>
  </si>
  <si>
    <t>https://pubs.usgs.gov/publication/ofr51157</t>
  </si>
  <si>
    <t>51055</t>
  </si>
  <si>
    <t>ofr51157</t>
  </si>
  <si>
    <t>Southern California water bulletin</t>
  </si>
  <si>
    <t>51-157</t>
  </si>
  <si>
    <t>10.3133/ofr51157</t>
  </si>
  <si>
    <t>28 p.</t>
  </si>
  <si>
    <t>Troxell, H.C.</t>
  </si>
  <si>
    <t>4f4e48d3e4b07f02db548cc9</t>
  </si>
  <si>
    <t>https://pubs.usgs.gov/publication/ofr517</t>
  </si>
  <si>
    <t>51056</t>
  </si>
  <si>
    <t>ofr517</t>
  </si>
  <si>
    <t>Water supply of the South Coastal Basin, California</t>
  </si>
  <si>
    <t>51-7</t>
  </si>
  <si>
    <t>10.3133/ofr517</t>
  </si>
  <si>
    <t>26 p., 4 plates</t>
  </si>
  <si>
    <t>4f4e49f4e4b07f02db5f01b1</t>
  </si>
  <si>
    <t>https://pubs.usgs.gov/publication/ofr518</t>
  </si>
  <si>
    <t>51057</t>
  </si>
  <si>
    <t>ofr518</t>
  </si>
  <si>
    <t>51-8</t>
  </si>
  <si>
    <t>10.3133/ofr518</t>
  </si>
  <si>
    <t>Superceded by: Circular 105</t>
  </si>
  <si>
    <t>13 p., 5 plates</t>
  </si>
  <si>
    <t>Troxell, H.C.; Poland, J. F.; and others</t>
  </si>
  <si>
    <t>4f4e49e9e4b07f02db5e9476</t>
  </si>
  <si>
    <t>https://pubs.usgs.gov/publication/ofr51170</t>
  </si>
  <si>
    <t>51073</t>
  </si>
  <si>
    <t>ofr51170</t>
  </si>
  <si>
    <t>Power possibilities of the North Fork of Kaweah River, California, discussed</t>
  </si>
  <si>
    <t>51-170</t>
  </si>
  <si>
    <t>10.3133/ofr51170</t>
  </si>
  <si>
    <t>4f4e4ad3e4b07f02db681d1e</t>
  </si>
  <si>
    <t>https://pubs.usgs.gov/publication/ofr52130</t>
  </si>
  <si>
    <t>51178</t>
  </si>
  <si>
    <t>ofr52130</t>
  </si>
  <si>
    <t>Investigation of the water resources of the Nevares property in Death Valley National Monument, California</t>
  </si>
  <si>
    <t>52-130</t>
  </si>
  <si>
    <t>10.3133/ofr52130</t>
  </si>
  <si>
    <t>Report: 21 p.; Plate: 35.33 x 22.23 inches</t>
  </si>
  <si>
    <t>Death Valley National Monument</t>
  </si>
  <si>
    <t>Robinson, T. W.</t>
  </si>
  <si>
    <t>4f4e47b3e4b07f02db49edaf</t>
  </si>
  <si>
    <t>https://pubs.usgs.gov/publication/wsp1181</t>
  </si>
  <si>
    <t>633</t>
  </si>
  <si>
    <t>wsp1181</t>
  </si>
  <si>
    <t>Surface water supply of the United States, 1950, Part XI, Pacific slope basins in California</t>
  </si>
  <si>
    <t>100-136, 138-169, 171-178, 180-198, 200-219, 221-226, 228-232, 234, 235, 237-252, 254, 256-260, 262, 264-267, 269-276, 28, 29, 278-290, 30, 31, 292-312, 32, 33, 314-334, 34, 336-344, 35, 346-353, 355, 36, 37, 357-373, 38, 375-379, 39, 40, 381-402, 404-406, 41, 42, 408-423, 428, 43, 430-434, 44, 436-439, 45, 441-458, 46-89, 91-99</t>
  </si>
  <si>
    <t>diversions (170, 436, 57)</t>
  </si>
  <si>
    <t>137, 176, 177, 181, 182, 186, 190-192, 194-196, 206, 211-213, 215-219, 221, 228, 231, 232, 234, 235, 240, 241, 244, 245, 247, 254, 256, 262, 266, 267, 269-271, 275, 276, 278, 280, 281 282, 288, 289, 290, 292-295, 298-301, 303, 304, 308, 310-312, 315, 321-325, 327-332, 334, 337, 338, 341, 343, 346, 347, 348, 350, 351-353, 355, 358, 360-362, 364, 365, 369, 370, 372, 373, 375, 378, 379, 381, 385, 386, 388, 393, 394, 396, 397, 400, 402, 405, 407, 408, 409, 410-415, 418, 421, 423, 425, 432, 433, 434, 437-439, 441, 447-456, 90</t>
  </si>
  <si>
    <t>100-136, 138-169, 171-178, 180-198, 200-219, 221-226, 228-232, 234, 235, 237-252, 254, 256-260, 262, 264-267, 269-276, 28, 29, 278-290, 30, 31, 292-312, 32, 33, 314-334, 34, 336-344, 35, 346-353, 355, 36, 37, 357-373, 38, 375-379, 39, 40, 381-402, 404-406, 41, 42, 408-423, 428, 43, 430-434, 44, 436-439, 45, 441-456, 46-99</t>
  </si>
  <si>
    <t>contents/change in contents (137, 170, 220, 233, 236, 255, 261, 263, 268, 277, 291, 313, 345, 354, 374, 426, 435, 440, 90)</t>
  </si>
  <si>
    <t>Stream flow reports (19),  Number of water supply papers containing results of stream measurements (20), Reports containing compilation of records of discharge (21, 22, 23, 24, 25, 26), Elevation (170, 220, 233, 236, 255, 261, 263, 268, 277, 291, 313, 345, 354, 374, 426, 435, 440, 85</t>
  </si>
  <si>
    <t>46-99, 100-178, 180-198, 19, 20, 200-252, 21, 22, 23, 24, 25, 254-355, 26, 28, 29, 30, 31, 32, 33, 34, 35, 357-379, 36, 37, 38, 380-402, 39, 40, 404-423, 41, 42, 425, 426, 428, 43, 430-458, 44, 45</t>
  </si>
  <si>
    <t>1181</t>
  </si>
  <si>
    <t>10.3133/wsp1181</t>
  </si>
  <si>
    <t>1952</t>
  </si>
  <si>
    <t>xi, 455 p. :ill. ;23 cm.</t>
  </si>
  <si>
    <t>4f4e4afce4b07f02db696680</t>
  </si>
  <si>
    <t>https://pubs.usgs.gov/publication/ofr52158</t>
  </si>
  <si>
    <t>23174</t>
  </si>
  <si>
    <t>ofr52158</t>
  </si>
  <si>
    <t>Stream runoff and ground-water storage capacity, Santa Ynez River, Santa Barbara County, California</t>
  </si>
  <si>
    <t>52-158</t>
  </si>
  <si>
    <t>10.3133/ofr52158</t>
  </si>
  <si>
    <t>United States Department of the Interior, Geological Survey, Water Resources Division,</t>
  </si>
  <si>
    <t>151 p. ill., maps, plates ;28 cm.</t>
  </si>
  <si>
    <t>Troxell, Harold C.; Wilson, Harry Dennis Jr.</t>
  </si>
  <si>
    <t>4f4e4b15e4b07f02db6a514b</t>
  </si>
  <si>
    <t>https://pubs.usgs.gov/publication/ofr98166</t>
  </si>
  <si>
    <t>24330</t>
  </si>
  <si>
    <t>ofr98166</t>
  </si>
  <si>
    <t>Geologic reconnaissance and test-well drilling program, Marine Corps Training Center, Twentynine Palms, California</t>
  </si>
  <si>
    <t>98-166</t>
  </si>
  <si>
    <t>10.3133/ofr98166</t>
  </si>
  <si>
    <t>Retyped 2001</t>
  </si>
  <si>
    <t>U.S. Dept. of the Interior, U.S. Geological Survey ;
Information Services [distributor],</t>
  </si>
  <si>
    <t>vi, 64 p. :maps ;28 cm.</t>
  </si>
  <si>
    <t>Riley, Francis S.; Worts, George Frank Jr.</t>
  </si>
  <si>
    <t>4f4e4ae0e4b07f02db6883b3</t>
  </si>
  <si>
    <t>https://pubs.usgs.gov/publication/ofr526</t>
  </si>
  <si>
    <t>51087</t>
  </si>
  <si>
    <t>ofr526</t>
  </si>
  <si>
    <t>Water levels in observation wells in Santa Barbara County, California, in 1951</t>
  </si>
  <si>
    <t>52-6</t>
  </si>
  <si>
    <t>10.3133/ofr526</t>
  </si>
  <si>
    <t>Superceded by : W-1196</t>
  </si>
  <si>
    <t>20 p., 2 plates</t>
  </si>
  <si>
    <t>Arney, J.A.; Wilson, H.D. Jr.</t>
  </si>
  <si>
    <t>4f4e4a08e4b07f02db5f9d9d</t>
  </si>
  <si>
    <t>https://pubs.usgs.gov/publication/ofr5221</t>
  </si>
  <si>
    <t>51102</t>
  </si>
  <si>
    <t>ofr5221</t>
  </si>
  <si>
    <t>Fourth progress report on the cooperative investigation of springs and streamflow in the Tecolote Tunnel area of Santa Barbara County, California</t>
  </si>
  <si>
    <t>52-21</t>
  </si>
  <si>
    <t>10.3133/ofr5221</t>
  </si>
  <si>
    <t>175 p., 2 plates</t>
  </si>
  <si>
    <t>4f4e4b1be4b07f02db6a9099</t>
  </si>
  <si>
    <t>https://pubs.usgs.gov/publication/ofr52152</t>
  </si>
  <si>
    <t>51192</t>
  </si>
  <si>
    <t>ofr52152</t>
  </si>
  <si>
    <t>Summary of ground-water pumpage, recharge from Putah Creek, and fluctuations of ground-water levels in the Putah area, California</t>
  </si>
  <si>
    <t>52-152</t>
  </si>
  <si>
    <t>10.3133/ofr52152</t>
  </si>
  <si>
    <t>Superceded by: W-1464</t>
  </si>
  <si>
    <t>Thomasson, H.G.</t>
  </si>
  <si>
    <t>4f4e4b04e4b07f02db6991d9</t>
  </si>
  <si>
    <t>https://pubs.usgs.gov/publication/ofr52168</t>
  </si>
  <si>
    <t>51198</t>
  </si>
  <si>
    <t>ofr52168</t>
  </si>
  <si>
    <t>Water levels in observation wells in Santa Barbara County, California, in 1950</t>
  </si>
  <si>
    <t>52-168</t>
  </si>
  <si>
    <t>10.3133/ofr52168</t>
  </si>
  <si>
    <t>Superceded by: W-1170</t>
  </si>
  <si>
    <t>4f4e4a08e4b07f02db5f9d90</t>
  </si>
  <si>
    <t>https://pubs.usgs.gov/publication/tem360</t>
  </si>
  <si>
    <t>70048294</t>
  </si>
  <si>
    <t>tem360</t>
  </si>
  <si>
    <t>Airborne radioactivity surveys in the Mojave Desert region, Kern, Riverside, and San Bernardino Counties, California</t>
  </si>
  <si>
    <t>Trace Elements Memorandum</t>
  </si>
  <si>
    <t>360</t>
  </si>
  <si>
    <t>10.3133/tem360</t>
  </si>
  <si>
    <t>34 p.</t>
  </si>
  <si>
    <t>36</t>
  </si>
  <si>
    <t>Kern County;Riverside County;San Berardino County</t>
  </si>
  <si>
    <t>Mojave Desert</t>
  </si>
  <si>
    <t>Moxham, Robert M.</t>
  </si>
  <si>
    <t>523c1ce1e4b024b60d40727b</t>
  </si>
  <si>
    <t>https://pubs.usgs.gov/publication/wsp1215</t>
  </si>
  <si>
    <t>641</t>
  </si>
  <si>
    <t>wsp1215</t>
  </si>
  <si>
    <t>Surface water supply of the United States, 1951, Part XI, Pacific slope basins in California</t>
  </si>
  <si>
    <t>100-102, 104-118, 120-142, 144-147, 149, 150, 153-163, 165-170, 172, 174-177, 179-188, 190-216, 218, 219, 221-243, 245-250, 252-254, 256-260, 28, 262-281, 283-288, 290, 291, 29, 293-296, 30, 298-308, 31, 32, 310-325, 327-354, 356-358, 360-371, 38, 373-387, 39, 389-393, 40, 395-407, 41, 42, 43, 409-449, 451-466, 468, 48, 470-483, 50, 485-499, 502, 505, 506, 51-56, 59-88, 90-93, 95-99</t>
  </si>
  <si>
    <t>diversions (119, 141, 178, 485, 72</t>
  </si>
  <si>
    <t>101, 102, 104, 105, 113, 122, 125-127, 136, 138-140, 143, 144, 146, 149, 151, 152, 155, 156-159, 168, 172, 174, 175, 177, 180, 182, 185, 188, 195-200, 203-207, 209, 212, 214, 220, 221, 224, 234, 236, 238, 239, 240, 241, 246, 247, 248, 249, 252, 253, 257-260, 264-266, 269, 27, 271, 273, 277, 28, 279-281, 283, 285, 288, 29, 290, 294-296, 298, 30, 302-305, 308, 313, 315, 317, 32, 319, 320, 322, 324, 33, 329, 330-335, 338-345, 34, 347-354, 35, 356-358, 36, 37, 360-372, 373, 374, 378, 381-384, 386, 387, 39, 389-393, 395, 396, 40, 41, 398-407, 410, 411, 413, 415, 418, 419, 42, 421, 427, 43, 430, 432, 434, 435, 438-442, 444-446, 449, 45, 450-454, 46, 456-465, 467, 468, 470, 472-480, 488-499, 50, 51, 53, 55, 59, 61, 63, 64, 66, 67, 69, 70, 75, 76-78, 81, 83, 84, 85, 90, 92, 93, 94, 96</t>
  </si>
  <si>
    <t>100, 151, 152, 243, 27, 33, 34, 35, 36, 37, 45, 46, 85, 94</t>
  </si>
  <si>
    <t>151, 152, 27</t>
  </si>
  <si>
    <t>contents/change in contents (143, 151, 152, 178, 244, 251, 255, 261, 27, 282, 289, 292, 297, 309, 326, 33, 34, 35, 36, 359, 37, 388, 394, 408, 46, 469, 484, 500, 58, 94</t>
  </si>
  <si>
    <t>151, 152, 27, 34, 45 (inflow)</t>
  </si>
  <si>
    <t>45, 46</t>
  </si>
  <si>
    <t>Stream flow reports (19, 21),  Number of water supply papers containing results of stream measurements (21), Reports containing compilation of records of discharge (22, 23, 24, 25), Elevation (172, 244,  251, 255, 261, 282, 289, 292, 297, 309, 326, 359, 388, 394, 408, 469, 484, 500</t>
  </si>
  <si>
    <t>100-102, 104-170, 172, 174-188, 19, 190-216, 21, 218-354, 22, 23, 24, 25, 27, 28, 29, 30, 31, 32, 33, 34, 35, 356-500, 36, 37, 38, 39, 40, 41, 42, 43, 45, 46, 48, 502, 505, 506, 51-56, 58-99</t>
  </si>
  <si>
    <t>1215</t>
  </si>
  <si>
    <t>10.3133/wsp1215</t>
  </si>
  <si>
    <t>1953</t>
  </si>
  <si>
    <t>xii, 505 p. :ill. ;23 cm.</t>
  </si>
  <si>
    <t>4f4e4afce4b07f02db6964fb</t>
  </si>
  <si>
    <t>https://pubs.usgs.gov/publication/wsp1136</t>
  </si>
  <si>
    <t>2507</t>
  </si>
  <si>
    <t>wsp1136</t>
  </si>
  <si>
    <t>Native and contaminated ground waters in the Long Beach-Santa Ana area, California</t>
  </si>
  <si>
    <t>10.3133/wsp1136</t>
  </si>
  <si>
    <t>Report: ix, 320 p.; 19 Plates: 20.00 x 15.50 inches or smaller</t>
  </si>
  <si>
    <t>Long Beach, Santa Ana</t>
  </si>
  <si>
    <t>Piper, Arthur M.; Garrett, A. A.</t>
  </si>
  <si>
    <t>4f4e4b00e4b07f02db698311</t>
  </si>
  <si>
    <t>https://pubs.usgs.gov/publication/ofr5352</t>
  </si>
  <si>
    <t>13261</t>
  </si>
  <si>
    <t>ofr5352</t>
  </si>
  <si>
    <t>The Alberhill and other clay deposits of Temescal Canyon, Riverside County, California</t>
  </si>
  <si>
    <t>53-52</t>
  </si>
  <si>
    <t>10.3133/ofr5352</t>
  </si>
  <si>
    <t>10 p.</t>
  </si>
  <si>
    <t>Daviess, Steven Norman; Bramlette, M. N.</t>
  </si>
  <si>
    <t>4f4e4afee4b07f02db6972a0</t>
  </si>
  <si>
    <t>https://pubs.usgs.gov/publication/ofr5325</t>
  </si>
  <si>
    <t>51218</t>
  </si>
  <si>
    <t>ofr5325</t>
  </si>
  <si>
    <t>Effect of Arvin-Tehachapi earthquake on springs and streamflow, California</t>
  </si>
  <si>
    <t>53-25</t>
  </si>
  <si>
    <t>10.3133/ofr5325</t>
  </si>
  <si>
    <t>56 p.</t>
  </si>
  <si>
    <t>Briggs, R.C.; Troxell, H.C.</t>
  </si>
  <si>
    <t>4f4e4a4be4b07f02db62583d</t>
  </si>
  <si>
    <t>https://pubs.usgs.gov/publication/ofr5357</t>
  </si>
  <si>
    <t>51237</t>
  </si>
  <si>
    <t>ofr5357</t>
  </si>
  <si>
    <t>Memorandum on the flow of Aqua Caliente Spring after road improvement at Palm Springs, California</t>
  </si>
  <si>
    <t>53-57</t>
  </si>
  <si>
    <t>10.3133/ofr5357</t>
  </si>
  <si>
    <t>Dutcher, L. C.</t>
  </si>
  <si>
    <t>4f4e4a2ce4b07f02db613ef1</t>
  </si>
  <si>
    <t>https://pubs.usgs.gov/publication/ofr5358</t>
  </si>
  <si>
    <t>51238</t>
  </si>
  <si>
    <t>ofr5358</t>
  </si>
  <si>
    <t>San Bernardion Area, California: Three maps showing water-level contours for the San Bernardino area for spring 1936, spring 1945, and spring 1951; east-west geologic section from Colton to Mill Creek Canyon; geologic section from Shandin Hills southeast to Bryn Mawr; and water level profiles along the section from Colton to Mill Creek Canyon</t>
  </si>
  <si>
    <t>53-58</t>
  </si>
  <si>
    <t>10.3133/ofr5358</t>
  </si>
  <si>
    <t>Superceded by: W-1419</t>
  </si>
  <si>
    <t>NA</t>
  </si>
  <si>
    <t>Dutcher, L. C.; Garrett, A. A.</t>
  </si>
  <si>
    <t>4f4e48cee4b07f02db54584c</t>
  </si>
  <si>
    <t>https://pubs.usgs.gov/publication/ofr5376</t>
  </si>
  <si>
    <t>51253</t>
  </si>
  <si>
    <t>ofr5376</t>
  </si>
  <si>
    <t>Maps and sections showing ground-water conditions in the San Bernardino area, California</t>
  </si>
  <si>
    <t>53-76</t>
  </si>
  <si>
    <t>10.3133/ofr5376</t>
  </si>
  <si>
    <t>Garrett, A. A.; Dutcher, L. C.</t>
  </si>
  <si>
    <t>4f4e4b0be4b07f02db69d656</t>
  </si>
  <si>
    <t>https://pubs.usgs.gov/publication/ofr53121</t>
  </si>
  <si>
    <t>51292</t>
  </si>
  <si>
    <t>ofr53121</t>
  </si>
  <si>
    <t>Fifth progress report on the cooperative investigation of springs and streamflow in the Tecolote Tunnel area of Santa Barbara County, California</t>
  </si>
  <si>
    <t>53-121</t>
  </si>
  <si>
    <t>10.3133/ofr53121</t>
  </si>
  <si>
    <t>268 p.</t>
  </si>
  <si>
    <t>Hofmann, Walter</t>
  </si>
  <si>
    <t>4f4e49fbe4b07f02db5f497c</t>
  </si>
  <si>
    <t>https://pubs.usgs.gov/publication/ofr53154</t>
  </si>
  <si>
    <t>51320</t>
  </si>
  <si>
    <t>ofr53154</t>
  </si>
  <si>
    <t>Possibilities of increased ground-water supply for Stewarts Point Rancheria Indian Reservation, California</t>
  </si>
  <si>
    <t>53-154</t>
  </si>
  <si>
    <t>10.3133/ofr53154</t>
  </si>
  <si>
    <t>Leonard, A.R.; Cardwell, G.T.</t>
  </si>
  <si>
    <t>4f4e4ad5e4b07f02db683bd6</t>
  </si>
  <si>
    <t>https://pubs.usgs.gov/publication/ofr53157</t>
  </si>
  <si>
    <t>51322</t>
  </si>
  <si>
    <t>ofr53157</t>
  </si>
  <si>
    <t>Southern California Water Bulletin for water year 1951-1952</t>
  </si>
  <si>
    <t>53-157</t>
  </si>
  <si>
    <t>10.3133/ofr53157</t>
  </si>
  <si>
    <t>26 p.</t>
  </si>
  <si>
    <t>Littlefield, W.M.; Hofmann, Walter</t>
  </si>
  <si>
    <t>4f4e49e6e4b07f02db5e72b4</t>
  </si>
  <si>
    <t>https://pubs.usgs.gov/publication/ofr53201</t>
  </si>
  <si>
    <t>51359</t>
  </si>
  <si>
    <t>ofr53201</t>
  </si>
  <si>
    <t>Geologic features and water resources of Campo, Mesa Grande, and La Jolla Indian Reservation, San Diego County, California</t>
  </si>
  <si>
    <t>53-201</t>
  </si>
  <si>
    <t>10.3133/ofr53201</t>
  </si>
  <si>
    <t>103 p., 3 plates</t>
  </si>
  <si>
    <t>Olmsted, F. H.</t>
  </si>
  <si>
    <t>4f4e4b16e4b07f02db6a567f</t>
  </si>
  <si>
    <t>https://pubs.usgs.gov/publication/ofr53202</t>
  </si>
  <si>
    <t>51360</t>
  </si>
  <si>
    <t>ofr53202</t>
  </si>
  <si>
    <t>Geologic features and water resources of Campo, Mesa Grande, La Jolla, and Pauma Indian Reservations, San Diego County, California - Part II, Pauma Reservation</t>
  </si>
  <si>
    <t>53-202</t>
  </si>
  <si>
    <t>10.3133/ofr53202</t>
  </si>
  <si>
    <t>31 p., 2 plates</t>
  </si>
  <si>
    <t>4f4e4b17e4b07f02db6a61cc</t>
  </si>
  <si>
    <t>https://pubs.usgs.gov/publication/ofr53218</t>
  </si>
  <si>
    <t>51374</t>
  </si>
  <si>
    <t>ofr53218</t>
  </si>
  <si>
    <t>Remarks on the program of the Water Resources Division, U. S. Geology Survey, and water problems in California, made before the Association of American State Geologists, Feb. 14, 1953, Los Angeles, California</t>
  </si>
  <si>
    <t>53-218</t>
  </si>
  <si>
    <t>10.3133/ofr53218</t>
  </si>
  <si>
    <t>4f4e4ac8e4b07f02db67bfa1</t>
  </si>
  <si>
    <t>https://pubs.usgs.gov/publication/ofr53219</t>
  </si>
  <si>
    <t>51375</t>
  </si>
  <si>
    <t>ofr53219</t>
  </si>
  <si>
    <t>Appendix A, Description of wells in the Putah and Suisan-Fairfield areas, Solano County, California</t>
  </si>
  <si>
    <t>53-219</t>
  </si>
  <si>
    <t>10.3133/ofr53219</t>
  </si>
  <si>
    <t>171 p., 1 plate</t>
  </si>
  <si>
    <t>Poland, J. F.; and others</t>
  </si>
  <si>
    <t>4f4e4ac7e4b07f02db67ac9b</t>
  </si>
  <si>
    <t>https://pubs.usgs.gov/publication/ofr53233</t>
  </si>
  <si>
    <t>51387</t>
  </si>
  <si>
    <t>ofr53233</t>
  </si>
  <si>
    <t>Statement on ground-water resources of Angel Island, California</t>
  </si>
  <si>
    <t>53-233</t>
  </si>
  <si>
    <t>10.3133/ofr53233</t>
  </si>
  <si>
    <t>Schlocker, Julius; Davis, G. H.</t>
  </si>
  <si>
    <t>4f4e49dfe4b07f02db5e3bf8</t>
  </si>
  <si>
    <t>https://pubs.usgs.gov/publication/ofr53266</t>
  </si>
  <si>
    <t>51582</t>
  </si>
  <si>
    <t>ofr53266</t>
  </si>
  <si>
    <t>Water levels in observation wells in Santa Barbara County, California, in 1952</t>
  </si>
  <si>
    <t>53-266</t>
  </si>
  <si>
    <t>10.3133/ofr53266</t>
  </si>
  <si>
    <t>Superceded by: W-1226</t>
  </si>
  <si>
    <t>20 p., 9 plates</t>
  </si>
  <si>
    <t>Waller, R.M.; Wilson, H.D. Jr.</t>
  </si>
  <si>
    <t>4f4e4a08e4b07f02db5f9da1</t>
  </si>
  <si>
    <t>https://pubs.usgs.gov/publication/ofr54246</t>
  </si>
  <si>
    <t>51743</t>
  </si>
  <si>
    <t>ofr54246</t>
  </si>
  <si>
    <t>Second memorandum on the flow of Aqua Caliente Spring after road construction at Palm Springs, California</t>
  </si>
  <si>
    <t>54-246</t>
  </si>
  <si>
    <t>10.3133/ofr54246</t>
  </si>
  <si>
    <t>Long Beach, CA</t>
  </si>
  <si>
    <t>Palm Springs</t>
  </si>
  <si>
    <t>Agua Caliente Spring</t>
  </si>
  <si>
    <t>Poland, J. F.; Dutcher, L. C.</t>
  </si>
  <si>
    <t>4f4e4a0be4b07f02db5fc274</t>
  </si>
  <si>
    <t>https://pubs.usgs.gov/publication/70221520</t>
  </si>
  <si>
    <t>70221520</t>
  </si>
  <si>
    <t>The influence of ground‐water storage on the runoff in the San Bernardino and eastern San Gabriel Mountains of Southern California</t>
  </si>
  <si>
    <t>10.1029/TR034i004p00552</t>
  </si>
  <si>
    <t>11 p.</t>
  </si>
  <si>
    <t>552</t>
  </si>
  <si>
    <t>562</t>
  </si>
  <si>
    <t>San Gabriel Mountains</t>
  </si>
  <si>
    <t>https://pubs.usgs.gov/publication/wsp1245</t>
  </si>
  <si>
    <t>648</t>
  </si>
  <si>
    <t>wsp1245</t>
  </si>
  <si>
    <t>Surface water supply of the United States, 1952, Part XI, Pacific slope basins in California</t>
  </si>
  <si>
    <t>100-103, 105-130, 132-153, 155-161, 164-194, 196-235, 237-253, 255, 256, 258-263, 265-267, 269-272, 29, 274-292, 30, 294-299, 301, 302, 304-307, 31, 32, 309-321, 33, 34, 323-342, 344-365, 367-375, 40, 41, 377-414, 42, 416-422, 43, 424-436, 44, 45, 46, 47, 438-477, 50, 51, 479-513, 52, 53, 515-535, 537-553, 56, 555-567, 57-64, 66-97, 99</t>
  </si>
  <si>
    <t>diversions (195, 207, 380, 383, 389, 391, 394, 396, 398, 400, 483, 489, 490-492, 537</t>
  </si>
  <si>
    <t>100, 102, 103, 104, 105, 111-115, 119, 121, 125, 129, 133, 135, 136-138, 147, 149, 152, 153, 154, 155, 159, 162, 163, 165, 166, 168, 175, 177-179, 184, 186-189, 194, 196-199, 202, 204-207, 211, 214-216, 219, 222-224, 228, 231, 235, 236, 237, 239-241, 243, 245-253, 255, 256, 259-262, 265, 266, 270-272, 276-278, 28, 282-285, 287, 288, 290-292, 294, 297-299, 30, 301, 302, 304, 305, 307, 309, 31, 313, 314, 316-318, 321, 323, 326, 328, 329, 330, 332, 335, 336, 338, 34, 340, 341, 345-350, 35, 353-359, 36, 365, 36, 367-375, 377-379, 381, 382, 38, 384-386, 388, 39, 390, 392, 393, 395, 397, 399, 40, 401, 402, 407, 41, 410, 411, 413, 414, 417-421, 42, 424, 425, 427, 428, 43, 429, 431-436, 439, 440, 44, 442-444, 447-450, 454, 455, 458, 459, 46, 460462, 463, 466, 468-470, 472-474, 477-482, 48, 485, 49, 494, 495, 497, 499, 500-506, 508, 51, 518, 52, 520-526, 529, 53, 530-532, 54, 538-549, 55, 551, 552, 555, 56, 61, 71, 73, 76-78, 80, 84, 85, 88, 89, 91-94, 97</t>
  </si>
  <si>
    <t>104, 110, 162, 163, 166, 28, 30, 35, 36, 37, 38, 39, 404, 416, 48, 49, 54, 55</t>
  </si>
  <si>
    <t>162, 163</t>
  </si>
  <si>
    <t>contents/change in contents (104, 154, 162, 163, 195, 254, 257, 264, 268, 273, 28, 293, 300, 303, 308, 322, 343, 35, 36, 37, 376, 38, 39, 415, 423, 437, 48, 49, 514, 536, 54, 55, 554, 65</t>
  </si>
  <si>
    <t>36, 39, 48 (inflow)</t>
  </si>
  <si>
    <t>Stream flow reports (20),  Number of water supply papers containing results of stream measurements (20), Reports containing compilation of records of discharge (22, 23, 24, 25, 26), Elevation (195, 254, 257, 264, 268, 273, 293, 300, 303, 308, 322, 343, 376, 415, 423, 437, 514, 536, 554, 98)</t>
  </si>
  <si>
    <t>100-130, 132-567, 20, 22, 23, 24, 25, 26, 28, 29, 30, 31, 32, 33, 34, 35, 36, 37, 38, 39, 40, 41, 42, 43, 44, 45, 46, 47, 48, 49, 50, 51, 52, 53, 54, 55, 56, 57-99</t>
  </si>
  <si>
    <t>1245</t>
  </si>
  <si>
    <t>10.3133/wsp1245</t>
  </si>
  <si>
    <t>1954</t>
  </si>
  <si>
    <t>xii, 565 p. ;23 cm.</t>
  </si>
  <si>
    <t>4f4e4afbe4b07f02db6963b5</t>
  </si>
  <si>
    <t>https://pubs.usgs.gov/publication/ofr5443</t>
  </si>
  <si>
    <t>22610</t>
  </si>
  <si>
    <t>ofr5443</t>
  </si>
  <si>
    <t>Data on water wells in Borrego, Ocotillo, San Felipe, and Vallecito Valley areas, eastern San Diego County, California</t>
  </si>
  <si>
    <t>54-43</t>
  </si>
  <si>
    <t>10.3133/ofr5443</t>
  </si>
  <si>
    <t>U.S. Geological Survey, Ground Water Branch,</t>
  </si>
  <si>
    <t>60 p. :chiefly tables, map ;28 cm.</t>
  </si>
  <si>
    <t>Burnham, W.L.</t>
  </si>
  <si>
    <t>4f4e4ac9e4b07f02db67c7c9</t>
  </si>
  <si>
    <t>https://pubs.usgs.gov/publication/ofr5466</t>
  </si>
  <si>
    <t>44087</t>
  </si>
  <si>
    <t>ofr5466</t>
  </si>
  <si>
    <t>Table showing estimated ground-water storage capacity of the San Joaquin Valley, California, and map showing ground-water storage units in the San Joaquin Valley</t>
  </si>
  <si>
    <t>54-66</t>
  </si>
  <si>
    <t>10.3133/ofr5466</t>
  </si>
  <si>
    <t>1 map</t>
  </si>
  <si>
    <t>Davis, G. H.</t>
  </si>
  <si>
    <t>4f4e4adfe4b07f02db687cef</t>
  </si>
  <si>
    <t>https://pubs.usgs.gov/publication/ofr5459</t>
  </si>
  <si>
    <t>51633</t>
  </si>
  <si>
    <t>ofr5459</t>
  </si>
  <si>
    <t>Interchange of surface and ground water along tributary streams in the Sacramento Valley, California, July 1952 to December 1954</t>
  </si>
  <si>
    <t>54-59</t>
  </si>
  <si>
    <t>10.3133/ofr5459</t>
  </si>
  <si>
    <t>Superceded by: OFR 62-0106</t>
  </si>
  <si>
    <t>63 p.</t>
  </si>
  <si>
    <t>Craig, F.C.; Kelley, W.E.; Olmsted, F. H.</t>
  </si>
  <si>
    <t>4f4e49dbe4b07f02db5e0a8f</t>
  </si>
  <si>
    <t>https://pubs.usgs.gov/publication/ofr5493</t>
  </si>
  <si>
    <t>51659</t>
  </si>
  <si>
    <t>ofr5493</t>
  </si>
  <si>
    <t>Tables of basic data to accompany report on geologic and hydrologic features of the San Bernardino area, California, with special reference to underflow across the San Jacinto fault</t>
  </si>
  <si>
    <t>54-93</t>
  </si>
  <si>
    <t>10.3133/ofr5493</t>
  </si>
  <si>
    <t>Report: 150 p.; Plate: 10.42 x 5.70 inches</t>
  </si>
  <si>
    <t>San Bernardino Area</t>
  </si>
  <si>
    <t>4f4e4adfe4b07f02db6877e4</t>
  </si>
  <si>
    <t>https://pubs.usgs.gov/publication/ofr54127</t>
  </si>
  <si>
    <t>51672</t>
  </si>
  <si>
    <t>ofr54127</t>
  </si>
  <si>
    <t>Southern California Water Bulletin for 1953: General review of the water resources of Southern California for the water year of 1952-53 with special reference to the surface runoff for the water year of 1951-52</t>
  </si>
  <si>
    <t>54-127</t>
  </si>
  <si>
    <t>10.3133/ofr54127</t>
  </si>
  <si>
    <t>37</t>
  </si>
  <si>
    <t>Hofman, Walter; Briggs, R.C.; Littlefield, W.M.</t>
  </si>
  <si>
    <t>4f4e49e6e4b07f02db5e7294</t>
  </si>
  <si>
    <t>https://pubs.usgs.gov/publication/ofr54336</t>
  </si>
  <si>
    <t>51801</t>
  </si>
  <si>
    <t>ofr54336</t>
  </si>
  <si>
    <t>Water levels in observation wells in Santa Barbara County, California, in 1953</t>
  </si>
  <si>
    <t>54-336</t>
  </si>
  <si>
    <t>10.3133/ofr54336</t>
  </si>
  <si>
    <t>19 p., 9 plates</t>
  </si>
  <si>
    <t>4f4e4a08e4b07f02db5f9da6</t>
  </si>
  <si>
    <t>https://pubs.usgs.gov/publication/ofr5444</t>
  </si>
  <si>
    <t>55743</t>
  </si>
  <si>
    <t>ofr5444</t>
  </si>
  <si>
    <t>Estimates of permeability of water-bearing deposits in Bayward portions of Napa, Sonoma, and PEtaluma Valleys, California</t>
  </si>
  <si>
    <t>54-44</t>
  </si>
  <si>
    <t>10.3133/ofr5444</t>
  </si>
  <si>
    <t>Cardwell, G.T.</t>
  </si>
  <si>
    <t>4f4e4a0ce4b07f02db5fca8e</t>
  </si>
  <si>
    <t>https://pubs.usgs.gov/publication/om154</t>
  </si>
  <si>
    <t>69065</t>
  </si>
  <si>
    <t>om154</t>
  </si>
  <si>
    <t>Geologic map of the northern Santa Ana Mountains, Orange and Riverside Counties, California</t>
  </si>
  <si>
    <t>Oil and Gas Investigation Map</t>
  </si>
  <si>
    <t>154</t>
  </si>
  <si>
    <t>10.3133/om154</t>
  </si>
  <si>
    <t>Plate: 53.40 x 41.14 inches</t>
  </si>
  <si>
    <t>Orange County, Riverside County</t>
  </si>
  <si>
    <t>Santa Ana Mountains</t>
  </si>
  <si>
    <t>24000</t>
  </si>
  <si>
    <t>Schoellhamer, J. E.; Kinney, D.M.; Yerkes, R.F.; Vedder, J.G.</t>
  </si>
  <si>
    <t>4f4e4ae1e4b07f02db688a03</t>
  </si>
  <si>
    <t>https://pubs.usgs.gov/publication/wsp1285</t>
  </si>
  <si>
    <t>658</t>
  </si>
  <si>
    <t>wsp1285</t>
  </si>
  <si>
    <t>Surface water supply of the United States, 1953, Part XI, Pacific slope basins in California</t>
  </si>
  <si>
    <t>100- 149, 151-189, 191-193, 195-237, 239-241, 243-251, 253-256, 258, 259, 261-263, 265-276, 278-280, 28, 282-285, 29, 287-289, 30, 31, 291-310, 312-316, 32, 318, 319, 321-324, 326-339, 341-354, 356, 357, 38, 359-382, 39, 384-394, 396, 397, 40, 399-401, 41, 403-409, 42, 43, 44, 411-437, 439-444, 446-450, 452-456, 49, 458-493, 50, 495-500, 502-509, 52, 53, 54, 55, 56, 511-561, 57, 563-578, 58, 580-582, 59, 584, 588, 61-97, 99</t>
  </si>
  <si>
    <t>diversions (151, 190, 202, 563</t>
  </si>
  <si>
    <t>101, 105, 106, 108, 109, 114, 116, 120, 127, 129, 131-134, 143, 145, 146, 148, 149, 150, 153-157, 158, 159, 160-164, 166-168, 171-177, 179, 181-183, 187, 189, 191, 192, 195, 199-203, 205, 206, 208-210, 212, 213, 215, 217, 219-223, 225-227, 230, 232, 233, 235, 241, 243, 245, 247-251, 253-256, 258, 259, 262, 263, 265, 267, 269, 271, 273, 275, 278, 279, 282, 285, 288, 29, 293-296, 30, 298-310, 312, 313, 315, 316, 318, 32, 319, 321-324, 326, 329, 33, 330-336, 339, 34, 341, 35, 346-354, 356, 36, 360, 361, 364, 365, 367-369, 37, 371-375, 377, 38, 379, 380-382, 384, 39, 387-390, 392-394, 396, 397, 399, 40, 403, 405, 406, 407, 409, 411, 413, 414, 416, 418, 42, 421, 424, 430, 433, 434, 436, 437, 44, 439-444, 446-450, 452-456, 459, 46, 460, 462-464, 467-469, 47, 474, 475, 478-480, 48, 483, 486, 487, 49, 490-492, 495, 498, 500, 502, 504-506, 509, 51, 510-512, 514, 517, 518, 519, 52, 521, 523, 526, 527, 528, 530-535, 537-539, 541, 542, 544, 546-554, 557, 558, 559, 56, 564-578, 580, 59, 61, 63, 65, 66, 68-73, 75, 76, 79, 80, 84, 87, 89, 94, 96, 97, 98</t>
  </si>
  <si>
    <t>104, 151, 158, 159, 196, 240, 33, 34, 35, 36, 37, 383, 385, 391, 400, 406, 427, 44, 47, 475, 487, 50, 51, 517, 518, 520, 540, 572, 93, 97</t>
  </si>
  <si>
    <t>contents/change in contents (150, 158, 159, 190, 257, 260, 277, 281, 290, 311, 317, 320, 325, 33, 34, 340, 35, 358, 36, 37, 395, 438, 445, 457, 46, 47, 51, 543, 562, 579, 60, 97</t>
  </si>
  <si>
    <t>158, 159, 37, 46 (Inflow)</t>
  </si>
  <si>
    <t>Number of water supply papers containing results of stream measurements (20),  Reports containing compilation of records of discharge (22, 23, 24, 25), Elevation (190, 238, 257, 260, 277, 281, 290, 311, 317, 320, 325, 340, 358, 395, 438, 445, 457, 543, 562, 579, 93</t>
  </si>
  <si>
    <t>61-99, 100-193, 20, 22, 195-241, 23, 24, 243-251, 25, 253-263, 265-285, 28, 287-354, 29, 30, 31, 32, 33, 34, 35, 356-397, 36, 37, 38, 39, 399-401, 40, 403-409, 41, 411-450, 42, 43, 44, 452-481, 46, 47, 48, 483-500, 49, 50, 502-582, 51, 52, 53, 54, 55, 56, 57, 58, 59, 584, 588, 60</t>
  </si>
  <si>
    <t>1285</t>
  </si>
  <si>
    <t>10.3133/wsp1285</t>
  </si>
  <si>
    <t>1955</t>
  </si>
  <si>
    <t>xii, 575 p. ;23 cm.</t>
  </si>
  <si>
    <t>4f4e4afbe4b07f02db696314</t>
  </si>
  <si>
    <t>https://pubs.usgs.gov/publication/wsp1226</t>
  </si>
  <si>
    <t>810</t>
  </si>
  <si>
    <t>wsp1226</t>
  </si>
  <si>
    <t>Water levels and artesian pressures in observation wells in the United States in 1952: Part 6, southwestern states and territory of Hawaii</t>
  </si>
  <si>
    <t>1226</t>
  </si>
  <si>
    <t>10.3133/wsp1226</t>
  </si>
  <si>
    <t>vii, 237 p.</t>
  </si>
  <si>
    <t>Arizona, California, Nevada, New Mexico, Hawaii</t>
  </si>
  <si>
    <t>4f4e4a08e4b07f02db5f9ea1</t>
  </si>
  <si>
    <t>https://pubs.usgs.gov/publication/wsp1329A</t>
  </si>
  <si>
    <t>2543</t>
  </si>
  <si>
    <t>wsp1329A</t>
  </si>
  <si>
    <t>Water-power resources in upper Carson River basin, California - Nevada</t>
  </si>
  <si>
    <t>1329</t>
  </si>
  <si>
    <t>10.3133/wsp1329A</t>
  </si>
  <si>
    <t>U.S. General Printing Office</t>
  </si>
  <si>
    <t>Report: iv, 29 p.; 2 Plates: 11.50 x 19.35 inches and  14.90 x 7.40 inches</t>
  </si>
  <si>
    <t>California, Nevada</t>
  </si>
  <si>
    <t>Pumphrey, Harold L.</t>
  </si>
  <si>
    <t>4f4e48cee4b07f02db545354</t>
  </si>
  <si>
    <t>https://pubs.usgs.gov/publication/wsp1297</t>
  </si>
  <si>
    <t>2850</t>
  </si>
  <si>
    <t>wsp1297</t>
  </si>
  <si>
    <t>Ground water of the Lower Lake-Middletown area, Lake County, California</t>
  </si>
  <si>
    <t>1297</t>
  </si>
  <si>
    <t>10.3133/wsp1297</t>
  </si>
  <si>
    <t>Report: iv, 83 p.; 1 Plate: 11.50 x 20.54 inches</t>
  </si>
  <si>
    <t>Lake County</t>
  </si>
  <si>
    <t>Lower Lake-Middletown area</t>
  </si>
  <si>
    <t>Upson, Joseph Edwin; Kunkel, Fred</t>
  </si>
  <si>
    <t>4f4e4ab0e4b07f02db66d6f6</t>
  </si>
  <si>
    <t>https://pubs.usgs.gov/publication/ofr5521</t>
  </si>
  <si>
    <t>22611</t>
  </si>
  <si>
    <t>ofr5521</t>
  </si>
  <si>
    <t>Data on water wells in Coyote, Cronise, Soda, and Silver Lake Valleys, San Bernardino County, California</t>
  </si>
  <si>
    <t>55-21</t>
  </si>
  <si>
    <t>10.3133/ofr5521</t>
  </si>
  <si>
    <t>United States Department of the Interior, Geological Survey, Ground Water Branch,</t>
  </si>
  <si>
    <t>48 p</t>
  </si>
  <si>
    <t>4f4e4ac5e4b07f02db679d77</t>
  </si>
  <si>
    <t>https://pubs.usgs.gov/publication/ofr55117</t>
  </si>
  <si>
    <t>23994</t>
  </si>
  <si>
    <t>ofr55117</t>
  </si>
  <si>
    <t>Water levels in observation wells in Santa Barbara County, California; in 1954</t>
  </si>
  <si>
    <t>55-117</t>
  </si>
  <si>
    <t>10.3133/ofr55117</t>
  </si>
  <si>
    <t>U.S. Dept. of the Interior, Geological Survey,</t>
  </si>
  <si>
    <t>66 p</t>
  </si>
  <si>
    <t>Muir, K. S.</t>
  </si>
  <si>
    <t>4f4e4a08e4b07f02db5f9d48</t>
  </si>
  <si>
    <t>https://pubs.usgs.gov/publication/ofr5544</t>
  </si>
  <si>
    <t>51819</t>
  </si>
  <si>
    <t>ofr5544</t>
  </si>
  <si>
    <t>Possibilities for developing productive water wells at the Veterans' Administration Hospital, Sepulveda, California</t>
  </si>
  <si>
    <t>55-44</t>
  </si>
  <si>
    <t>10.3133/ofr5544</t>
  </si>
  <si>
    <t>16 p.</t>
  </si>
  <si>
    <t>4f4e4ad6e4b07f02db683c23</t>
  </si>
  <si>
    <t>https://pubs.usgs.gov/publication/ofr5566</t>
  </si>
  <si>
    <t>51831</t>
  </si>
  <si>
    <t>ofr5566</t>
  </si>
  <si>
    <t>Sixth progress report on the cooperative investigation of springs and streamflow in the Tecolote Tunnel area of Santa Barbara County, California</t>
  </si>
  <si>
    <t>55-66</t>
  </si>
  <si>
    <t>10.3133/ofr5566</t>
  </si>
  <si>
    <t>Report: 133 p.; Plate: 10.46 x 7.75 inches</t>
  </si>
  <si>
    <t>Tecolote Tunnel Area</t>
  </si>
  <si>
    <t>4f4e49f3e4b07f02db5efb58</t>
  </si>
  <si>
    <t>https://pubs.usgs.gov/publication/ofr5586</t>
  </si>
  <si>
    <t>51839</t>
  </si>
  <si>
    <t>ofr5586</t>
  </si>
  <si>
    <t>Open-file Appendix: Tables on basic data on geology and ground water of the Inyokern Naval Ordinance Test Station and vicinity, California</t>
  </si>
  <si>
    <t>55-86</t>
  </si>
  <si>
    <t>10.3133/ofr5586</t>
  </si>
  <si>
    <t>115 p., 1 plate</t>
  </si>
  <si>
    <t>Kunkel, Fred; Chase, G.H.; Hiltgen, W.J.</t>
  </si>
  <si>
    <t>4f4e4af1e4b07f02db691865</t>
  </si>
  <si>
    <t>https://pubs.usgs.gov/publication/ofr5595</t>
  </si>
  <si>
    <t>51845</t>
  </si>
  <si>
    <t>ofr5595</t>
  </si>
  <si>
    <t>Statement on ground-water conditions in Santa Rosa, Petaluma, and Sonoma Valleys, Sonoma County, California</t>
  </si>
  <si>
    <t>55-95</t>
  </si>
  <si>
    <t>10.3133/ofr5595</t>
  </si>
  <si>
    <t>Sonoma County</t>
  </si>
  <si>
    <t>4f4e49e0e4b07f02db5e3ec5</t>
  </si>
  <si>
    <t>https://pubs.usgs.gov/publication/ofr55143</t>
  </si>
  <si>
    <t>51863</t>
  </si>
  <si>
    <t>ofr55143</t>
  </si>
  <si>
    <t>Surface-water hydrology of coastal basins in northern California</t>
  </si>
  <si>
    <t>55-143</t>
  </si>
  <si>
    <t>10.3133/ofr55143</t>
  </si>
  <si>
    <t>85 p., 6 maps</t>
  </si>
  <si>
    <t>Rantz, S. E.</t>
  </si>
  <si>
    <t>4f4e4ae5e4b07f02db68a6df</t>
  </si>
  <si>
    <t>https://pubs.usgs.gov/publication/ofr5567</t>
  </si>
  <si>
    <t>55744</t>
  </si>
  <si>
    <t>ofr5567</t>
  </si>
  <si>
    <t>Southern California Water Resources Summary for 1954</t>
  </si>
  <si>
    <t>55-67</t>
  </si>
  <si>
    <t>10.3133/ofr5567</t>
  </si>
  <si>
    <t>34 p.; 6 fig.</t>
  </si>
  <si>
    <t>Hofmann, Walter; Briggs, R.C.; Littlefield, W.M.</t>
  </si>
  <si>
    <t>4f4e49e6e4b07f02db5e72e2</t>
  </si>
  <si>
    <t>https://pubs.usgs.gov/publication/ofr55201</t>
  </si>
  <si>
    <t>57708</t>
  </si>
  <si>
    <t>ofr55201</t>
  </si>
  <si>
    <t>Estimates of ground-water storage capacity of the Lompoc subarea, Santa Ynez River Valley, California</t>
  </si>
  <si>
    <t>55-201</t>
  </si>
  <si>
    <t>10.3133/ofr55201</t>
  </si>
  <si>
    <t>Superseded by: WSP 1467</t>
  </si>
  <si>
    <t>4 p., 1 plate</t>
  </si>
  <si>
    <t>4f4e4a0ce4b07f02db5fcad6</t>
  </si>
  <si>
    <t>https://pubs.usgs.gov/publication/70047871</t>
  </si>
  <si>
    <t>70047871</t>
  </si>
  <si>
    <t>Effect of Arvin-Tehachapi earthquake on spring and streaflow</t>
  </si>
  <si>
    <t>Earthquakes in Kern County, California, during 1952 (Bulletin 171)</t>
  </si>
  <si>
    <t>California Division of Mines</t>
  </si>
  <si>
    <t>San Francisco, CA</t>
  </si>
  <si>
    <t>17 p.</t>
  </si>
  <si>
    <t>State or Local Government Series</t>
  </si>
  <si>
    <t>97</t>
  </si>
  <si>
    <t>Briggs, Revoe C.; Troxell, Harold C.</t>
  </si>
  <si>
    <t>521f1be4e4b0f8bf2b0760f6</t>
  </si>
  <si>
    <t>https://pubs.usgs.gov/publication/70220436</t>
  </si>
  <si>
    <t>70220436</t>
  </si>
  <si>
    <t>Violent mud-volcano eruption of lake city hot springs, northeastern California</t>
  </si>
  <si>
    <t>GSA Bulletin</t>
  </si>
  <si>
    <t>10.1130/0016-7606(1955)66[1109:VMEOLC]2.0.CO;2</t>
  </si>
  <si>
    <t>Geological Society of America</t>
  </si>
  <si>
    <t>22 p.</t>
  </si>
  <si>
    <t>1109</t>
  </si>
  <si>
    <t>1130</t>
  </si>
  <si>
    <t>Modoc County</t>
  </si>
  <si>
    <t>White, Donald E.</t>
  </si>
  <si>
    <t>https://pubs.usgs.gov/publication/wsp1260D</t>
  </si>
  <si>
    <t>43</t>
  </si>
  <si>
    <t>wsp1260D</t>
  </si>
  <si>
    <t>Floods of 1952 in California. Flood of January 1952 in the south San Francisco Bay region; Snowmelt flood of 1952 in Kern River, Tulare Lake, and San Joaquin River basins</t>
  </si>
  <si>
    <t>16-29, 31, 33, 35, 43, 10, 46</t>
  </si>
  <si>
    <t>16-29, 31, 33, 35, 43</t>
  </si>
  <si>
    <t>16-29, 31, 33</t>
  </si>
  <si>
    <t>10, 46</t>
  </si>
  <si>
    <t>Drainage (10, 31, 35), Flood damages (12, 48, 49), Average snow pack in basin (42)</t>
  </si>
  <si>
    <t>10, 12, 16-29, 31, 33, 35, 42, 43, 46, 48, 49</t>
  </si>
  <si>
    <t>1260</t>
  </si>
  <si>
    <t>10.3133/wsp1260D</t>
  </si>
  <si>
    <t>1956</t>
  </si>
  <si>
    <t>vi, 531-575 p. :ill., maps ;24 cm.</t>
  </si>
  <si>
    <t>Rantz, S. E.; Stafford, H.M.</t>
  </si>
  <si>
    <t>4f4e49dae4b07f02db5e0355</t>
  </si>
  <si>
    <t>https://pubs.usgs.gov/publication/wsp1345</t>
  </si>
  <si>
    <t>667</t>
  </si>
  <si>
    <t>wsp1345</t>
  </si>
  <si>
    <t>Surface water supply of the United States, 1954, Part XI, Pacific slope basins in California</t>
  </si>
  <si>
    <t>1345</t>
  </si>
  <si>
    <t>10.3133/wsp1345</t>
  </si>
  <si>
    <t>xii, 574 p. ;23 cm.</t>
  </si>
  <si>
    <t>4f4e4afbe4b07f02db696260</t>
  </si>
  <si>
    <t>https://pubs.usgs.gov/publication/wsp1109</t>
  </si>
  <si>
    <t>2515</t>
  </si>
  <si>
    <t>wsp1109</t>
  </si>
  <si>
    <t>Ground-water geology of the coastal zone, Long Beach-Santa Ana area, California</t>
  </si>
  <si>
    <t>10.3133/wsp1109</t>
  </si>
  <si>
    <t>Report: v, 162 p.; 8 Plates: 61.10 x 16.00 inches or smaller</t>
  </si>
  <si>
    <t>Long Beach-Santa Ana area</t>
  </si>
  <si>
    <t>Poland, J. F.; Piper, A. M.</t>
  </si>
  <si>
    <t>4f4e4aaae4b07f02db668d91</t>
  </si>
  <si>
    <t>https://pubs.usgs.gov/publication/cir391</t>
  </si>
  <si>
    <t>3927</t>
  </si>
  <si>
    <t>cir391</t>
  </si>
  <si>
    <t>Index of surface-water records to September 30, 1955, part 11, Pacific slope basins in California</t>
  </si>
  <si>
    <t>10.3133/cir391</t>
  </si>
  <si>
    <t>27 p. ;27 cm.</t>
  </si>
  <si>
    <t>Gatewood, J. S.</t>
  </si>
  <si>
    <t>4f4e49f8e4b07f02db5f2fc1</t>
  </si>
  <si>
    <t>https://pubs.usgs.gov/publication/cir389</t>
  </si>
  <si>
    <t>3930</t>
  </si>
  <si>
    <t>cir389</t>
  </si>
  <si>
    <t>Index of surface-water records to September 30, 1955: Part 9. - Colorado River basin</t>
  </si>
  <si>
    <t>389</t>
  </si>
  <si>
    <t>10.3133/cir389</t>
  </si>
  <si>
    <t>31 p.</t>
  </si>
  <si>
    <t>Arizona, California, Colorado, Nevada, New Mexico, Utah, Wyoming</t>
  </si>
  <si>
    <t>4f4e49f8e4b07f02db5f2ee6</t>
  </si>
  <si>
    <t>https://pubs.usgs.gov/publication/cir390</t>
  </si>
  <si>
    <t>3931</t>
  </si>
  <si>
    <t>cir390</t>
  </si>
  <si>
    <t>Index of surface-water records to September 30, 1955: Part 10. - The Great Basin</t>
  </si>
  <si>
    <t>390</t>
  </si>
  <si>
    <t>10.3133/cir390</t>
  </si>
  <si>
    <t>California, Nevada, Oregon, Utah, Wyoming</t>
  </si>
  <si>
    <t>Great Basin</t>
  </si>
  <si>
    <t>4f4e4ac7e4b07f02db67b346</t>
  </si>
  <si>
    <t>https://pubs.usgs.gov/publication/ofr56137</t>
  </si>
  <si>
    <t>16241</t>
  </si>
  <si>
    <t>ofr56137</t>
  </si>
  <si>
    <t>Geology and ground-water resources of the Putah and Suisun-Fairfield areas, Solano County, California, with special references to the usable ground-water storage capacity</t>
  </si>
  <si>
    <t>56-137</t>
  </si>
  <si>
    <t>10.3133/ofr56137</t>
  </si>
  <si>
    <t>[s.n.],</t>
  </si>
  <si>
    <t>719 p.; 5 v. :ill., maps (some folded) ;27 cm.</t>
  </si>
  <si>
    <t>Thomasson, H.G. Jr.; Olmsted, F. H.; LeRoux, E. F.</t>
  </si>
  <si>
    <t>4f4e4adae4b07f02db68551a</t>
  </si>
  <si>
    <t>https://pubs.usgs.gov/publication/ofr5636</t>
  </si>
  <si>
    <t>22843</t>
  </si>
  <si>
    <t>ofr5636</t>
  </si>
  <si>
    <t>Ground-water conditions and storage capacity in the San Joaquin Valley, California</t>
  </si>
  <si>
    <t>56-36</t>
  </si>
  <si>
    <t>10.3133/ofr5636</t>
  </si>
  <si>
    <t>California Division of Water Resources,</t>
  </si>
  <si>
    <t>2 v. :ill., maps ;27 cm.</t>
  </si>
  <si>
    <t>Davis, G. H.; Green, J. H.; Olmstead, F.H.; Brown, D. W.</t>
  </si>
  <si>
    <t>4f4e4aafe4b07f02db66d334</t>
  </si>
  <si>
    <t>https://pubs.usgs.gov/publication/ofr5641</t>
  </si>
  <si>
    <t>22946</t>
  </si>
  <si>
    <t>ofr5641</t>
  </si>
  <si>
    <t>Memorandum summarizing preliminary estimates of ground-water outflow from Bunker Hill Basin at Colton Narrows, San Bernardino County, California</t>
  </si>
  <si>
    <t>56-41</t>
  </si>
  <si>
    <t>10.3133/ofr5641</t>
  </si>
  <si>
    <t>U.S. Dept. of the Interior, Geological Survey, Water Resources Division, Ground-Water Branch,</t>
  </si>
  <si>
    <t>14 p. ill., maps ;27 cm.</t>
  </si>
  <si>
    <t>4f4e4a2ce4b07f02db61410d</t>
  </si>
  <si>
    <t>https://pubs.usgs.gov/publication/ofr5672</t>
  </si>
  <si>
    <t>23112</t>
  </si>
  <si>
    <t>ofr5672</t>
  </si>
  <si>
    <t>A brief hydrologic and geologic reconnaissance of Pinto Basin, Joshua Tree National Monument, Riverside County, California</t>
  </si>
  <si>
    <t>56-72</t>
  </si>
  <si>
    <t>10.3133/ofr5672</t>
  </si>
  <si>
    <t>35 p. (some folded) :ill., map ;27 cm.</t>
  </si>
  <si>
    <t>Kunkel, Fred</t>
  </si>
  <si>
    <t>53cd497ae4b0b290850ef379</t>
  </si>
  <si>
    <t>https://pubs.usgs.gov/publication/ofr5673</t>
  </si>
  <si>
    <t>23627</t>
  </si>
  <si>
    <t>ofr5673</t>
  </si>
  <si>
    <t>Data on water wells in Cuddeback, Superior, and Harper Valleys, San Bernardino County, California</t>
  </si>
  <si>
    <t>56-73</t>
  </si>
  <si>
    <t>10.3133/ofr5673</t>
  </si>
  <si>
    <t>United States Department of the Interior Geological Survey, Ground Water Branch,</t>
  </si>
  <si>
    <t>73 p. :map ;27 cm.</t>
  </si>
  <si>
    <t>4f4e4ac7e4b07f02db67b592</t>
  </si>
  <si>
    <t>https://pubs.usgs.gov/publication/ofr56100</t>
  </si>
  <si>
    <t>24329</t>
  </si>
  <si>
    <t>ofr56100</t>
  </si>
  <si>
    <t>Data on water wells in Lucerne, Johnson, Fry, and Means Valleys, San Bernardino County, California</t>
  </si>
  <si>
    <t>56-100</t>
  </si>
  <si>
    <t>10.3133/ofr56100</t>
  </si>
  <si>
    <t>150 p. :map ;27 cm.</t>
  </si>
  <si>
    <t>Riley, Francis S.</t>
  </si>
  <si>
    <t>4f4e4ac7e4b07f02db67b59f</t>
  </si>
  <si>
    <t>https://pubs.usgs.gov/publication/ofr5619</t>
  </si>
  <si>
    <t>46329</t>
  </si>
  <si>
    <t>ofr5619</t>
  </si>
  <si>
    <t>Map of Redlands-Beaumont area, California, showing well locations and water-level contours for March 1955</t>
  </si>
  <si>
    <t>56-19</t>
  </si>
  <si>
    <t>10.3133/ofr5619</t>
  </si>
  <si>
    <t>1 map.</t>
  </si>
  <si>
    <t>Burnham, Willis L.; Dutcher, L. C.</t>
  </si>
  <si>
    <t>4f4e4a91e4b07f02db656add</t>
  </si>
  <si>
    <t>https://pubs.usgs.gov/publication/ofr561</t>
  </si>
  <si>
    <t>51884</t>
  </si>
  <si>
    <t>ofr561</t>
  </si>
  <si>
    <t>Sediment data for streams in northwestern California</t>
  </si>
  <si>
    <t>56-1</t>
  </si>
  <si>
    <t>10.3133/ofr561</t>
  </si>
  <si>
    <t>Ames, F.C.</t>
  </si>
  <si>
    <t>4f4e4a0be4b07f02db5fc093</t>
  </si>
  <si>
    <t>https://pubs.usgs.gov/publication/ofr5613</t>
  </si>
  <si>
    <t>51892</t>
  </si>
  <si>
    <t>ofr5613</t>
  </si>
  <si>
    <t>Chemical quality of the water of the coastal basins of northern California</t>
  </si>
  <si>
    <t>56-13</t>
  </si>
  <si>
    <t>10.3133/ofr5613</t>
  </si>
  <si>
    <t>48 p.</t>
  </si>
  <si>
    <t>Brennan, Robert</t>
  </si>
  <si>
    <t>4f4e49dfe4b07f02db5e3841</t>
  </si>
  <si>
    <t>https://pubs.usgs.gov/publication/ofr5685</t>
  </si>
  <si>
    <t>51920</t>
  </si>
  <si>
    <t>ofr5685</t>
  </si>
  <si>
    <t>Water levels in observation wells in Santa Barbara County, California, in 1955</t>
  </si>
  <si>
    <t>56-85</t>
  </si>
  <si>
    <t>10.3133/ofr5685</t>
  </si>
  <si>
    <t>69 p., 9 plates</t>
  </si>
  <si>
    <t>Muir, K. S.; Merritt, P.M.</t>
  </si>
  <si>
    <t>4f4e4a08e4b07f02db5f9dd6</t>
  </si>
  <si>
    <t>https://pubs.usgs.gov/publication/ofr56119</t>
  </si>
  <si>
    <t>51938</t>
  </si>
  <si>
    <t>ofr56119</t>
  </si>
  <si>
    <t>Southern California water resources summary for 1955</t>
  </si>
  <si>
    <t>56-119</t>
  </si>
  <si>
    <t>10.3133/ofr56119</t>
  </si>
  <si>
    <t>42 p.</t>
  </si>
  <si>
    <t>4f4e4ac8e4b07f02db67bbda</t>
  </si>
  <si>
    <t>https://pubs.usgs.gov/publication/70047877</t>
  </si>
  <si>
    <t>70047877</t>
  </si>
  <si>
    <t>Federal Government Series</t>
  </si>
  <si>
    <t>Natural Resources of Northwestern California: Water Resources</t>
  </si>
  <si>
    <t>Volume 6</t>
  </si>
  <si>
    <t>Pacific Southwest Field Committee</t>
  </si>
  <si>
    <t>521f1bebe4b0f8bf2b07615d</t>
  </si>
  <si>
    <t>https://pubs.usgs.gov/publication/wsp1254</t>
  </si>
  <si>
    <t>969</t>
  </si>
  <si>
    <t>wsp1254</t>
  </si>
  <si>
    <t>Geology and ground-water features of the Smith River Plain, Del Norte County, California</t>
  </si>
  <si>
    <t>1254</t>
  </si>
  <si>
    <t>10.3133/wsp1254</t>
  </si>
  <si>
    <t>1957</t>
  </si>
  <si>
    <t>iv, 76 p. :illus., maps (3 fold. in pocket) tables. ;24 cm.</t>
  </si>
  <si>
    <t>Back, William</t>
  </si>
  <si>
    <t>4f4e4adbe4b07f02db685d5c</t>
  </si>
  <si>
    <t>https://pubs.usgs.gov/publication/wsp1360G</t>
  </si>
  <si>
    <t>1257</t>
  </si>
  <si>
    <t>wsp1360G</t>
  </si>
  <si>
    <t>Ground-water conditions in the Mendota-Huron area, Fresno and Kings Counties, California</t>
  </si>
  <si>
    <t>Well No. (looks like TRS)</t>
  </si>
  <si>
    <t>101, 103, 105, 107, 109, 111, 113, 115, 117, 119, 121, 123, 125, 127, 129, 131, 133, 135, 137, 139, 141, 143, 145, 147, 149, 151, 153, 155, 157, 159,  161, 163, 165, 167, 169, 171, 173, 175, 177, 179, 181, 183, 69, 71, 73, 75, 77, 79, 81, 83, 85, 87, 89, 91, 93, 95, 97, 99</t>
  </si>
  <si>
    <t>100-183, 48-50, 51-53, 68-99</t>
  </si>
  <si>
    <t>105, 115, 123, 127, 137, 139, 151, 155, 163, 165, 173, 175, 179, 71, 73, 87, 91, 93, 99</t>
  </si>
  <si>
    <t>63, 101, 103, 105, 107, 109, 111, 113, 115, 117, 119, 121, 123, 125, 127, 129, 131, 133, 135, 137, 139, 141, 143, 145, 147, 149, 151, 153, 155, 157, 159,  161, 163, 165, 167, 169, 171, 173, 175, 177, 179, 181, 183, 69, 71, 73, 75, 77, 79, 81, 83, 85, 87, 89, 91, 93, 95, 97, 99</t>
  </si>
  <si>
    <t>30, 63</t>
  </si>
  <si>
    <t>N/A</t>
  </si>
  <si>
    <t>100-183, 30, 48-53, 63, 68-99</t>
  </si>
  <si>
    <t>1360</t>
  </si>
  <si>
    <t>10.3133/wsp1360G</t>
  </si>
  <si>
    <t>Report: iv, 180 p.; 9 Plates: 32.00 × 40.00 inches or smaller</t>
  </si>
  <si>
    <t>Contributions to the hydrology of the United States, 1955</t>
  </si>
  <si>
    <t>Fresno County, Kings County</t>
  </si>
  <si>
    <t>Mendota-Huron area</t>
  </si>
  <si>
    <t>Davis, G. H.; Poland, J. F.</t>
  </si>
  <si>
    <t>11</t>
  </si>
  <si>
    <t>4f4e4aafe4b07f02db66d136</t>
  </si>
  <si>
    <t>https://pubs.usgs.gov/publication/wsp1366</t>
  </si>
  <si>
    <t>2835</t>
  </si>
  <si>
    <t>wsp1366</t>
  </si>
  <si>
    <t>Water resources of southern California with special reference to the drought of 1944-51</t>
  </si>
  <si>
    <t>1366</t>
  </si>
  <si>
    <t>10.3133/wsp1366</t>
  </si>
  <si>
    <t>U. S. Govt. Print. Off.,</t>
  </si>
  <si>
    <t>vi, 139 p. :maps, diagrs., tables. ;23 cm.</t>
  </si>
  <si>
    <t>4f4e49f4e4b07f02db5f066e</t>
  </si>
  <si>
    <t>https://pubs.usgs.gov/publication/cir378</t>
  </si>
  <si>
    <t>3671</t>
  </si>
  <si>
    <t>cir378</t>
  </si>
  <si>
    <t>Water resources of the San Francisco Bay area, California</t>
  </si>
  <si>
    <t>10.3133/cir378</t>
  </si>
  <si>
    <t>v, 55 p. :ill., maps (1 col.) ;27 cm.</t>
  </si>
  <si>
    <t>Matthai, Howard Frederick; Back, William; Orth, R.P.; Brennan, Robert</t>
  </si>
  <si>
    <t>4f4e49f3e4b07f02db5efabc</t>
  </si>
  <si>
    <t>https://pubs.usgs.gov/publication/cir399</t>
  </si>
  <si>
    <t>3807</t>
  </si>
  <si>
    <t>cir399</t>
  </si>
  <si>
    <t>Water resources summary for southern California, 1956</t>
  </si>
  <si>
    <t>399</t>
  </si>
  <si>
    <t>10.3133/cir399</t>
  </si>
  <si>
    <t>iii, 18 p. :ill., maps ;27 cm.</t>
  </si>
  <si>
    <t>Hofmann, Walter; Peterson, W. C.</t>
  </si>
  <si>
    <t>4f4e49f4e4b07f02db5f01d8</t>
  </si>
  <si>
    <t>https://pubs.usgs.gov/publication/ofr5762</t>
  </si>
  <si>
    <t>23628</t>
  </si>
  <si>
    <t>ofr5762</t>
  </si>
  <si>
    <t>Data on water wells in the Willow Springs, Gloster, and Chaffee areas, Kern County, California</t>
  </si>
  <si>
    <t>57-62</t>
  </si>
  <si>
    <t>10.3133/ofr5762</t>
  </si>
  <si>
    <t>Report: 67 p.; 1 Plate: 32.92 x 24.57 inches</t>
  </si>
  <si>
    <t>67</t>
  </si>
  <si>
    <t>Kern County</t>
  </si>
  <si>
    <t>Chaffee, Gloster, Willow Springs</t>
  </si>
  <si>
    <t>4f4e4ac7e4b07f02db67b56c</t>
  </si>
  <si>
    <t>https://pubs.usgs.gov/publication/ofr5778</t>
  </si>
  <si>
    <t>23995</t>
  </si>
  <si>
    <t>ofr5778</t>
  </si>
  <si>
    <t>Water levels in observation wells in Santa Barbara County, California, in 1956</t>
  </si>
  <si>
    <t>57-78</t>
  </si>
  <si>
    <t>10.3133/ofr5778</t>
  </si>
  <si>
    <t>77 p.</t>
  </si>
  <si>
    <t>4f4e4a08e4b07f02db5f9d70</t>
  </si>
  <si>
    <t>https://pubs.usgs.gov/publication/ofr5792</t>
  </si>
  <si>
    <t>46033</t>
  </si>
  <si>
    <t>ofr5792</t>
  </si>
  <si>
    <t>Map and graph showing land subsidence and ground-water level in Santa Clara Valley, California</t>
  </si>
  <si>
    <t>57-92</t>
  </si>
  <si>
    <t>10.3133/ofr5792</t>
  </si>
  <si>
    <t>Poland, J. F.; Green, J. H.</t>
  </si>
  <si>
    <t>4f4e4a81e4b07f02db64a2b8</t>
  </si>
  <si>
    <t>https://pubs.usgs.gov/publication/ofr5748</t>
  </si>
  <si>
    <t>46154</t>
  </si>
  <si>
    <t>ofr5748</t>
  </si>
  <si>
    <t>Map showing generalized water-level contours for the lower water-bearing zone for April-May 1955, in the Mendota-Huron area, California</t>
  </si>
  <si>
    <t>57-48</t>
  </si>
  <si>
    <t>10.3133/ofr5748</t>
  </si>
  <si>
    <t>7.00 x 9.76 inches</t>
  </si>
  <si>
    <t>Green, J. H.</t>
  </si>
  <si>
    <t>4f4e4b23e4b07f02db6ae3ad</t>
  </si>
  <si>
    <t>https://pubs.usgs.gov/publication/ofr57107</t>
  </si>
  <si>
    <t>53663</t>
  </si>
  <si>
    <t>ofr57107</t>
  </si>
  <si>
    <t>Ground-water reconnaissance in the western part of the Mojave Desert, California : with particular respect to the boron content of well water</t>
  </si>
  <si>
    <t>57-107</t>
  </si>
  <si>
    <t>10.3133/ofr57107</t>
  </si>
  <si>
    <t>102 p., 13 pls.: ill., map, tables ; 29 cm.</t>
  </si>
  <si>
    <t>Stone, R. S.</t>
  </si>
  <si>
    <t>4f4e4aa7e4b07f02db667103</t>
  </si>
  <si>
    <t>https://pubs.usgs.gov/publication/ofr5731</t>
  </si>
  <si>
    <t>55761</t>
  </si>
  <si>
    <t>ofr5731</t>
  </si>
  <si>
    <t>Reconnaissance investigation of ground-water supply for Dora Belle Campground, Shaver Lake, California</t>
  </si>
  <si>
    <t>57-31</t>
  </si>
  <si>
    <t>10.3133/ofr5731</t>
  </si>
  <si>
    <t>Sacramento, CA</t>
  </si>
  <si>
    <t>Shaver Lake</t>
  </si>
  <si>
    <t>4f4e4a6ce4b07f02db63eba4</t>
  </si>
  <si>
    <t>https://pubs.usgs.gov/publication/ofr5789</t>
  </si>
  <si>
    <t>56086</t>
  </si>
  <si>
    <t>ofr5789</t>
  </si>
  <si>
    <t>Seventh progress report on the cooperative investigation of springs and streamflow in the Tecolote tunnel area of Santa Barbara County, California</t>
  </si>
  <si>
    <t>57-89</t>
  </si>
  <si>
    <t>10.3133/ofr5789</t>
  </si>
  <si>
    <t>138 p.</t>
  </si>
  <si>
    <t>1954-07-01</t>
  </si>
  <si>
    <t>1956-06-30</t>
  </si>
  <si>
    <t>Peterson, W. C.</t>
  </si>
  <si>
    <t>4f4e49fbe4b07f02db5f4b58</t>
  </si>
  <si>
    <t>https://pubs.usgs.gov/publication/ofr5793</t>
  </si>
  <si>
    <t>56088</t>
  </si>
  <si>
    <t>ofr5793</t>
  </si>
  <si>
    <t>Surface-water hydrology of small basins in California between Russian and Eel Rivers</t>
  </si>
  <si>
    <t>57-93</t>
  </si>
  <si>
    <t>10.3133/ofr5793</t>
  </si>
  <si>
    <t>98 p., 8 figs.</t>
  </si>
  <si>
    <t>4f4e4ae5e4b07f02db68a68d</t>
  </si>
  <si>
    <t>https://pubs.usgs.gov/publication/ofr57103</t>
  </si>
  <si>
    <t>56093</t>
  </si>
  <si>
    <t>ofr57103</t>
  </si>
  <si>
    <t>Determination of suspended discharge of streams in California</t>
  </si>
  <si>
    <t>57-103</t>
  </si>
  <si>
    <t>10.3133/ofr57103</t>
  </si>
  <si>
    <t>Sloan, D.E.</t>
  </si>
  <si>
    <t>4f4e4aa8e4b07f02db6675b8</t>
  </si>
  <si>
    <t>https://pubs.usgs.gov/publication/ofr57125</t>
  </si>
  <si>
    <t>56105</t>
  </si>
  <si>
    <t>ofr57125</t>
  </si>
  <si>
    <t>Reports and investigations by the Ground Water Branch, U.S. Geological Survey, in California since 1940</t>
  </si>
  <si>
    <t>57-125</t>
  </si>
  <si>
    <t>10.3133/ofr57125</t>
  </si>
  <si>
    <t>14 p.</t>
  </si>
  <si>
    <t>4f4e4a57e4b07f02db62dee4</t>
  </si>
  <si>
    <t>https://pubs.usgs.gov/publication/tei698</t>
  </si>
  <si>
    <t>71695</t>
  </si>
  <si>
    <t>tei698</t>
  </si>
  <si>
    <t>Geology and ore deposits of the Kern River uranium area, Kern County, California</t>
  </si>
  <si>
    <t>Trace Elements Investigations</t>
  </si>
  <si>
    <t>698</t>
  </si>
  <si>
    <t>10.3133/tei698</t>
  </si>
  <si>
    <t>103 p. : ill., maps ; 29 cm.; Four folded maps in pocket</t>
  </si>
  <si>
    <t>MacKevett, Edward Malcolm Jr.</t>
  </si>
  <si>
    <t>4f4e4ad8e4b07f02db6847db</t>
  </si>
  <si>
    <t>https://pubs.usgs.gov/publication/70189287</t>
  </si>
  <si>
    <t>70189287</t>
  </si>
  <si>
    <t>Conference Paper</t>
  </si>
  <si>
    <t>Water problems in the present trend towards greater aridity</t>
  </si>
  <si>
    <t>Committee on Research in Water Resources</t>
  </si>
  <si>
    <t>University of California</t>
  </si>
  <si>
    <t>Alaska Science Center</t>
  </si>
  <si>
    <t>Book</t>
  </si>
  <si>
    <t>Conference publication</t>
  </si>
  <si>
    <t>Proceedings: Conference on recent research in climatology</t>
  </si>
  <si>
    <t>This paper is a transcription of a public lecture given at this conference, on the evening of March 26.</t>
  </si>
  <si>
    <t>Conference on Recent Research in Climatology</t>
  </si>
  <si>
    <t>Scripps Institute of Oceanography, La Jolla, CA</t>
  </si>
  <si>
    <t>March 25-26, 1957</t>
  </si>
  <si>
    <t>Leopold, Luna Bergere</t>
  </si>
  <si>
    <t>Craig, Harmon</t>
  </si>
  <si>
    <t>5961ef12e4b0d1f9f059d724</t>
  </si>
  <si>
    <t>https://pubs.usgs.gov/publication/wsp1395</t>
  </si>
  <si>
    <t>677</t>
  </si>
  <si>
    <t>wsp1395</t>
  </si>
  <si>
    <t>Surface water supply of the United States, 1955, Part XI, Pacific slope basins in California</t>
  </si>
  <si>
    <t>1395</t>
  </si>
  <si>
    <t>10.3133/wsp1395</t>
  </si>
  <si>
    <t>1958</t>
  </si>
  <si>
    <t>xii, 587 p. ;23 cm.</t>
  </si>
  <si>
    <t>4f4e4afbe4b07f02db6961dc</t>
  </si>
  <si>
    <t>https://pubs.usgs.gov/publication/wsp1427</t>
  </si>
  <si>
    <t>wsp1427</t>
  </si>
  <si>
    <t>Geology and ground water in the Santa Rosa and Petaluma Valley areas, Sonoma County, California</t>
  </si>
  <si>
    <t>151-216, 261-171</t>
  </si>
  <si>
    <t>123, 151-216, 218-230, 261-271, 272-274</t>
  </si>
  <si>
    <t>115-117, 142,</t>
  </si>
  <si>
    <t xml:space="preserve">142, </t>
  </si>
  <si>
    <t>20-23</t>
  </si>
  <si>
    <t>102, 104, 115-117, 123, 141, 231-234, 275-277</t>
  </si>
  <si>
    <t>130</t>
  </si>
  <si>
    <t>130, 151-216, 261-271</t>
  </si>
  <si>
    <t>27, 99</t>
  </si>
  <si>
    <t>234-260, 277-279, 33-34</t>
  </si>
  <si>
    <t>Population distribution (24)</t>
  </si>
  <si>
    <t>102, 104, 115-117, 123, 130, 141, 142, 151-216, 130, 20-23, 218-230, 231-234, 261-271, 272-274, 27, 275-277, 98, 99</t>
  </si>
  <si>
    <t>1427</t>
  </si>
  <si>
    <t>10.3133/wsp1427</t>
  </si>
  <si>
    <t>vii, 273 p. :illus., maps (part col.) diagrs., tables. ;23 cm.</t>
  </si>
  <si>
    <t>4f4e4adbe4b07f02db686030</t>
  </si>
  <si>
    <t>https://pubs.usgs.gov/publication/wsp1462</t>
  </si>
  <si>
    <t>2187</t>
  </si>
  <si>
    <t>wsp1462</t>
  </si>
  <si>
    <t>Geology and ground-water features of Scott Valley, Siskiyou County, California</t>
  </si>
  <si>
    <t xml:space="preserve">51, 72, 85, 86, 87, 88, 89, 90, 91, 92, 94, 95, </t>
  </si>
  <si>
    <t xml:space="preserve">17, </t>
  </si>
  <si>
    <t xml:space="preserve">100, 101, 102, 104, 106, 107, </t>
  </si>
  <si>
    <t xml:space="preserve">85, 86, 87, 88, 89, 90, </t>
  </si>
  <si>
    <t>1462</t>
  </si>
  <si>
    <t>10.3133/wsp1462</t>
  </si>
  <si>
    <t>v, 98 p. :maps (part fold.) diagrs., tables. ;23 cm.</t>
  </si>
  <si>
    <t>Mack, Seymour</t>
  </si>
  <si>
    <t>4f4e4adbe4b07f02db685fbe</t>
  </si>
  <si>
    <t>https://pubs.usgs.gov/publication/cir404</t>
  </si>
  <si>
    <t>3563</t>
  </si>
  <si>
    <t>cir404</t>
  </si>
  <si>
    <t>Water resources summary of southern California, 1957</t>
  </si>
  <si>
    <t>404</t>
  </si>
  <si>
    <t>10.3133/cir404</t>
  </si>
  <si>
    <t>iii, 19 p. :ill., maps ;27 cm.</t>
  </si>
  <si>
    <t>Peterson, William C.</t>
  </si>
  <si>
    <t>4f4e49f4e4b07f02db5f01e4</t>
  </si>
  <si>
    <t>https://pubs.usgs.gov/publication/ofr58111</t>
  </si>
  <si>
    <t>16643</t>
  </si>
  <si>
    <t>ofr58111</t>
  </si>
  <si>
    <t>Water-resources exhibits on Santa Margarita River Basin, California</t>
  </si>
  <si>
    <t>58-111</t>
  </si>
  <si>
    <t>10.3133/ofr58111</t>
  </si>
  <si>
    <t>Report: 19 p.; 12 plates: 63.64 x 37.79 inches or smaller</t>
  </si>
  <si>
    <t>Santa Margarita River Basin</t>
  </si>
  <si>
    <t>Worts, George Frank Jr.; Kunkel, Fred; Hofmann, Walter</t>
  </si>
  <si>
    <t>4f4e49e2e4b07f02db5e4e82</t>
  </si>
  <si>
    <t>https://pubs.usgs.gov/publication/ofr587</t>
  </si>
  <si>
    <t>22373</t>
  </si>
  <si>
    <t>ofr587</t>
  </si>
  <si>
    <t>Data on water wells and springs in Morongo Valley and vicinity, San Bernardino and Riverside Counties, California</t>
  </si>
  <si>
    <t>58-7</t>
  </si>
  <si>
    <t>10.3133/ofr587</t>
  </si>
  <si>
    <t>31 p. :maps ;27 cm.</t>
  </si>
  <si>
    <t>Bader, J. S.; Moyle, W. R. Jr.</t>
  </si>
  <si>
    <t>4f4e4ac9e4b07f02db67c765</t>
  </si>
  <si>
    <t>https://pubs.usgs.gov/publication/ofr588</t>
  </si>
  <si>
    <t>22374</t>
  </si>
  <si>
    <t>ofr588</t>
  </si>
  <si>
    <t>Data on water wells in the upper Mojave Valley area, San Bernardino County, California</t>
  </si>
  <si>
    <t>58-8</t>
  </si>
  <si>
    <t>10.3133/ofr588</t>
  </si>
  <si>
    <t>238 p. :map ;27 cm.</t>
  </si>
  <si>
    <t>Bader, J. S.; Page, R. W.; Dutcher, L. C.</t>
  </si>
  <si>
    <t>4f4e4ac7e4b07f02db67b57a</t>
  </si>
  <si>
    <t>https://pubs.usgs.gov/publication/ofr5836</t>
  </si>
  <si>
    <t>23002</t>
  </si>
  <si>
    <t>ofr5836</t>
  </si>
  <si>
    <t>Water levels in observation wells in Santa Barbara County, California, in 1957</t>
  </si>
  <si>
    <t>58-36</t>
  </si>
  <si>
    <t>10.3133/ofr5836</t>
  </si>
  <si>
    <t>46 p. ill., maps ;27 cm.</t>
  </si>
  <si>
    <t>Evenson, R. E.</t>
  </si>
  <si>
    <t>4f4e4a08e4b07f02db5f9df6</t>
  </si>
  <si>
    <t>https://pubs.usgs.gov/publication/ofr5875</t>
  </si>
  <si>
    <t>24201</t>
  </si>
  <si>
    <t>ofr5875</t>
  </si>
  <si>
    <t>A brief geologic and hydrologic reconnaissance of the Furnace Creek wash area, Death Valley National Monument, California</t>
  </si>
  <si>
    <t>58-75</t>
  </si>
  <si>
    <t>10.3133/ofr5875</t>
  </si>
  <si>
    <t>63 p. ill., maps ;27 cm.</t>
  </si>
  <si>
    <t>Pistrang, M.A.; Kunkel, Fred</t>
  </si>
  <si>
    <t>53cd497ae4b0b290850ef369</t>
  </si>
  <si>
    <t>https://pubs.usgs.gov/publication/ofr58112</t>
  </si>
  <si>
    <t>53640</t>
  </si>
  <si>
    <t>ofr58112</t>
  </si>
  <si>
    <t>Report on the Pauba Ranch exploratory well, Riverside County, California</t>
  </si>
  <si>
    <t>58-112</t>
  </si>
  <si>
    <t>10.3133/ofr58112</t>
  </si>
  <si>
    <t>50 p., appendixes 1 and 2 (well logs), 9 pls., 4 tables</t>
  </si>
  <si>
    <t>4f4e4a59e4b07f02db62f8e6</t>
  </si>
  <si>
    <t>https://pubs.usgs.gov/publication/ofr5877</t>
  </si>
  <si>
    <t>56129</t>
  </si>
  <si>
    <t>ofr5877</t>
  </si>
  <si>
    <t>Ground-water extraction and land-subsidence problem--San Joaquin Valley, California</t>
  </si>
  <si>
    <t>58-77</t>
  </si>
  <si>
    <t>10.3133/ofr5877</t>
  </si>
  <si>
    <t>Poland, J. F.; Davis, G. H.</t>
  </si>
  <si>
    <t>4f4e4aafe4b07f02db66ce68</t>
  </si>
  <si>
    <t>https://pubs.usgs.gov/publication/i264</t>
  </si>
  <si>
    <t>66880</t>
  </si>
  <si>
    <t>i264</t>
  </si>
  <si>
    <t>Engineering geology of Islais Creek basin, San Francisco, California</t>
  </si>
  <si>
    <t>IMAP</t>
  </si>
  <si>
    <t>264</t>
  </si>
  <si>
    <t>NONE</t>
  </si>
  <si>
    <t>10.3133/i264</t>
  </si>
  <si>
    <t>2000</t>
  </si>
  <si>
    <t>Radbruch, D.H.; Schlocker, Julius</t>
  </si>
  <si>
    <t>4f4e4a14e4b07f02db6027ab</t>
  </si>
  <si>
    <t>https://pubs.usgs.gov/publication/wsp1315A</t>
  </si>
  <si>
    <t>wsp1315A</t>
  </si>
  <si>
    <t>Compilation of records of surface waters of the United States through September, 1950: Part 11-B. Pacific slope basins in California, Central Valley</t>
  </si>
  <si>
    <t>100-103, 106, 107-113, 116-122,124-142, 144-159, 161-174, 176, 177, 178, 181-194, 197-206, 208-211, 213-216, 218-221, 223-231, 233, 235-240, 243-264, 27, 28, 29, 30, 32, 33, 34, 35, 37, 38, 39, 266-270, 272, 273, 276-281, 283-292, 294-315, 317-333, 335-359, 361-363, 365-371, 373-381, 383-391, 41, 393-409, 42, 411-416, 43, 418-434, 44, 436-443, 45, 445-453, 46-52, 54-66, 68-76, 78-83, 86-96, 98, 99, 115, 175, 179, 180, 195, 196, 207, 242, 382, 392, 85</t>
  </si>
  <si>
    <t>335, 358</t>
  </si>
  <si>
    <t>contents (104, 108, 115, 143, 155, 160, 175, 182, 191, 207, 219, 242, 246, 291, 342, 343, 353, 382, 418, 420, 85, 97)</t>
  </si>
  <si>
    <t>Stations omitted from this report (12, 13), Previous records not compiled in this report (12, 17), Stremflow reports (14, 16), Reports containing discharge in the Central Valley (17), Bar chart of gaging station records (20, 21, 22, 23, 24, 25, 26), monthly and yearly importation</t>
  </si>
  <si>
    <t>100-104, 106-113, 12, 115-122, 13, 14, 16, 124-162, 17, 20, 21, 164-211, 213-216, 22, 218-221, 23, 223-231, 233, 24, 235-240, 25, 26, 242-264, 27, 266-270, 272, 273, 28, 276-281, 29, 283-292, 30, 294-311, 32, 313-315, 33, 317-333, 34, 35, 335-359, 361-363, 37, 365-371, 38, 39, 373-402, 41, 404-406, 408, 409, 42, 411-413, 415, 416, 418-425, 43, 427-434, 44, 436-441, 443, 45, 445-453, 46-52, 54-66, 68-76, 78-83, 85-99</t>
  </si>
  <si>
    <t>1315</t>
  </si>
  <si>
    <t>10.3133/wsp1315A</t>
  </si>
  <si>
    <t>1959</t>
  </si>
  <si>
    <t>v, 459 p.</t>
  </si>
  <si>
    <t>Central Valley</t>
  </si>
  <si>
    <t>Wells, J. V. B.</t>
  </si>
  <si>
    <t>4f4e4b1de4b07f02db6a9bd8</t>
  </si>
  <si>
    <t>https://pubs.usgs.gov/publication/wsp1515</t>
  </si>
  <si>
    <t>695</t>
  </si>
  <si>
    <t>wsp1515</t>
  </si>
  <si>
    <t>Surface water supply of the United States, 1957, part 11, Pacific slope basins in California</t>
  </si>
  <si>
    <t>1515</t>
  </si>
  <si>
    <t>10.3133/wsp1515</t>
  </si>
  <si>
    <t>xiii, 621 p. :tables ;23 cm.</t>
  </si>
  <si>
    <t>4f4e4afbe4b07f02db6960ed</t>
  </si>
  <si>
    <t>https://pubs.usgs.gov/publication/wsp1470</t>
  </si>
  <si>
    <t>1326</t>
  </si>
  <si>
    <t>wsp1470</t>
  </si>
  <si>
    <t>Geology and ground-water features of the Eureka area, Humboldt County, California</t>
  </si>
  <si>
    <t xml:space="preserve">56-66, 67-72, </t>
  </si>
  <si>
    <t>42</t>
  </si>
  <si>
    <t>50, 73-77</t>
  </si>
  <si>
    <t>34, 56-66</t>
  </si>
  <si>
    <t>56-66</t>
  </si>
  <si>
    <t>17, 78-80</t>
  </si>
  <si>
    <t>17, 34, 42, 50, 56-80</t>
  </si>
  <si>
    <t>1470</t>
  </si>
  <si>
    <t>10.3133/wsp1470</t>
  </si>
  <si>
    <t>iv, 80 p. :maps, diagrs., tables. ;25 cm.</t>
  </si>
  <si>
    <t>4f4e4adbe4b07f02db685f75</t>
  </si>
  <si>
    <t>https://pubs.usgs.gov/publication/wsp1461</t>
  </si>
  <si>
    <t>2513</t>
  </si>
  <si>
    <t>wsp1461</t>
  </si>
  <si>
    <t>Geology, hydrology, and chemical character of ground waters in the Torrance-Santa Monica area, California</t>
  </si>
  <si>
    <t>1461</t>
  </si>
  <si>
    <t>10.3133/wsp1461</t>
  </si>
  <si>
    <t>Report: xi, 422 p.; 21 Plates: 38.00 x 35.56 inches or smaller</t>
  </si>
  <si>
    <t>Torrance-Santa Monica area</t>
  </si>
  <si>
    <t>Poland, J. F.; Garrett, A. A.; Sinnott, Allen</t>
  </si>
  <si>
    <t>4f4e4ac9e4b07f02db67c65b</t>
  </si>
  <si>
    <t>https://pubs.usgs.gov/publication/wsp1471</t>
  </si>
  <si>
    <t>2516</t>
  </si>
  <si>
    <t>wsp1471</t>
  </si>
  <si>
    <t>Hydrology of the Long Beach-Santa Ana area, California with special reference to the watertightness of the Newport-Inglewood structural zone, with a section on withdrawal of ground water, 1932-41</t>
  </si>
  <si>
    <t>1471</t>
  </si>
  <si>
    <t>10.3133/wsp1471</t>
  </si>
  <si>
    <t>Report: vii, 257 p.; 10 Plates: 39.00 x 52.66 inches or smaller</t>
  </si>
  <si>
    <t>Poland, J. F.; Sinnott, Allen</t>
  </si>
  <si>
    <t>4f4e4a0ee4b07f02db5fdc0e</t>
  </si>
  <si>
    <t>https://pubs.usgs.gov/publication/wsp1467</t>
  </si>
  <si>
    <t>2993</t>
  </si>
  <si>
    <t>wsp1467</t>
  </si>
  <si>
    <t>Ground-water appraisal of Santa Ynez River basin, Santa Barbara County, California, 1945-52</t>
  </si>
  <si>
    <t>1467</t>
  </si>
  <si>
    <t>10.3133/wsp1467</t>
  </si>
  <si>
    <t>vi, 119 p. :illus., maps (8 fold. in pocket) ;23 cm.</t>
  </si>
  <si>
    <t>Wilson, Harry Dennis</t>
  </si>
  <si>
    <t>4f4e4ab0e4b07f02db66d3eb</t>
  </si>
  <si>
    <t>https://pubs.usgs.gov/publication/wsp1457</t>
  </si>
  <si>
    <t>3013</t>
  </si>
  <si>
    <t>wsp1457</t>
  </si>
  <si>
    <t>Ground-water conditions in the Avenal-McKittrick area, Kings and Kern Counties, California</t>
  </si>
  <si>
    <t>1457</t>
  </si>
  <si>
    <t>10.3133/wsp1457</t>
  </si>
  <si>
    <t>Report: iv, 141 p.; 5 Plates: 35.00 x 36.25 inches</t>
  </si>
  <si>
    <t>Kern County, Kings County</t>
  </si>
  <si>
    <t>Avenal-McKittrick area</t>
  </si>
  <si>
    <t>Wood, Perry Rowley; Davis, G. H.</t>
  </si>
  <si>
    <t>4f4e4aafe4b07f02db66d1bc</t>
  </si>
  <si>
    <t>https://pubs.usgs.gov/publication/wsp1445</t>
  </si>
  <si>
    <t>3067</t>
  </si>
  <si>
    <t>wsp1445</t>
  </si>
  <si>
    <t>Surface water supply of the United States, 1956, Part XI, Pacific slope basins in California</t>
  </si>
  <si>
    <t>1445</t>
  </si>
  <si>
    <t>10.3133/wsp1445</t>
  </si>
  <si>
    <t>xii, 601 p. ;23 cm.</t>
  </si>
  <si>
    <t>4f4e4afbe4b07f02db696102</t>
  </si>
  <si>
    <t>https://pubs.usgs.gov/publication/wsp1469</t>
  </si>
  <si>
    <t>3095</t>
  </si>
  <si>
    <t>wsp1469</t>
  </si>
  <si>
    <t>1469</t>
  </si>
  <si>
    <t>10.3133/wsp1469</t>
  </si>
  <si>
    <t>viii, 287 p. :diagrs., tables. and portfolio (fold. maps (part col.) diagrs., profiles) ;24 cm.</t>
  </si>
  <si>
    <t>Davis, G. H.; Green, J. H.; Olmsted, F. H.; Brown, D. W.</t>
  </si>
  <si>
    <t>4f4e4aafe4b07f02db66d330</t>
  </si>
  <si>
    <t>https://pubs.usgs.gov/publication/cir416</t>
  </si>
  <si>
    <t>3564</t>
  </si>
  <si>
    <t>cir416</t>
  </si>
  <si>
    <t>Water-resources summary for southern California, 1958</t>
  </si>
  <si>
    <t>416</t>
  </si>
  <si>
    <t>10.3133/cir416</t>
  </si>
  <si>
    <t>iii, 22 p. :ill., maps ;27 cm.</t>
  </si>
  <si>
    <t>4f4e49e2e4b07f02db5e4db0</t>
  </si>
  <si>
    <t>https://pubs.usgs.gov/publication/ofr60127</t>
  </si>
  <si>
    <t>16041</t>
  </si>
  <si>
    <t>ofr60127</t>
  </si>
  <si>
    <t>List of basement wells in California and Nevada</t>
  </si>
  <si>
    <t>60-127</t>
  </si>
  <si>
    <t>10.3133/ofr60127</t>
  </si>
  <si>
    <t>129 p.  ;21 X 27 cm.</t>
  </si>
  <si>
    <t>Smith, Merritt Burdette</t>
  </si>
  <si>
    <t>4f4e4b15e4b07f02db6a4b00</t>
  </si>
  <si>
    <t>https://pubs.usgs.gov/publication/ofr59135</t>
  </si>
  <si>
    <t>22945</t>
  </si>
  <si>
    <t>ofr59135</t>
  </si>
  <si>
    <t>Data on water wells in the Fremont Valley area, Kern County, California</t>
  </si>
  <si>
    <t>59-135</t>
  </si>
  <si>
    <t>10.3133/ofr59135</t>
  </si>
  <si>
    <t>128 p. :map ;27 cm.</t>
  </si>
  <si>
    <t>4f4e4ac7e4b07f02db67b5a4</t>
  </si>
  <si>
    <t>https://pubs.usgs.gov/publication/ofr5983</t>
  </si>
  <si>
    <t>23894</t>
  </si>
  <si>
    <t>ofr5983</t>
  </si>
  <si>
    <t>Water levels in observation wells in Santa Barbara County, California, in 1958</t>
  </si>
  <si>
    <t>59-83</t>
  </si>
  <si>
    <t>10.3133/ofr5983</t>
  </si>
  <si>
    <t>43 p. :ill., maps ;27 cm.</t>
  </si>
  <si>
    <t>Miller, G.A.</t>
  </si>
  <si>
    <t>4f4e4a08e4b07f02db5f9dfb</t>
  </si>
  <si>
    <t>https://pubs.usgs.gov/publication/ofr5938</t>
  </si>
  <si>
    <t>53456</t>
  </si>
  <si>
    <t>ofr5938</t>
  </si>
  <si>
    <t>Geology and ground-water hydrology of the Mill Creek area, San Bernardino County, California</t>
  </si>
  <si>
    <t>59-38</t>
  </si>
  <si>
    <t>10.3133/ofr5938</t>
  </si>
  <si>
    <t>229 p. : ill., maps (in pocket), fold. plates ; 27 cm.</t>
  </si>
  <si>
    <t>Dutcher, Lee Carlton; Burnham, W.L.</t>
  </si>
  <si>
    <t>4f4e4adbe4b07f02db685e04</t>
  </si>
  <si>
    <t>https://pubs.usgs.gov/publication/70160570</t>
  </si>
  <si>
    <t>70160570</t>
  </si>
  <si>
    <t>Mycobacterial infections in adult salmon and steelhead trout returning to the Columbia River Basin and other areas in 1957</t>
  </si>
  <si>
    <t>Special Scientific Report - Fisheries</t>
  </si>
  <si>
    <t>United States Department of Interior, Fish and Wildlife Service</t>
  </si>
  <si>
    <t>Western Fisheries Research Center</t>
  </si>
  <si>
    <t>40</t>
  </si>
  <si>
    <t>Columbia River</t>
  </si>
  <si>
    <t>567bd3bde4b0a04ef491a206</t>
  </si>
  <si>
    <t>https://pubs.usgs.gov/publication/wsp1635</t>
  </si>
  <si>
    <t>716</t>
  </si>
  <si>
    <t>wsp1635</t>
  </si>
  <si>
    <t>Surface water supply of the United States, 1959, Part 11, Pacific slope basins in California</t>
  </si>
  <si>
    <t>1635</t>
  </si>
  <si>
    <t>10.3133/wsp1635</t>
  </si>
  <si>
    <t>1960</t>
  </si>
  <si>
    <t>xv, 748 p. :tables ;23 cm.</t>
  </si>
  <si>
    <t>4f4e4af8e4b07f02db6943bb</t>
  </si>
  <si>
    <t>https://pubs.usgs.gov/publication/1094</t>
  </si>
  <si>
    <t>1094</t>
  </si>
  <si>
    <t>Geology and ground-water hydrology of the Redlands-Beaumont area, California, with special reference to ground-water outflow</t>
  </si>
  <si>
    <t>10.3133/1094</t>
  </si>
  <si>
    <t>352 p.</t>
  </si>
  <si>
    <t>325</t>
  </si>
  <si>
    <t>Beaumont;Redlands</t>
  </si>
  <si>
    <t>Burnham, W.L.; Dutcher, Lee Carlton</t>
  </si>
  <si>
    <t>53be6474e4b0527d5d4097b6</t>
  </si>
  <si>
    <t>https://pubs.usgs.gov/publication/wsp1495</t>
  </si>
  <si>
    <t>2057</t>
  </si>
  <si>
    <t>wsp1495</t>
  </si>
  <si>
    <t>Geology and ground water in Napa and Sonoma Valleys, Napa and Sonoma Counties, California</t>
  </si>
  <si>
    <t>PPT Station/TRS/CCS</t>
  </si>
  <si>
    <t>94, 95, 96, 97, 99, 100, 101, 102, 103, 104, 105, 106, 107, 108, 109, 110, 111, 112, 113, 114, 115, 116, 117, 118, 119, 120, 121, 122, 123, 124, 125, 126, 127, 128, 129, 130, 131, 132, 133, 134, 135, 136, 137, 138, 139, 140, 141, 142, 143, 144, 145, 146, 147, 148, 149, 150, 151, 152, 153, 154, 155, 156, 157, 158, 159, 160, 216, 217, 218, 219, 220, 221, 222, 223, 225, 226, 229, 230, 231, 232, 233, 234, 235, 236, 237, 61</t>
  </si>
  <si>
    <t>73, 74, 85, 86, 87, 88</t>
  </si>
  <si>
    <t>12, 13</t>
  </si>
  <si>
    <t>160, 161, 162, 163, 164, 165, 166, 167, 168, 238, 239, 240, 61</t>
  </si>
  <si>
    <t xml:space="preserve">100, 101, 102, 103, 104, 105, 106, 107, 108, 109, 110, 111, 112, 113, 114, 115, 116, 117, 118, 119, 120, 121, 122, 123, 124, 125, 126, 127, 128, 129, 130, 131, 132, 133, 134, 135, 136, 216, 217, 218, 219, 220, 221, 222, 223, 225, 226, 229, 230, 231, 232, 233, 234, </t>
  </si>
  <si>
    <t>52, 53, 79</t>
  </si>
  <si>
    <t>12, 13, 100, 101, 102, 103, 104, 105, 106, 107, 108, 109, 110, 111, 112, 113, 114, 115, 116, 117, 118, 119, 120, 121, 122, 123, 124, 125, 126, 127, 128, 129, 130, 131, 132, 133, 134, 135, 136, 137, 138, 139, 140, 141, 142, 143, 144, 145, 146, 147, 148, 149, 150, 151, 152, 153, 154, 155, 156, 157, 158, 159, 160, 161, 162, 163, 164, 165, 166, 167, 168, 216, 217, 218, 219, 220, 221, 222, 223, 225, 226, 229, 230, 231, 232, 233, 234, 235, 236, 237, 238, 239, 240, 52, 53, 61, 73, 74, 79, 85, 86, 87, 88, 94, 95, 96, 97, 99</t>
  </si>
  <si>
    <t>1495</t>
  </si>
  <si>
    <t>10.3133/wsp1495</t>
  </si>
  <si>
    <t>v, 252 p. :ill., maps ;24 cm.</t>
  </si>
  <si>
    <t>Kunkel, Fred; Upson, Joseph Edwin</t>
  </si>
  <si>
    <t>4f4e4adbe4b07f02db68604a</t>
  </si>
  <si>
    <t>https://pubs.usgs.gov/publication/wsp1484</t>
  </si>
  <si>
    <t>2188</t>
  </si>
  <si>
    <t>wsp1484</t>
  </si>
  <si>
    <t>Geology and ground-water features of Shasta Valley, Siskiyou County, California</t>
  </si>
  <si>
    <t>CCS/Well no.</t>
  </si>
  <si>
    <t xml:space="preserve">15, </t>
  </si>
  <si>
    <t xml:space="preserve">63, </t>
  </si>
  <si>
    <t xml:space="preserve">69, </t>
  </si>
  <si>
    <t xml:space="preserve">41, 47, 50, 54, 84, 85, 86, 87, 88, 89, 90, 91, 95, 99, </t>
  </si>
  <si>
    <t xml:space="preserve">18, 19, 20, </t>
  </si>
  <si>
    <t xml:space="preserve">105, 106, 107, 108, 109, 110, 111, 112, 113, 114, 74, 76, 78, 79, 80, 81, 82, </t>
  </si>
  <si>
    <t xml:space="preserve">71, 84, 85, 86, 87, 88, 89, 90, 91, </t>
  </si>
  <si>
    <t>1484</t>
  </si>
  <si>
    <t>10.3133/wsp1484</t>
  </si>
  <si>
    <t>v, 115 p. :illus., maps (2 fold., 1 col., in pocket) ;24 cm.</t>
  </si>
  <si>
    <t>4f4e4adbe4b07f02db685fb8</t>
  </si>
  <si>
    <t>https://pubs.usgs.gov/publication/wsp1464</t>
  </si>
  <si>
    <t>2809</t>
  </si>
  <si>
    <t>wsp1464</t>
  </si>
  <si>
    <t>Geology, water resources and usable ground-water storage capacity of part of Solano County, California</t>
  </si>
  <si>
    <t>1464</t>
  </si>
  <si>
    <t>10.3133/wsp1464</t>
  </si>
  <si>
    <t>2nd print. (with corrections).</t>
  </si>
  <si>
    <t>x, 693 p. :ill., maps ;24 cm.</t>
  </si>
  <si>
    <t>4f4e4ac9e4b07f02db67c5bc</t>
  </si>
  <si>
    <t>https://pubs.usgs.gov/publication/wsp1314</t>
  </si>
  <si>
    <t>2913</t>
  </si>
  <si>
    <t>wsp1314</t>
  </si>
  <si>
    <t>Compilation of records of surface waters of the United States through September 1950: Part 10. The Great Basin</t>
  </si>
  <si>
    <t>1314</t>
  </si>
  <si>
    <t>10.3133/wsp1314</t>
  </si>
  <si>
    <t>Report: v, 483 p.; 1 Plate: 23.00 × 33.50 inches</t>
  </si>
  <si>
    <t>Arizona, California, Idaho, Nevada, Oregon, Utah</t>
  </si>
  <si>
    <t>4f4e4a80e4b07f02db6495f6</t>
  </si>
  <si>
    <t>https://pubs.usgs.gov/publication/wsp1491</t>
  </si>
  <si>
    <t>3011</t>
  </si>
  <si>
    <t>wsp1491</t>
  </si>
  <si>
    <t>Geology and ground-water features of the Butte Valley region, Siskiyou County, California</t>
  </si>
  <si>
    <t>1491</t>
  </si>
  <si>
    <t>10.3133/wsp1491</t>
  </si>
  <si>
    <t>v, 150 p. :ill., map ;24 cm.</t>
  </si>
  <si>
    <t>Wood, P.R.</t>
  </si>
  <si>
    <t>4f4e4adbe4b07f02db685f6b</t>
  </si>
  <si>
    <t>https://pubs.usgs.gov/publication/wsp1565</t>
  </si>
  <si>
    <t>3048</t>
  </si>
  <si>
    <t>wsp1565</t>
  </si>
  <si>
    <t>Surface water supply of the United States, 1958, Part 11, Pacific slope basins in California</t>
  </si>
  <si>
    <t>1565</t>
  </si>
  <si>
    <t>10.3133/wsp1565</t>
  </si>
  <si>
    <t>xiv, 681 p. :tables ;23 cm.</t>
  </si>
  <si>
    <t>4f4e4afbe4b07f02db69609d</t>
  </si>
  <si>
    <t>https://pubs.usgs.gov/publication/wsp1315B</t>
  </si>
  <si>
    <t>3217</t>
  </si>
  <si>
    <t>wsp1315B</t>
  </si>
  <si>
    <t>Compilation of records of surface waters of the United States through September 1950: Part 11-A. Pacific slope basins in California, except Central Valley</t>
  </si>
  <si>
    <t>10.3133/wsp1315B</t>
  </si>
  <si>
    <t>Report: v, 414 p.; 1 Plate:  28.50 × 41.14 inches</t>
  </si>
  <si>
    <t>4f4e4b1ee4b07f02db6a9f15</t>
  </si>
  <si>
    <t>https://pubs.usgs.gov/publication/cir429</t>
  </si>
  <si>
    <t>3565</t>
  </si>
  <si>
    <t>cir429</t>
  </si>
  <si>
    <t>Water-resources summary for southern California, 1959</t>
  </si>
  <si>
    <t>10.3133/cir429</t>
  </si>
  <si>
    <t>iii, 10 p. :ill., maps ;27 cm.</t>
  </si>
  <si>
    <t>4f4e49e2e4b07f02db5e4db6</t>
  </si>
  <si>
    <t>https://pubs.usgs.gov/publication/cir414D</t>
  </si>
  <si>
    <t>4504</t>
  </si>
  <si>
    <t>cir414D</t>
  </si>
  <si>
    <t>Ecological systems and the water resources</t>
  </si>
  <si>
    <t>414</t>
  </si>
  <si>
    <t>10.3133/cir414D</t>
  </si>
  <si>
    <t>U.s. Geological Survey</t>
  </si>
  <si>
    <t>Presented before the Sixth Biennial Wilderness Conference, sponsored by California Academy of Science, San Francisco, Calif, March 20-21, 1959</t>
  </si>
  <si>
    <t>Sixth Biennial Wilderness Conference</t>
  </si>
  <si>
    <t>March 20-21, 1959</t>
  </si>
  <si>
    <t>4f4e4a4ee4b07f02db627b9c</t>
  </si>
  <si>
    <t>https://pubs.usgs.gov/publication/ofr60151</t>
  </si>
  <si>
    <t>16458</t>
  </si>
  <si>
    <t>ofr60151</t>
  </si>
  <si>
    <t>Selected logs of borings on the east side of San Francisco Bay, California</t>
  </si>
  <si>
    <t>60-151</t>
  </si>
  <si>
    <t>10.3133/ofr60151</t>
  </si>
  <si>
    <t>465 p.  :map ;29 cm.</t>
  </si>
  <si>
    <t>Weaver, Mary A.; Radbruch, Dorothy H.</t>
  </si>
  <si>
    <t>4f4e4a04e4b07f02db5f8594</t>
  </si>
  <si>
    <t>https://pubs.usgs.gov/publication/b1087F</t>
  </si>
  <si>
    <t>35036</t>
  </si>
  <si>
    <t>b1087F</t>
  </si>
  <si>
    <t>Geology and ore deposits of the Kern River uranium area, California</t>
  </si>
  <si>
    <t>1087</t>
  </si>
  <si>
    <t>F</t>
  </si>
  <si>
    <t>10.3133/b1087F</t>
  </si>
  <si>
    <t>p. 169-222, ill., maps (5 fold. in pocket) ;24 cm.</t>
  </si>
  <si>
    <t>MacKevett, E.M. Jr.</t>
  </si>
  <si>
    <t>4f4e4ad7e4b07f02db68448d</t>
  </si>
  <si>
    <t>https://pubs.usgs.gov/publication/ofr6039</t>
  </si>
  <si>
    <t>52081</t>
  </si>
  <si>
    <t>ofr6039</t>
  </si>
  <si>
    <t>Ground-water conditions during 1959 at the Twentynine Palms Marine Corps Training Center, California</t>
  </si>
  <si>
    <t>60-39</t>
  </si>
  <si>
    <t>10.3133/ofr6039</t>
  </si>
  <si>
    <t>4f4e4aafe4b07f02db66d2bd</t>
  </si>
  <si>
    <t>https://pubs.usgs.gov/publication/ofr6040</t>
  </si>
  <si>
    <t>52082</t>
  </si>
  <si>
    <t>ofr6040</t>
  </si>
  <si>
    <t>Ground-water inventory for 1958, Edwards Air Force Base, California</t>
  </si>
  <si>
    <t>60-40</t>
  </si>
  <si>
    <t>10.3133/ofr6040</t>
  </si>
  <si>
    <t>69 p., 10 plates</t>
  </si>
  <si>
    <t>4f4e4aa9e4b07f02db6683ad</t>
  </si>
  <si>
    <t>https://pubs.usgs.gov/publication/ofr6043</t>
  </si>
  <si>
    <t>52085</t>
  </si>
  <si>
    <t>ofr6043</t>
  </si>
  <si>
    <t>Geology and ground-water appraisal of Edwards Air Force Base and vicinity, California</t>
  </si>
  <si>
    <t>60-43</t>
  </si>
  <si>
    <t>10.3133/ofr6043</t>
  </si>
  <si>
    <t>229 p., 13 plates</t>
  </si>
  <si>
    <t>Dutcher, L. C.; Worts, G.F. Jr.</t>
  </si>
  <si>
    <t>4f4e4adbe4b07f02db685fc4</t>
  </si>
  <si>
    <t>https://pubs.usgs.gov/publication/ofr6090</t>
  </si>
  <si>
    <t>52115</t>
  </si>
  <si>
    <t>ofr6090</t>
  </si>
  <si>
    <t>Summary of hydrologic conditions at Joshua Tree National Monument, Riverside County, California, 1956-1959</t>
  </si>
  <si>
    <t>60-90</t>
  </si>
  <si>
    <t>10.3133/ofr6090</t>
  </si>
  <si>
    <t>17 p., 6 plates</t>
  </si>
  <si>
    <t>4f4e4b04e4b07f02db6991a2</t>
  </si>
  <si>
    <t>https://pubs.usgs.gov/publication/ofr60101</t>
  </si>
  <si>
    <t>52118</t>
  </si>
  <si>
    <t>ofr60101</t>
  </si>
  <si>
    <t>Ground-water inventory for 1959, Edwards Air Force Base, California</t>
  </si>
  <si>
    <t>60-101</t>
  </si>
  <si>
    <t>10.3133/ofr60101</t>
  </si>
  <si>
    <t>35 p.</t>
  </si>
  <si>
    <t>Moyle, W. R. Jr.</t>
  </si>
  <si>
    <t>4f4e4b01e4b07f02db698659</t>
  </si>
  <si>
    <t>https://pubs.usgs.gov/publication/ofr60102</t>
  </si>
  <si>
    <t>52119</t>
  </si>
  <si>
    <t>ofr60102</t>
  </si>
  <si>
    <t>Water levels in observation wells in Santa Barbara County, California, in 1959</t>
  </si>
  <si>
    <t>60-102</t>
  </si>
  <si>
    <t>10.3133/ofr60102</t>
  </si>
  <si>
    <t>21 p.</t>
  </si>
  <si>
    <t>Muir, K. S.; Merritt, P.M.; Miller, G.A.</t>
  </si>
  <si>
    <t>4f4e4a08e4b07f02db5f9d57</t>
  </si>
  <si>
    <t>https://pubs.usgs.gov/publication/258</t>
  </si>
  <si>
    <t>258</t>
  </si>
  <si>
    <t>Surface water records of California</t>
  </si>
  <si>
    <t>10.3133/258</t>
  </si>
  <si>
    <t>1961</t>
  </si>
  <si>
    <t>Menlo Park, CA</t>
  </si>
  <si>
    <t>53e09e5ee4b0beb42bdca4b0</t>
  </si>
  <si>
    <t>https://pubs.usgs.gov/publication/wsp1715</t>
  </si>
  <si>
    <t>724</t>
  </si>
  <si>
    <t>wsp1715</t>
  </si>
  <si>
    <t>Surface water supply of the United States, 1960, Part 11, Pacific slope basins in California</t>
  </si>
  <si>
    <t>1715</t>
  </si>
  <si>
    <t>10.3133/wsp1715</t>
  </si>
  <si>
    <t>xv, 751 p. :tables ;23 cm.</t>
  </si>
  <si>
    <t>Hendricks, E. L.</t>
  </si>
  <si>
    <t>4f4e4af8e4b07f02db69432e</t>
  </si>
  <si>
    <t>https://pubs.usgs.gov/publication/wsp1535B</t>
  </si>
  <si>
    <t>1256</t>
  </si>
  <si>
    <t>wsp1535B</t>
  </si>
  <si>
    <t>Geologic control of mineral composition of stream waters of the eastern slope of the Southern Coast Ranges, California</t>
  </si>
  <si>
    <t>19, 22</t>
  </si>
  <si>
    <t>19, 22, 30-36</t>
  </si>
  <si>
    <t>Areas of geologic units (13)</t>
  </si>
  <si>
    <t>13, 19, 22, 30-36, 9</t>
  </si>
  <si>
    <t>1535</t>
  </si>
  <si>
    <t>10.3133/wsp1535B</t>
  </si>
  <si>
    <t>iii, 30 p. :illus., maps ;24 cm.</t>
  </si>
  <si>
    <t>4f4e4b17e4b07f02db6a6489</t>
  </si>
  <si>
    <t>https://pubs.usgs.gov/publication/wsp1497</t>
  </si>
  <si>
    <t>2416</t>
  </si>
  <si>
    <t>wsp1497</t>
  </si>
  <si>
    <t>Geologic features and ground-water storage capacity of the Sacramento Valley, California</t>
  </si>
  <si>
    <t>1497</t>
  </si>
  <si>
    <t>10.3133/wsp1497</t>
  </si>
  <si>
    <t>vi, 241 p. :maps (1 col.) diagrs., tables. ;24 cm.</t>
  </si>
  <si>
    <t>Olmsted, F. H.; Davis, G. H.</t>
  </si>
  <si>
    <t>4f4e4b17e4b07f02db6a60f3</t>
  </si>
  <si>
    <t>https://pubs.usgs.gov/publication/wsp1576C</t>
  </si>
  <si>
    <t>2518</t>
  </si>
  <si>
    <t>wsp1576C</t>
  </si>
  <si>
    <t>Water-resources reconnaissance of Hoopa Valley, Humboldt County, California</t>
  </si>
  <si>
    <t>1576</t>
  </si>
  <si>
    <t>10.3133/wsp1576C</t>
  </si>
  <si>
    <t>iii, 18 p. :ill., maps ;24 cm.</t>
  </si>
  <si>
    <t>Poole, J. L.</t>
  </si>
  <si>
    <t>4f4e49e2e4b07f02db5e4dc9</t>
  </si>
  <si>
    <t>https://pubs.usgs.gov/publication/wsp1535A</t>
  </si>
  <si>
    <t>2598</t>
  </si>
  <si>
    <t>wsp1535A</t>
  </si>
  <si>
    <t>Ammoniated thermal waters of Lake and Colusa Counties, California</t>
  </si>
  <si>
    <t>10.3133/wsp1535A</t>
  </si>
  <si>
    <t>iii, 11 p. :illus., maps ;24 cm.</t>
  </si>
  <si>
    <t>Roberson, Charles Elmer; Whitehead, H.C.</t>
  </si>
  <si>
    <t>4f4e4adce4b07f02db686861</t>
  </si>
  <si>
    <t>https://pubs.usgs.gov/publication/ofr6196</t>
  </si>
  <si>
    <t>23879</t>
  </si>
  <si>
    <t>ofr6196</t>
  </si>
  <si>
    <t>Water levels in observation wells in Santa Barbara County, California, in 1960</t>
  </si>
  <si>
    <t>61-96</t>
  </si>
  <si>
    <t>10.3133/ofr6196</t>
  </si>
  <si>
    <t>U.S. Dept. of the Interior, Geological Survey, Ground Water Branch,</t>
  </si>
  <si>
    <t>51 p. :ill., map ;27 cm.</t>
  </si>
  <si>
    <t>Merritt, P.M.</t>
  </si>
  <si>
    <t>4f4e4a08e4b07f02db5f9d5f</t>
  </si>
  <si>
    <t>https://pubs.usgs.gov/publication/ofr61123</t>
  </si>
  <si>
    <t>24284</t>
  </si>
  <si>
    <t>ofr61123</t>
  </si>
  <si>
    <t>Flow of springs and small streams in the Tecolote Tunnel area of Santa Barbara County, California</t>
  </si>
  <si>
    <t>61-123</t>
  </si>
  <si>
    <t>10.3133/ofr61123</t>
  </si>
  <si>
    <t>Report: viii, 282 p.; Plate: 25.46 x 19.32 inches</t>
  </si>
  <si>
    <t>4f4e49d7e4b07f02db5de988</t>
  </si>
  <si>
    <t>https://pubs.usgs.gov/publication/ofr6143</t>
  </si>
  <si>
    <t>52159</t>
  </si>
  <si>
    <t>ofr6143</t>
  </si>
  <si>
    <t>Ground-water conditions during 1960 at the Marine Corps Base, Twentynine Palms, California</t>
  </si>
  <si>
    <t>61-43</t>
  </si>
  <si>
    <t>10.3133/ofr6143</t>
  </si>
  <si>
    <t>32 p.</t>
  </si>
  <si>
    <t>Dyer, H.B.</t>
  </si>
  <si>
    <t>4f4e4aafe4b07f02db66d2c3</t>
  </si>
  <si>
    <t>https://pubs.usgs.gov/publication/ofr6147</t>
  </si>
  <si>
    <t>52162</t>
  </si>
  <si>
    <t>ofr6147</t>
  </si>
  <si>
    <t>Availability of ground water near Pedernales, California</t>
  </si>
  <si>
    <t>61-47</t>
  </si>
  <si>
    <t>10.3133/ofr6147</t>
  </si>
  <si>
    <t>4f4e4a9ae4b07f02db65d8a5</t>
  </si>
  <si>
    <t>https://pubs.usgs.gov/publication/ofr6148</t>
  </si>
  <si>
    <t>52163</t>
  </si>
  <si>
    <t>ofr6148</t>
  </si>
  <si>
    <t>Ground-water conditions, Naval Missile Facility, Point Arguello, California</t>
  </si>
  <si>
    <t>61-48</t>
  </si>
  <si>
    <t>10.3133/ofr6148</t>
  </si>
  <si>
    <t>4f4e4aafe4b07f02db66d08c</t>
  </si>
  <si>
    <t>https://pubs.usgs.gov/publication/ofr61108</t>
  </si>
  <si>
    <t>52198</t>
  </si>
  <si>
    <t>ofr61108</t>
  </si>
  <si>
    <t>Ground-water inventory for 1960, Edwards Air Force Base, California</t>
  </si>
  <si>
    <t>61-108</t>
  </si>
  <si>
    <t>10.3133/ofr61108</t>
  </si>
  <si>
    <t>44 p.</t>
  </si>
  <si>
    <t>4f4e4aaae4b07f02db668c9d</t>
  </si>
  <si>
    <t>https://pubs.usgs.gov/publication/ofr61116</t>
  </si>
  <si>
    <t>52201</t>
  </si>
  <si>
    <t>ofr61116</t>
  </si>
  <si>
    <t>Ground-water conditions during 1959 at the Naval Air Missile Test Center, Point Mugu, California</t>
  </si>
  <si>
    <t>61-116</t>
  </si>
  <si>
    <t>10.3133/ofr61116</t>
  </si>
  <si>
    <t>Page, R. W.</t>
  </si>
  <si>
    <t>4f4e4aafe4b07f02db66d306</t>
  </si>
  <si>
    <t>https://pubs.usgs.gov/publication/ofr61117</t>
  </si>
  <si>
    <t>52202</t>
  </si>
  <si>
    <t>ofr61117</t>
  </si>
  <si>
    <t>Ground-water conditions during 1960 at the U. S. Naval Air Station, Point Mugu, California</t>
  </si>
  <si>
    <t>61-117</t>
  </si>
  <si>
    <t>10.3133/ofr61117</t>
  </si>
  <si>
    <t>58 p.</t>
  </si>
  <si>
    <t>4f4e4aafe4b07f02db66d2c6</t>
  </si>
  <si>
    <t>https://pubs.usgs.gov/publication/ofr61128</t>
  </si>
  <si>
    <t>52208</t>
  </si>
  <si>
    <t>ofr61128</t>
  </si>
  <si>
    <t>Data on water wells on Marine Corps Base, Twentynine Palms, California</t>
  </si>
  <si>
    <t>61-128</t>
  </si>
  <si>
    <t>10.3133/ofr61128</t>
  </si>
  <si>
    <t>Riley, F.S.; Bader, J. S.</t>
  </si>
  <si>
    <t>4f4e4ac7e4b07f02db67b580</t>
  </si>
  <si>
    <t>https://pubs.usgs.gov/publication/70010751</t>
  </si>
  <si>
    <t>70010751</t>
  </si>
  <si>
    <t>Aqua de Ney, California, a spring of unique chemical character</t>
  </si>
  <si>
    <t>Geochimica et Cosmochimica Acta</t>
  </si>
  <si>
    <t>10.1016/0016-7037(61)90107-7</t>
  </si>
  <si>
    <t>2-4</t>
  </si>
  <si>
    <t>Elsevier</t>
  </si>
  <si>
    <t>75</t>
  </si>
  <si>
    <t>Aqua de Ney Spring</t>
  </si>
  <si>
    <t>Feth, J. H.; Rogers, S. M.; Roberson, C. E.</t>
  </si>
  <si>
    <t>5059ed03e4b0c8380cd49589</t>
  </si>
  <si>
    <t>https://pubs.usgs.gov/publication/wdrCA611</t>
  </si>
  <si>
    <t>70038392</t>
  </si>
  <si>
    <t>wdrCA611</t>
  </si>
  <si>
    <t>Surface Water Records of California, 1961; Volume 1: Colorado River Basin, Southern Great Basin and Pacific Slope Basins excluding Central Valley</t>
  </si>
  <si>
    <t>Water Data Report</t>
  </si>
  <si>
    <t>CA-61-1</t>
  </si>
  <si>
    <t>10.3133/wdrCA611</t>
  </si>
  <si>
    <t>xvi, 448 p.</t>
  </si>
  <si>
    <t>1960-10-01</t>
  </si>
  <si>
    <t>1961-09-30</t>
  </si>
  <si>
    <t>Colorado River Basin;Southern Great Basin;Pacific Slope Basin</t>
  </si>
  <si>
    <t>505b9f8ce4b08c986b31e66b</t>
  </si>
  <si>
    <t>https://pubs.usgs.gov/publication/70220599</t>
  </si>
  <si>
    <t>70220599</t>
  </si>
  <si>
    <t>Jadeite deposits of the clear creek area, New Idria district, San Benito county, California</t>
  </si>
  <si>
    <t>Journal of Petrology</t>
  </si>
  <si>
    <t>10.1093/petrology/2.2.209</t>
  </si>
  <si>
    <t>Oxford University Press</t>
  </si>
  <si>
    <t>209</t>
  </si>
  <si>
    <t>247</t>
  </si>
  <si>
    <t>Monterey Bay</t>
  </si>
  <si>
    <t>Coleman, R. G.</t>
  </si>
  <si>
    <t>https://pubs.usgs.gov/publication/wsp1475K</t>
  </si>
  <si>
    <t>1327</t>
  </si>
  <si>
    <t>wsp1475K</t>
  </si>
  <si>
    <t>Ground-Water Reconnaissance at Pinnacles National Monument, California</t>
  </si>
  <si>
    <t>Well No. (may be TRS)</t>
  </si>
  <si>
    <t>10, 11</t>
  </si>
  <si>
    <t>9;10;11</t>
  </si>
  <si>
    <t>1475</t>
  </si>
  <si>
    <t>10.3133/wsp1475K</t>
  </si>
  <si>
    <t>1962</t>
  </si>
  <si>
    <t>iii, 375-382 p.</t>
  </si>
  <si>
    <t>Hydrology of the Public Domain</t>
  </si>
  <si>
    <t>4f4e4ab0e4b07f02db66d538</t>
  </si>
  <si>
    <t>https://pubs.usgs.gov/publication/wsp1619R</t>
  </si>
  <si>
    <t>2556</t>
  </si>
  <si>
    <t>wsp1619R</t>
  </si>
  <si>
    <t>1619</t>
  </si>
  <si>
    <t>R</t>
  </si>
  <si>
    <t>10.3133/wsp1619R</t>
  </si>
  <si>
    <t>Report: iv, 26 p.; 1 Plate: 22.00 x 18.00 inches</t>
  </si>
  <si>
    <t>4f4e49d7e4b07f02db5dea24</t>
  </si>
  <si>
    <t>https://pubs.usgs.gov/publication/ofr6291</t>
  </si>
  <si>
    <t>23996</t>
  </si>
  <si>
    <t>ofr6291</t>
  </si>
  <si>
    <t>Water levels in observation wells in Santa Barbara County, California, in 1961</t>
  </si>
  <si>
    <t>62-91</t>
  </si>
  <si>
    <t>10.3133/ofr6291</t>
  </si>
  <si>
    <t>52 p., [9] leaves of plates :ill., maps ;27 cm.</t>
  </si>
  <si>
    <t>4f4e4a08e4b07f02db5f9d6b</t>
  </si>
  <si>
    <t>https://pubs.usgs.gov/publication/ofr62128</t>
  </si>
  <si>
    <t>24559</t>
  </si>
  <si>
    <t>ofr62128</t>
  </si>
  <si>
    <t>Flow-duration and high- and low-flow tables for California streams</t>
  </si>
  <si>
    <t>62-128</t>
  </si>
  <si>
    <t>10.3133/ofr62128</t>
  </si>
  <si>
    <t>600 p. ill. ;27 cm.</t>
  </si>
  <si>
    <t>Smith, Winchell; Hains, C.F.</t>
  </si>
  <si>
    <t>4f4e49d6e4b07f02db5de85b</t>
  </si>
  <si>
    <t>https://pubs.usgs.gov/publication/ofr6217</t>
  </si>
  <si>
    <t>43254</t>
  </si>
  <si>
    <t>ofr6217</t>
  </si>
  <si>
    <t>Land subsidence due to artesian-head decline, 1943-59, Los Banos-Kettleman City area, California</t>
  </si>
  <si>
    <t>62-17</t>
  </si>
  <si>
    <t>10.3133/ofr6217</t>
  </si>
  <si>
    <t>Bull, William B.</t>
  </si>
  <si>
    <t>4f4e4b31e4b07f02db6b4142</t>
  </si>
  <si>
    <t>https://pubs.usgs.gov/publication/ofr6218</t>
  </si>
  <si>
    <t>46548</t>
  </si>
  <si>
    <t>ofr6218</t>
  </si>
  <si>
    <t>Minimum elevation of the piezometric surface of the lower water-bearing zone as of 1960, Los Banos-Kettleman City area, California</t>
  </si>
  <si>
    <t>62-18</t>
  </si>
  <si>
    <t>10.3133/ofr6218</t>
  </si>
  <si>
    <t>4f4e4b05e4b07f02db699d25</t>
  </si>
  <si>
    <t>https://pubs.usgs.gov/publication/ofr6244</t>
  </si>
  <si>
    <t>52240</t>
  </si>
  <si>
    <t>ofr6244</t>
  </si>
  <si>
    <t>Ground-water conditions, U. S. Naval Missile Facility, Point Arguello, California, June 1961-June 1962</t>
  </si>
  <si>
    <t>62-44</t>
  </si>
  <si>
    <t>10.3133/ofr6244</t>
  </si>
  <si>
    <t>4f4e4aafe4b07f02db66d0b4</t>
  </si>
  <si>
    <t>https://pubs.usgs.gov/publication/ofr6245</t>
  </si>
  <si>
    <t>52241</t>
  </si>
  <si>
    <t>ofr6245</t>
  </si>
  <si>
    <t>Yield of the Carpinteria and Goleta ground-water basins, Santa Barbara County, California, 1941-58</t>
  </si>
  <si>
    <t>62-45</t>
  </si>
  <si>
    <t>10.3133/ofr6245</t>
  </si>
  <si>
    <t>137 p.</t>
  </si>
  <si>
    <t>Evenson, R. E.; Wilson, H.B. Jr.; Muir, K. S.</t>
  </si>
  <si>
    <t>4f4e49d6e4b07f02db5de438</t>
  </si>
  <si>
    <t>https://pubs.usgs.gov/publication/ofr62106</t>
  </si>
  <si>
    <t>52270</t>
  </si>
  <si>
    <t>ofr62106</t>
  </si>
  <si>
    <t>Interchange of surface and ground water along tributary streams in the Central Valley, California</t>
  </si>
  <si>
    <t>62-106</t>
  </si>
  <si>
    <t>10.3133/ofr62106</t>
  </si>
  <si>
    <t>253 p.</t>
  </si>
  <si>
    <t>Richardson, Donald; Rantz, S. E.</t>
  </si>
  <si>
    <t>4f4e49dbe4b07f02db5e0c38</t>
  </si>
  <si>
    <t>https://pubs.usgs.gov/publication/ofr62151</t>
  </si>
  <si>
    <t>52295</t>
  </si>
  <si>
    <t>ofr62151</t>
  </si>
  <si>
    <t>Ground-water conditions during 1962 at the Marine Corps Base, Twentynine Palms, California</t>
  </si>
  <si>
    <t>62-151</t>
  </si>
  <si>
    <t>10.3133/ofr62151</t>
  </si>
  <si>
    <t>Weir, J. E. Jr.</t>
  </si>
  <si>
    <t>4f4e4aafe4b07f02db66d2af</t>
  </si>
  <si>
    <t>https://pubs.usgs.gov/publication/ofr62152</t>
  </si>
  <si>
    <t>52296</t>
  </si>
  <si>
    <t>ofr62152</t>
  </si>
  <si>
    <t>Ground-water inventory for 1961, Edwards Air Force Base, California</t>
  </si>
  <si>
    <t>62-152</t>
  </si>
  <si>
    <t>10.3133/ofr62152</t>
  </si>
  <si>
    <t>54 p.</t>
  </si>
  <si>
    <t>4f4e4aaae4b07f02db668caa</t>
  </si>
  <si>
    <t>https://pubs.usgs.gov/publication/ofr62153</t>
  </si>
  <si>
    <t>52297</t>
  </si>
  <si>
    <t>ofr62153</t>
  </si>
  <si>
    <t>Ground-water conditions during 1961 at the Marine Corps Base, Twentynine Palms, California</t>
  </si>
  <si>
    <t>62-153</t>
  </si>
  <si>
    <t>10.3133/ofr62153</t>
  </si>
  <si>
    <t>50 p.</t>
  </si>
  <si>
    <t>4f4e4aafe4b07f02db66d2ca</t>
  </si>
  <si>
    <t>https://pubs.usgs.gov/publication/ha31</t>
  </si>
  <si>
    <t>68252</t>
  </si>
  <si>
    <t>ha31</t>
  </si>
  <si>
    <t>Preliminary map showing valley-fill areas and source, occurrence and movement of ground water in the western part of the Mojave Desert region, California</t>
  </si>
  <si>
    <t>Hydrologic Atlas</t>
  </si>
  <si>
    <t>10.3133/ha31</t>
  </si>
  <si>
    <t>1 Plate: 46.00 × 32.00 inches</t>
  </si>
  <si>
    <t>Mojave Desert region</t>
  </si>
  <si>
    <t>316800</t>
  </si>
  <si>
    <t>4f4e4a6be4b07f02db63d7dc</t>
  </si>
  <si>
    <t>https://pubs.usgs.gov/publication/wdrCA622</t>
  </si>
  <si>
    <t>70038393</t>
  </si>
  <si>
    <t>wdrCA622</t>
  </si>
  <si>
    <t>Surface Water Records of California, 1962; Volume 2: Northern Great Basin and Central Valley</t>
  </si>
  <si>
    <t>CA-62-2</t>
  </si>
  <si>
    <t>10.3133/wdrCA622</t>
  </si>
  <si>
    <t>xiii, 459 p.</t>
  </si>
  <si>
    <t>940</t>
  </si>
  <si>
    <t>1961-10-01</t>
  </si>
  <si>
    <t>1962-09-30</t>
  </si>
  <si>
    <t>Northern Great Basin;Central Valley</t>
  </si>
  <si>
    <t>505b9f8de4b08c986b31e674</t>
  </si>
  <si>
    <t>https://pubs.usgs.gov/publication/70039279</t>
  </si>
  <si>
    <t>70039279</t>
  </si>
  <si>
    <t>Fish kill from underwater explosions</t>
  </si>
  <si>
    <t>Crustal Studies Technical Letter</t>
  </si>
  <si>
    <t>10.3133/70039279</t>
  </si>
  <si>
    <t>Earthquake Science Center</t>
  </si>
  <si>
    <t>California;Nevada;Idaho</t>
  </si>
  <si>
    <t>Stuart, David J.</t>
  </si>
  <si>
    <t>505a109ce4b0c8380cd53d31</t>
  </si>
  <si>
    <t>https://pubs.usgs.gov/publication/70047838</t>
  </si>
  <si>
    <t>70047838</t>
  </si>
  <si>
    <t>Data on wells in the Edwards Air Force Base area, California</t>
  </si>
  <si>
    <t>91-6</t>
  </si>
  <si>
    <t>California Department of Water Resources</t>
  </si>
  <si>
    <t>209 p.; Maps: 2 Sheets</t>
  </si>
  <si>
    <t>Edwards Air Force Base</t>
  </si>
  <si>
    <t>Dutcher, L. C.; Bader, J. S.; Hiltgen, W.J.</t>
  </si>
  <si>
    <t>521c78e4e4b01458f7842924</t>
  </si>
  <si>
    <t>https://pubs.usgs.gov/publication/wsp1619Q</t>
  </si>
  <si>
    <t>wsp1619Q</t>
  </si>
  <si>
    <t>Reconnaissance study of the chemical quality of surface waters in the Sacramento River Basin, California</t>
  </si>
  <si>
    <t>25, 26</t>
  </si>
  <si>
    <t>22, 25, 26, 30, 35, 38, 39,46</t>
  </si>
  <si>
    <t>38, 39, 46</t>
  </si>
  <si>
    <t>18,22,25,26,30,35,38,39,46</t>
  </si>
  <si>
    <t>Q</t>
  </si>
  <si>
    <t>10.3133/wsp1619Q</t>
  </si>
  <si>
    <t>1963</t>
  </si>
  <si>
    <t>iv, 44 p. :ill., maps ;24 cm.</t>
  </si>
  <si>
    <t>4f4e4a60e4b07f02db6354fe</t>
  </si>
  <si>
    <t>https://pubs.usgs.gov/publication/wsp1419</t>
  </si>
  <si>
    <t>1298</t>
  </si>
  <si>
    <t>wsp1419</t>
  </si>
  <si>
    <t>Geologic and hydrologic features of the San Bernardino area, California; with special reference to underflow across the San Jacinto fault</t>
  </si>
  <si>
    <t>58-59, 73</t>
  </si>
  <si>
    <t>58-59</t>
  </si>
  <si>
    <t>inflow (56)</t>
  </si>
  <si>
    <t>28-29</t>
  </si>
  <si>
    <t>Basin underflow (111), Wells and temperature (64)</t>
  </si>
  <si>
    <t xml:space="preserve">11, 111, 28-29, 56, 58, 59, 64, </t>
  </si>
  <si>
    <t>1419</t>
  </si>
  <si>
    <t>10.3133/wsp1419</t>
  </si>
  <si>
    <t>Report: vi, 114 p.; 19 Plates: 	37.00 × 52.19 inches or smaller</t>
  </si>
  <si>
    <t>San Bernardino area</t>
  </si>
  <si>
    <t>Dutcher, L. C.; Garrett, Arthur A.</t>
  </si>
  <si>
    <t>4f4e4b1ae4b07f02db6a81b0</t>
  </si>
  <si>
    <t>https://pubs.usgs.gov/publication/wsp1605</t>
  </si>
  <si>
    <t>1299</t>
  </si>
  <si>
    <t>wsp1605</t>
  </si>
  <si>
    <t>Geology and hydrology of Agua Caliente Spring, Palm Springs, California</t>
  </si>
  <si>
    <t>TRS/ Well No.</t>
  </si>
  <si>
    <t>39, 43-46</t>
  </si>
  <si>
    <t>18, 26</t>
  </si>
  <si>
    <t>40, 41, 42, 43</t>
  </si>
  <si>
    <t>Well altitude (15)</t>
  </si>
  <si>
    <t>15, 18, 26, 28, 39-46</t>
  </si>
  <si>
    <t>1605</t>
  </si>
  <si>
    <t>10.3133/wsp1605</t>
  </si>
  <si>
    <t>Report: iv, 41 p.; 2 Plates: 18.94 × 14.81 inches and 9.82 × 14.42 inches</t>
  </si>
  <si>
    <t>Dutcher, L. C.; Bader, J. S.</t>
  </si>
  <si>
    <t>4f4e4b32e4b07f02db6b4673</t>
  </si>
  <si>
    <t>https://pubs.usgs.gov/publication/wsp1619F</t>
  </si>
  <si>
    <t>1325</t>
  </si>
  <si>
    <t>wsp1619F</t>
  </si>
  <si>
    <t>Geology and ground-water features of Point Arguello Naval Missile Facility, Santa Barbara County, California</t>
  </si>
  <si>
    <t>38, 39</t>
  </si>
  <si>
    <t>13, 24, 28, 29-32, 34-36</t>
  </si>
  <si>
    <t>Groundwater drawdown (11)</t>
  </si>
  <si>
    <t>11, 13, 24, 28, 29-32, 34-36, 38, 39, 8</t>
  </si>
  <si>
    <t>10.3133/wsp1619F</t>
  </si>
  <si>
    <t>iv, 35 p. :ill., maps ;24 cm.</t>
  </si>
  <si>
    <t>Evenson, R. E.; Miller, G.A.</t>
  </si>
  <si>
    <t>4f4e4adbe4b07f02db685fb1</t>
  </si>
  <si>
    <t>https://pubs.usgs.gov/publication/wsp1619Z</t>
  </si>
  <si>
    <t>1881</t>
  </si>
  <si>
    <t>wsp1619Z</t>
  </si>
  <si>
    <t>Water-resources reconnaissance in southeastern part of Honey Lake Valley, Lassen County, California</t>
  </si>
  <si>
    <t>Z</t>
  </si>
  <si>
    <t>10.3133/wsp1619Z</t>
  </si>
  <si>
    <t>Report: iii, 8 p.; 2 Plates: 23.00 × 29.50 inches and 19.00 × 29.50 inches</t>
  </si>
  <si>
    <t>Contributions to the hydrology of the United States, 1961</t>
  </si>
  <si>
    <t>Lassen County</t>
  </si>
  <si>
    <t>Honey Lake Valley</t>
  </si>
  <si>
    <t>Hilton, George Stockbridge</t>
  </si>
  <si>
    <t>4f4e4a0de4b07f02db5fd32e</t>
  </si>
  <si>
    <t>https://pubs.usgs.gov/publication/wsp1475O</t>
  </si>
  <si>
    <t>2058</t>
  </si>
  <si>
    <t>wsp1475O</t>
  </si>
  <si>
    <t>Hydrologic and Geologic Reconnaissance of Pinto Basin, Joshua Tree National Monument, Riverside County, California</t>
  </si>
  <si>
    <t>Hydrologic and geologic reconnaissance of Pinto Basin, Joshua Tree National Monument, Riverside County, California</t>
  </si>
  <si>
    <t>Well no.</t>
  </si>
  <si>
    <t>12, 15, 20, 27</t>
  </si>
  <si>
    <t>O</t>
  </si>
  <si>
    <t>10.3133/wsp1475O</t>
  </si>
  <si>
    <t>Report: iii, 24 p.; 1 Plate: 30.90 x 20.80 inches</t>
  </si>
  <si>
    <t>537</t>
  </si>
  <si>
    <t>561</t>
  </si>
  <si>
    <t>Riverside County</t>
  </si>
  <si>
    <t>62500</t>
  </si>
  <si>
    <t>4f4e4a29e4b07f02db6118db</t>
  </si>
  <si>
    <t>https://pubs.usgs.gov/publication/wsp1619S</t>
  </si>
  <si>
    <t>2428</t>
  </si>
  <si>
    <t>wsp1619S</t>
  </si>
  <si>
    <t>Geology and ground-water appraisal of the Naval Air Missile Test Center area, Point Mugu, California</t>
  </si>
  <si>
    <t>10.3133/wsp1619S</t>
  </si>
  <si>
    <t>iv, 40 p. :ill, maps (1 col.) ;24 cm.</t>
  </si>
  <si>
    <t>4f4e4adbe4b07f02db685fca</t>
  </si>
  <si>
    <t>https://pubs.usgs.gov/publication/ofr63103</t>
  </si>
  <si>
    <t>23997</t>
  </si>
  <si>
    <t>ofr63103</t>
  </si>
  <si>
    <t>Water levels in observation wells in Santa Barbara County, California, in 1962</t>
  </si>
  <si>
    <t>63-103</t>
  </si>
  <si>
    <t>10.3133/ofr63103</t>
  </si>
  <si>
    <t>55 p. ill., maps ;27 cm.</t>
  </si>
  <si>
    <t>4f4e4a08e4b07f02db5f9d66</t>
  </si>
  <si>
    <t>https://pubs.usgs.gov/publication/pp372F</t>
  </si>
  <si>
    <t>32798</t>
  </si>
  <si>
    <t>pp372F</t>
  </si>
  <si>
    <t>Effects of drought in the Colorado River basin: Chapter F in &lt;i&gt;Drought in the Southwest, 1942-56&lt;/i&gt;</t>
  </si>
  <si>
    <t>372</t>
  </si>
  <si>
    <t>10.3133/pp372F</t>
  </si>
  <si>
    <t>Utah Water Science Center</t>
  </si>
  <si>
    <t>iii, 51 p.</t>
  </si>
  <si>
    <t>Drought in the Southwest, 1942-56 (Professional Paper 372)</t>
  </si>
  <si>
    <t>Arizona, California, Colorado, Nevada, New Mexico, Utah</t>
  </si>
  <si>
    <t>Thomas, H. E.</t>
  </si>
  <si>
    <t>4f4e4a5ee4b07f02db633d4d</t>
  </si>
  <si>
    <t>https://pubs.usgs.gov/publication/b1089C</t>
  </si>
  <si>
    <t>34172</t>
  </si>
  <si>
    <t>b1089C</t>
  </si>
  <si>
    <t>Geology of the Willow Springs and Rosamond quadrangles, California</t>
  </si>
  <si>
    <t>1089</t>
  </si>
  <si>
    <t>10.3133/b1089C</t>
  </si>
  <si>
    <t>p. 141-253, ill., maps (2 fold. col. in pocket) ;24 cm.</t>
  </si>
  <si>
    <t>Dibblee, T.W. Jr.</t>
  </si>
  <si>
    <t>4f4e4ac9e4b07f02db67c95e</t>
  </si>
  <si>
    <t>https://pubs.usgs.gov/publication/pp372E</t>
  </si>
  <si>
    <t>45707</t>
  </si>
  <si>
    <t>pp372E</t>
  </si>
  <si>
    <t>Effects of drought in basins of interior drainage: Chapter E in &lt;i&gt;Drought in the Southwest, 1942-56&lt;/i&gt;</t>
  </si>
  <si>
    <t>10.3133/pp372E</t>
  </si>
  <si>
    <t>iv, 51 p.</t>
  </si>
  <si>
    <t>55</t>
  </si>
  <si>
    <t>Arizona, California, Nevada, New Mexico, Texas, Utah</t>
  </si>
  <si>
    <t>4f4e4a5ee4b07f02db633d7e</t>
  </si>
  <si>
    <t>https://pubs.usgs.gov/publication/ofr6373</t>
  </si>
  <si>
    <t>52340</t>
  </si>
  <si>
    <t>ofr6373</t>
  </si>
  <si>
    <t>A brief summary of ground water in the Furnace Creek Wash area, Death Valley National Monument, California</t>
  </si>
  <si>
    <t>63-73</t>
  </si>
  <si>
    <t>10.3133/ofr6373</t>
  </si>
  <si>
    <t>53cd497be4b0b290850ef389</t>
  </si>
  <si>
    <t>https://pubs.usgs.gov/publication/ofr6393</t>
  </si>
  <si>
    <t>52348</t>
  </si>
  <si>
    <t>ofr6393</t>
  </si>
  <si>
    <t>Methods of Estimating Ground-Water Pumpage in California</t>
  </si>
  <si>
    <t>63-93</t>
  </si>
  <si>
    <t>10.3133/ofr6393</t>
  </si>
  <si>
    <t>19 p.</t>
  </si>
  <si>
    <t>McClelland, E.J.</t>
  </si>
  <si>
    <t>4f4e4a53e4b07f02db62bb3a</t>
  </si>
  <si>
    <t>https://pubs.usgs.gov/publication/ofr6394</t>
  </si>
  <si>
    <t>52349</t>
  </si>
  <si>
    <t>ofr6394</t>
  </si>
  <si>
    <t>Quality of water in the Terra Bella-Lost Hills area, San Joaquin Valley, California</t>
  </si>
  <si>
    <t>63-94</t>
  </si>
  <si>
    <t>10.3133/ofr6394</t>
  </si>
  <si>
    <t>McClelland, E.J.; Hilton, G.S.</t>
  </si>
  <si>
    <t>4f4e4a8be4b07f02db65165f</t>
  </si>
  <si>
    <t>https://pubs.usgs.gov/publication/ofr63109</t>
  </si>
  <si>
    <t>52359</t>
  </si>
  <si>
    <t>ofr63109</t>
  </si>
  <si>
    <t>A brief geologic and hydrologic reconnaissance of the Furnace Creek Wash area, Death Valley National Monument, California</t>
  </si>
  <si>
    <t>63-109</t>
  </si>
  <si>
    <t>10.3133/ofr63109</t>
  </si>
  <si>
    <t>53cd4979e4b0b290850ef365</t>
  </si>
  <si>
    <t>https://pubs.usgs.gov/publication/ofr63136</t>
  </si>
  <si>
    <t>52372</t>
  </si>
  <si>
    <t>ofr63136</t>
  </si>
  <si>
    <t>Ground-water inventory for 1962, Edwards Air Force Base, California</t>
  </si>
  <si>
    <t>63-136</t>
  </si>
  <si>
    <t>10.3133/ofr63136</t>
  </si>
  <si>
    <t>4f4e4aaae4b07f02db668afe</t>
  </si>
  <si>
    <t>https://pubs.usgs.gov/publication/ofr63137</t>
  </si>
  <si>
    <t>52373</t>
  </si>
  <si>
    <t>ofr63137</t>
  </si>
  <si>
    <t>Ground-water and related geology of Joshua Tree National Monument, California</t>
  </si>
  <si>
    <t>63-137</t>
  </si>
  <si>
    <t>10.3133/ofr63137</t>
  </si>
  <si>
    <t>101 p.</t>
  </si>
  <si>
    <t>Weir, J. E. Jr.; Bader, J. S.</t>
  </si>
  <si>
    <t>4f4e4aafe4b07f02db66cf60</t>
  </si>
  <si>
    <t>https://pubs.usgs.gov/publication/ofr63146</t>
  </si>
  <si>
    <t>53409</t>
  </si>
  <si>
    <t>ofr63146</t>
  </si>
  <si>
    <t>Geology, hydrology, and water supply of Edwards Air Force Base, Kern County, California</t>
  </si>
  <si>
    <t>63-146</t>
  </si>
  <si>
    <t>10.3133/ofr63146</t>
  </si>
  <si>
    <t>ix, 225 p. : ill., maps ; 28 cm.</t>
  </si>
  <si>
    <t>Dutcher, Lee Carlton; Warts, G.F. Jr.</t>
  </si>
  <si>
    <t>4f4e4ac9e4b07f02db67c624</t>
  </si>
  <si>
    <t>https://pubs.usgs.gov/publication/wdrCA621</t>
  </si>
  <si>
    <t>70038668</t>
  </si>
  <si>
    <t>wdrCA621</t>
  </si>
  <si>
    <t>Surface water records of California, 1962; Volume 1: Colorado River Basin, Southern Great Basin, and Pacific Slope Basins excluding Central Valley</t>
  </si>
  <si>
    <t>CA-62-1</t>
  </si>
  <si>
    <t>10.3133/wdrCA621</t>
  </si>
  <si>
    <t>479 p.</t>
  </si>
  <si>
    <t>505b9fcce4b08c986b31e815</t>
  </si>
  <si>
    <t>https://pubs.usgs.gov/publication/wdrCA63Water Quality</t>
  </si>
  <si>
    <t>70039753</t>
  </si>
  <si>
    <t>wdrCA63Water Quality</t>
  </si>
  <si>
    <t>Quality of waters in California</t>
  </si>
  <si>
    <t>CA-63-Water Quality</t>
  </si>
  <si>
    <t>10.3133/wdrCA63Water Quality</t>
  </si>
  <si>
    <t>Legacy Report</t>
  </si>
  <si>
    <t>U.S. Geological Survey, Water Division</t>
  </si>
  <si>
    <t>Water Resources Division</t>
  </si>
  <si>
    <t>ix, 352 p.</t>
  </si>
  <si>
    <t>505a917de4b0c8380cd802b6</t>
  </si>
  <si>
    <t>https://pubs.usgs.gov/publication/70221115</t>
  </si>
  <si>
    <t>70221115</t>
  </si>
  <si>
    <t>Factors influencing the pore volume of fine-grained sediments under low-to-moderate overburden loads</t>
  </si>
  <si>
    <t>Sedimentology</t>
  </si>
  <si>
    <t>10.1111/j.1365-3091.1963.tb01217.x</t>
  </si>
  <si>
    <t>Wiley Blackwell</t>
  </si>
  <si>
    <t>235</t>
  </si>
  <si>
    <t>242</t>
  </si>
  <si>
    <t>San Joaquin Valley</t>
  </si>
  <si>
    <t>Meade, R.H.</t>
  </si>
  <si>
    <t>https://pubs.usgs.gov/publication/wsp1618</t>
  </si>
  <si>
    <t>1258</t>
  </si>
  <si>
    <t>wsp1618</t>
  </si>
  <si>
    <t>Use of ground-water reservoirs for storage of surface water in the San Joaquin Valley, California</t>
  </si>
  <si>
    <t>100, 45-49, 61, 67, 69, 71, 72, 73, outflow (103, 105, 109, 118)</t>
  </si>
  <si>
    <t>92, 93, 95</t>
  </si>
  <si>
    <t>78, 80</t>
  </si>
  <si>
    <t>101, 110, 117, 118, 119, 29, 41, 42</t>
  </si>
  <si>
    <t>100, 101, inflow (103, 105), 106, 109, 110, 114, 118, 119, 124, 57, 78, 80, 121, 61, 67, 69, 71, 72, 73</t>
  </si>
  <si>
    <t>104, 109, 111, 112, 113, 122, 123, 44</t>
  </si>
  <si>
    <t>100, 111, 121, 44</t>
  </si>
  <si>
    <t>104, 106, 112, 122, 123, 124</t>
  </si>
  <si>
    <t>Permeability (96)</t>
  </si>
  <si>
    <t>100, 101, 103, 104, 105, 106, 109, 110-114, 117-119, 121-124, 29, 34, 41, 42, 44-49, 55, 57, 61, 67, 69, 71, 72, 73, 78, 80, 92, 93, 95, 96</t>
  </si>
  <si>
    <t>1618</t>
  </si>
  <si>
    <t>10.3133/wsp1618</t>
  </si>
  <si>
    <t>1964</t>
  </si>
  <si>
    <t>United States Govt. Print. Off.,</t>
  </si>
  <si>
    <t>vii, 125 p. :illus., maps, diagrs., tables. and portfolio ;24 cm.</t>
  </si>
  <si>
    <t>Davis, G. H.; Lofgren, B. E.; Mack, Seymour</t>
  </si>
  <si>
    <t>4f4e4a17e4b07f02db604592</t>
  </si>
  <si>
    <t>https://pubs.usgs.gov/publication/wsp1535J</t>
  </si>
  <si>
    <t>1335</t>
  </si>
  <si>
    <t>wsp1535J</t>
  </si>
  <si>
    <t>Chemical composition of snow in the northern Sierra Nevada and other areas</t>
  </si>
  <si>
    <t>10, 12, 13, 15-17, 19-25, 29, 30, 32, 33, 40, 42, 7</t>
  </si>
  <si>
    <t>J</t>
  </si>
  <si>
    <t>10.3133/wsp1535J</t>
  </si>
  <si>
    <t>Report: iii, 39 p.; Plate: 28.00 x 21.15 inches</t>
  </si>
  <si>
    <t>Arizona, California, Colorado, Nevada, Oregon, Utah</t>
  </si>
  <si>
    <t>Denver</t>
  </si>
  <si>
    <t>Sierra Nevada</t>
  </si>
  <si>
    <t>Feth, John Henry Frederick; Rogers, S. M.; Roberson, Charles Elmer</t>
  </si>
  <si>
    <t>4f4e49dfe4b07f02db5e3c6a</t>
  </si>
  <si>
    <t>https://pubs.usgs.gov/publication/wsp1535I</t>
  </si>
  <si>
    <t>1337</t>
  </si>
  <si>
    <t>wsp1535I</t>
  </si>
  <si>
    <t>Sources of mineral constituents in water from granitic rocks, Sierra Nevada, California and Nevada</t>
  </si>
  <si>
    <t>10-22, 41, 43, 44, 56, 57, 59, 60, 62, 66</t>
  </si>
  <si>
    <t>10.3133/wsp1535I</t>
  </si>
  <si>
    <t>iv, 70 p. :illus., maps (1 fold. in pocket) ;24 cm.</t>
  </si>
  <si>
    <t>Feth, John Henry Frederick; Robertson, C.E.; Polzer, Wilfred L.</t>
  </si>
  <si>
    <t>4f4e49e6e4b07f02db5e75d0</t>
  </si>
  <si>
    <t>https://pubs.usgs.gov/publication/wsp1664</t>
  </si>
  <si>
    <t>2344</t>
  </si>
  <si>
    <t>wsp1664</t>
  </si>
  <si>
    <t>Geology and ground water of San Antonio Creek Valley, Santa Barbara County, California</t>
  </si>
  <si>
    <t>1664</t>
  </si>
  <si>
    <t>10.3133/wsp1664</t>
  </si>
  <si>
    <t>v, 53 p. :maps (2 col.) diagrs., tables. ;24 cm.</t>
  </si>
  <si>
    <t>4f4e4adce4b07f02db686294</t>
  </si>
  <si>
    <t>https://pubs.usgs.gov/publication/wsp1779Y</t>
  </si>
  <si>
    <t>2508</t>
  </si>
  <si>
    <t>wsp1779Y</t>
  </si>
  <si>
    <t>1779</t>
  </si>
  <si>
    <t>10.3133/wsp1779Y</t>
  </si>
  <si>
    <t>Report: iv, 35 p.; 1 Plate: 24.00 x 24.73 inches</t>
  </si>
  <si>
    <t>Death Valley National Monument, Furnace Creek Wash area</t>
  </si>
  <si>
    <t>Pistrang, Marvin Arthur; Kunkel, Fred</t>
  </si>
  <si>
    <t>53cd4979e4b0b290850ef367</t>
  </si>
  <si>
    <t>https://pubs.usgs.gov/publication/wsp1779AA</t>
  </si>
  <si>
    <t>2559</t>
  </si>
  <si>
    <t>wsp1779AA</t>
  </si>
  <si>
    <t>Stream hydrology related to the optimum discharge for King Salmon spawning in the northern California coast ranges</t>
  </si>
  <si>
    <t>AA</t>
  </si>
  <si>
    <t>10.3133/wsp1779AA</t>
  </si>
  <si>
    <t>United States Government Printing Office,</t>
  </si>
  <si>
    <t>16 leaves (AA1-AA16) :ill. ;24 cm.</t>
  </si>
  <si>
    <t>4f4e4b16e4b07f02db6a5194</t>
  </si>
  <si>
    <t>https://pubs.usgs.gov/publication/wsp1758</t>
  </si>
  <si>
    <t>2561</t>
  </si>
  <si>
    <t>wsp1758</t>
  </si>
  <si>
    <t>Surface-water hydrology of coastal basins of northern California</t>
  </si>
  <si>
    <t>1758</t>
  </si>
  <si>
    <t>10.3133/wsp1758</t>
  </si>
  <si>
    <t>v, 77 p. :illus., maps, diagrs., tables ;24 cm.</t>
  </si>
  <si>
    <t>4f4e4b05e4b07f02db699c54</t>
  </si>
  <si>
    <t>https://pubs.usgs.gov/publication/wsp1656</t>
  </si>
  <si>
    <t>3012</t>
  </si>
  <si>
    <t>wsp1656</t>
  </si>
  <si>
    <t>Geology and ground-water features of the Edison-Maricopa area, Kern County, California</t>
  </si>
  <si>
    <t>1656</t>
  </si>
  <si>
    <t>10.3133/wsp1656</t>
  </si>
  <si>
    <t>Report: vi, 108 p.; 12 Plates: 40.00 x 26.50 inches or smaller</t>
  </si>
  <si>
    <t>Edison-Maricopa area</t>
  </si>
  <si>
    <t>Wood, Perry Rowley; Dale, R. H.</t>
  </si>
  <si>
    <t>4f4e4adbe4b07f02db685f6e</t>
  </si>
  <si>
    <t>https://pubs.usgs.gov/publication/wsp1735</t>
  </si>
  <si>
    <t>3058</t>
  </si>
  <si>
    <t>wsp1735</t>
  </si>
  <si>
    <t>Compilation of records of surface waters of the United States, October 1950 to September 1960, part 11. Pacific slope basins in California</t>
  </si>
  <si>
    <t>1735</t>
  </si>
  <si>
    <t>10.3133/wsp1735</t>
  </si>
  <si>
    <t>Report: xvi, 715 p.; 1 Plate: 27.00 × 43.47 inches</t>
  </si>
  <si>
    <t>4f4e4b1de4b07f02db6a988d</t>
  </si>
  <si>
    <t>https://pubs.usgs.gov/publication/wsp1591B</t>
  </si>
  <si>
    <t>3205</t>
  </si>
  <si>
    <t>wsp1591B</t>
  </si>
  <si>
    <t>Effect of urban growth on streamflow regimen of Permanente Creek, Santa Clara County, California</t>
  </si>
  <si>
    <t>1591</t>
  </si>
  <si>
    <t>10.3133/wsp1591B</t>
  </si>
  <si>
    <t>1 v. (issued as seperate chapters) :ill. ;24 cm. ;18 p.</t>
  </si>
  <si>
    <t>Harris, E. E.; Rantz, S. E.</t>
  </si>
  <si>
    <t>4f4e4a4ae4b07f02db6251fa</t>
  </si>
  <si>
    <t>https://pubs.usgs.gov/publication/cir459</t>
  </si>
  <si>
    <t>4042</t>
  </si>
  <si>
    <t>cir459</t>
  </si>
  <si>
    <t>The story of ground water in the San Joaquin Valley, California</t>
  </si>
  <si>
    <t>459</t>
  </si>
  <si>
    <t>10.3133/cir459</t>
  </si>
  <si>
    <t>iii, 11 p. :illus., map. ;27 cm.</t>
  </si>
  <si>
    <t>Dale, R. H.; French, James J.; Wilson, Harry Dennis</t>
  </si>
  <si>
    <t>4f4e4a61e4b07f02db63597a</t>
  </si>
  <si>
    <t>https://pubs.usgs.gov/publication/ofr6444</t>
  </si>
  <si>
    <t>13386</t>
  </si>
  <si>
    <t>ofr6444</t>
  </si>
  <si>
    <t>Gross theoretical waterpower, developed and undeveloped, State of California</t>
  </si>
  <si>
    <t>64-44</t>
  </si>
  <si>
    <t>10.3133/ofr6444</t>
  </si>
  <si>
    <t>28 p. ;21 cm.</t>
  </si>
  <si>
    <t>Doolittle, Richard Neil; Sax, Kenneth William</t>
  </si>
  <si>
    <t>4f4e4abae4b07f02db671c8a</t>
  </si>
  <si>
    <t>https://pubs.usgs.gov/publication/ofr6459</t>
  </si>
  <si>
    <t>23190</t>
  </si>
  <si>
    <t>ofr6459</t>
  </si>
  <si>
    <t>A reconnaissance of the geology and water resources of the Mission Creek Indian Reservation, Riverside County, California</t>
  </si>
  <si>
    <t>64-59</t>
  </si>
  <si>
    <t>10.3133/ofr6459</t>
  </si>
  <si>
    <t>31 p., 30 leaves :ill., maps, photo. ;27 cm.</t>
  </si>
  <si>
    <t>Giessner, F. W.</t>
  </si>
  <si>
    <t>4f4e4b1ae4b07f02db6a85c0</t>
  </si>
  <si>
    <t>https://pubs.usgs.gov/publication/ofr64117</t>
  </si>
  <si>
    <t>23993</t>
  </si>
  <si>
    <t>ofr64117</t>
  </si>
  <si>
    <t>Water levels in observation wells in Santa Barbara County, California, 1963</t>
  </si>
  <si>
    <t>64-117</t>
  </si>
  <si>
    <t>10.3133/ofr64117</t>
  </si>
  <si>
    <t>U.S. Dept. of the Interior, Geological Survey, Water Resources Division,</t>
  </si>
  <si>
    <t>30 p., 11 figs., 1 v. (various pagings) :ill., maps ;27 cm.</t>
  </si>
  <si>
    <t>4f4e4a08e4b07f02db5f9db5</t>
  </si>
  <si>
    <t>https://pubs.usgs.gov/publication/ofr64108</t>
  </si>
  <si>
    <t>42687</t>
  </si>
  <si>
    <t>ofr64108</t>
  </si>
  <si>
    <t>Preliminary geology of the Furnace Creek borate area, Death Valley, California</t>
  </si>
  <si>
    <t>64-108</t>
  </si>
  <si>
    <t>10.3133/ofr64108</t>
  </si>
  <si>
    <t>2 Plates: 48.45 x 41.99 inches and 14.71 x 34.85 inches</t>
  </si>
  <si>
    <t>Death Valley</t>
  </si>
  <si>
    <t>4f4e4abde4b07f02db673eb3</t>
  </si>
  <si>
    <t>https://pubs.usgs.gov/publication/pp486B</t>
  </si>
  <si>
    <t>45732</t>
  </si>
  <si>
    <t>pp486B</t>
  </si>
  <si>
    <t>Precipitation, runoff, and water loss in the lower Colorado River–Salton Sea area</t>
  </si>
  <si>
    <t>486</t>
  </si>
  <si>
    <t>10.3133/pp486B</t>
  </si>
  <si>
    <t>Report: iii, 16 p.; 7 Plates: 29.00 × 33.50 inches or smaller</t>
  </si>
  <si>
    <t>Water resources of Lower Colorado River-Salton Sea area</t>
  </si>
  <si>
    <t>Arizona, California, Nevada</t>
  </si>
  <si>
    <t>lower Colorado River - Salton Sea area</t>
  </si>
  <si>
    <t>Hely, A. G.; Peck, E. L.</t>
  </si>
  <si>
    <t>4f4e4b24e4b07f02db6ae6ad</t>
  </si>
  <si>
    <t>https://pubs.usgs.gov/publication/ofr644</t>
  </si>
  <si>
    <t>52382</t>
  </si>
  <si>
    <t>ofr644</t>
  </si>
  <si>
    <t>A reconnaissance of saline ground water in California</t>
  </si>
  <si>
    <t>64-4</t>
  </si>
  <si>
    <t>10.3133/ofr644</t>
  </si>
  <si>
    <t>Bader, J. S.</t>
  </si>
  <si>
    <t>4f4e4b1ae4b07f02db6a861d</t>
  </si>
  <si>
    <t>https://pubs.usgs.gov/publication/ofr64114</t>
  </si>
  <si>
    <t>52420</t>
  </si>
  <si>
    <t>ofr64114</t>
  </si>
  <si>
    <t>Ground-water conditions, U. S. Naval Missile Facility, Point Arguello, California, July 1962-June 1963</t>
  </si>
  <si>
    <t>64-114</t>
  </si>
  <si>
    <t>10.3133/ofr64114</t>
  </si>
  <si>
    <t>4f4e4aafe4b07f02db66d092</t>
  </si>
  <si>
    <t>https://pubs.usgs.gov/publication/gq350</t>
  </si>
  <si>
    <t>62912</t>
  </si>
  <si>
    <t>gq350</t>
  </si>
  <si>
    <t>Geologic map of the Big Maria Mountains NE quadrangle, Riverside County, California, and Yuma County, Arizona</t>
  </si>
  <si>
    <t>Geologic Quadrangle</t>
  </si>
  <si>
    <t>350</t>
  </si>
  <si>
    <t>10.3133/gq350</t>
  </si>
  <si>
    <t>1 map :col. ;49x58 cm. on 84x90 cm. sheet fold. in envelope 25x31 cm.</t>
  </si>
  <si>
    <t>Hamilton, Warren Bell</t>
  </si>
  <si>
    <t>4f4e4b0de4b07f02db69f2d2</t>
  </si>
  <si>
    <t>https://pubs.usgs.gov/publication/i431</t>
  </si>
  <si>
    <t>65098</t>
  </si>
  <si>
    <t>i431</t>
  </si>
  <si>
    <t>Geologic map of the San Gorgonio Mountain quadrangle, San Bernardino and Riverside Counties, California</t>
  </si>
  <si>
    <t>10.3133/i431</t>
  </si>
  <si>
    <t>1 map :col. ;37x48 cm. on 66x83 cm. sheet fold. in envelope 25x31 cm. +1 text (3 leaves ; 28 cm.)</t>
  </si>
  <si>
    <t>4f4e4a28e4b07f02db6113ca</t>
  </si>
  <si>
    <t>https://pubs.usgs.gov/publication/wdrCA64</t>
  </si>
  <si>
    <t>70038394</t>
  </si>
  <si>
    <t>wdrCA64</t>
  </si>
  <si>
    <t>Water Quality Records in California</t>
  </si>
  <si>
    <t>CA-64</t>
  </si>
  <si>
    <t>10.3133/wdrCA64</t>
  </si>
  <si>
    <t>x, 348 p.</t>
  </si>
  <si>
    <t>505bc413e4b08c986b32b4af</t>
  </si>
  <si>
    <t>https://pubs.usgs.gov/publication/wdrCA631</t>
  </si>
  <si>
    <t>70038669</t>
  </si>
  <si>
    <t>wdrCA631</t>
  </si>
  <si>
    <t>Surface water records of California, 1963; Volume 1: Colorado River Basin, Southern Great Basin, and Pacific Slope Basins excluding Central Valley</t>
  </si>
  <si>
    <t>CA-63-1</t>
  </si>
  <si>
    <t>10.3133/wdrCA631</t>
  </si>
  <si>
    <t>463 p.</t>
  </si>
  <si>
    <t>505b9fcce4b08c986b31e818</t>
  </si>
  <si>
    <t>https://pubs.usgs.gov/publication/70221819</t>
  </si>
  <si>
    <t>70221819</t>
  </si>
  <si>
    <t>Potassium-argon dates of three pleistocene interglacial basalt flows from the Sierra Nevada, california</t>
  </si>
  <si>
    <t>10.1130/0016-7606(1964)75[753:PDOTPI]2.0.CO;2</t>
  </si>
  <si>
    <t>Geological Society of American</t>
  </si>
  <si>
    <t>753</t>
  </si>
  <si>
    <t>Dalrymple, G. Brent</t>
  </si>
  <si>
    <t>https://pubs.usgs.gov/publication/838</t>
  </si>
  <si>
    <t>838</t>
  </si>
  <si>
    <t>Water resources data for California</t>
  </si>
  <si>
    <t>10.3133/838</t>
  </si>
  <si>
    <t>1965</t>
  </si>
  <si>
    <t>U.S. Department of the Interior</t>
  </si>
  <si>
    <t>53e1efe2e4b0fe532be2dead</t>
  </si>
  <si>
    <t>https://pubs.usgs.gov/publication/wsp1548</t>
  </si>
  <si>
    <t>wsp1548</t>
  </si>
  <si>
    <t>Geology and ground water in Russian River Valley areas and in Round, Laytonville, and Little Lake Valleys, Sonoma and Mendocino Counties, California</t>
  </si>
  <si>
    <t>154-155</t>
  </si>
  <si>
    <t>121-128, 143-147</t>
  </si>
  <si>
    <t>32</t>
  </si>
  <si>
    <t>139-141, 152-153, 34, 66, 97</t>
  </si>
  <si>
    <t>22, 43, 76</t>
  </si>
  <si>
    <t xml:space="preserve">129-136, 150, 26-27, 86, </t>
  </si>
  <si>
    <t>Climatological data (17)</t>
  </si>
  <si>
    <t>121-128, 139-141, 143-147, 152-153, 154-155, 22, 32, 34, 53, 66, 76, 86</t>
  </si>
  <si>
    <t>10.3133/wsp1548</t>
  </si>
  <si>
    <t>vi, 154 p. :illus., maps (6 fold. col. in pocket) ;24 cm.</t>
  </si>
  <si>
    <t>4f4e4adbe4b07f02db686053</t>
  </si>
  <si>
    <t>https://pubs.usgs.gov/publication/wsp1809S</t>
  </si>
  <si>
    <t>1328</t>
  </si>
  <si>
    <t>wsp1809S</t>
  </si>
  <si>
    <t>Suitability of irrigation water and changes in ground-water quality in the Lompoc subarea of the Santa Ynez River Basin, Santa Barbara County, California</t>
  </si>
  <si>
    <t>Well location (18)</t>
  </si>
  <si>
    <t>17, 18</t>
  </si>
  <si>
    <t>1809</t>
  </si>
  <si>
    <t>10.3133/wsp1809S</t>
  </si>
  <si>
    <t>iii, 20 p. :ill., maps ;24 cm.</t>
  </si>
  <si>
    <t>4f4e4b05e4b07f02db6998a2</t>
  </si>
  <si>
    <t>https://pubs.usgs.gov/publication/cir510</t>
  </si>
  <si>
    <t>3982</t>
  </si>
  <si>
    <t>cir510</t>
  </si>
  <si>
    <t>Index of surface-water records to December 31, 1963: Part 10. - The Great Basin</t>
  </si>
  <si>
    <t>510</t>
  </si>
  <si>
    <t>10.3133/cir510</t>
  </si>
  <si>
    <t>Eisenhuth, H.P.</t>
  </si>
  <si>
    <t>4f4e49f9e4b07f02db5f3a77</t>
  </si>
  <si>
    <t>https://pubs.usgs.gov/publication/cir511</t>
  </si>
  <si>
    <t>3983</t>
  </si>
  <si>
    <t>cir511</t>
  </si>
  <si>
    <t>Index of surface-water records to December 31, 1963--Part 11, Pacific slope basins in California</t>
  </si>
  <si>
    <t>10.3133/cir511</t>
  </si>
  <si>
    <t>50 p. :ill., map ;26 cm.</t>
  </si>
  <si>
    <t>4f4e49f9e4b07f02db5f3a7e</t>
  </si>
  <si>
    <t>https://pubs.usgs.gov/publication/cir509</t>
  </si>
  <si>
    <t>3992</t>
  </si>
  <si>
    <t>cir509</t>
  </si>
  <si>
    <t>Index of surface-water records to December 31, 1963: Part 9. - Colorado River basin</t>
  </si>
  <si>
    <t>509</t>
  </si>
  <si>
    <t>10.3133/cir509</t>
  </si>
  <si>
    <t>53</t>
  </si>
  <si>
    <t>4f4e49f9e4b07f02db5f30ba</t>
  </si>
  <si>
    <t>https://pubs.usgs.gov/publication/pp502A</t>
  </si>
  <si>
    <t>6064</t>
  </si>
  <si>
    <t>pp502A</t>
  </si>
  <si>
    <t>The hydrology and mineralogy of Deep Springs Lake, Inyo County, California</t>
  </si>
  <si>
    <t>502</t>
  </si>
  <si>
    <t>10.3133/pp502A</t>
  </si>
  <si>
    <t>p. A1-A56</t>
  </si>
  <si>
    <t>Jones, Blair F. bfjones@usgs.gov</t>
  </si>
  <si>
    <t>4f4e4a86e4b07f02db64da15</t>
  </si>
  <si>
    <t>https://pubs.usgs.gov/publication/pp417E</t>
  </si>
  <si>
    <t>38962</t>
  </si>
  <si>
    <t>pp417E</t>
  </si>
  <si>
    <t>Natural water loss and recoverable water in mountain basins of southern California</t>
  </si>
  <si>
    <t>417</t>
  </si>
  <si>
    <t>10.3133/pp417E</t>
  </si>
  <si>
    <t>p. E1-E24</t>
  </si>
  <si>
    <t>Crippen, J. R.</t>
  </si>
  <si>
    <t>4f4e4b00e4b07f02db6980c5</t>
  </si>
  <si>
    <t>https://pubs.usgs.gov/publication/pp422F</t>
  </si>
  <si>
    <t>38967</t>
  </si>
  <si>
    <t>pp422F</t>
  </si>
  <si>
    <t>Sediment yield of the Castaic Watershed, western Los Angeles County, California — A quantitative geomorphic approach</t>
  </si>
  <si>
    <t>422</t>
  </si>
  <si>
    <t>10.3133/pp422F</t>
  </si>
  <si>
    <t>Report: iv, 23 p.; 2 Plates: 15.00 × 12.00 inches and 19.00 × 20.00 inches</t>
  </si>
  <si>
    <t>Los Angeles County</t>
  </si>
  <si>
    <t>Castaic watershed</t>
  </si>
  <si>
    <t>Lustig, L. K.</t>
  </si>
  <si>
    <t>4f4e4a0be4b07f02db5fbe43</t>
  </si>
  <si>
    <t>https://pubs.usgs.gov/publication/pp352F</t>
  </si>
  <si>
    <t>38996</t>
  </si>
  <si>
    <t>pp352F</t>
  </si>
  <si>
    <t>Clastic sedimentation in Deep Springs Valley, California</t>
  </si>
  <si>
    <t>352</t>
  </si>
  <si>
    <t>10.3133/pp352F</t>
  </si>
  <si>
    <t>p. 131-192</t>
  </si>
  <si>
    <t>Erosion and sedimentation in a semiarid environment</t>
  </si>
  <si>
    <t>4f4e4aa9e4b07f02db668030</t>
  </si>
  <si>
    <t>https://pubs.usgs.gov/publication/ofr65128</t>
  </si>
  <si>
    <t>41801</t>
  </si>
  <si>
    <t>ofr65128</t>
  </si>
  <si>
    <t>Approximate location of fault traces and historic surface ruptures within the Hayward fault zone between San Pablo and Warm Springs, California</t>
  </si>
  <si>
    <t>65-128</t>
  </si>
  <si>
    <t>10.3133/ofr65128</t>
  </si>
  <si>
    <t>1 Plate: 30.15 x 48.95 inches</t>
  </si>
  <si>
    <t>San Pablo, Warm Springs</t>
  </si>
  <si>
    <t>Radbruch-Hall, Dorothy H.</t>
  </si>
  <si>
    <t>4f4e4ac6e4b07f02db67a212</t>
  </si>
  <si>
    <t>https://pubs.usgs.gov/publication/ofr6548</t>
  </si>
  <si>
    <t>52459</t>
  </si>
  <si>
    <t>ofr6548</t>
  </si>
  <si>
    <t>Progress report on water studies in the Bloomington-Colton area, Upper Santa Ana Valley, California</t>
  </si>
  <si>
    <t>65-48</t>
  </si>
  <si>
    <t>10.3133/ofr6548</t>
  </si>
  <si>
    <t>4f4e4a9be4b07f02db65dc32</t>
  </si>
  <si>
    <t>https://pubs.usgs.gov/publication/ofr6549</t>
  </si>
  <si>
    <t>52460</t>
  </si>
  <si>
    <t>ofr6549</t>
  </si>
  <si>
    <t>Progress report on water studies in the San Timoteo-Smiley Heights area, Upper Santa Ana Valley, California, 1964</t>
  </si>
  <si>
    <t>65-49</t>
  </si>
  <si>
    <t>10.3133/ofr6549</t>
  </si>
  <si>
    <t>4f4e4a9be4b07f02db65dc55</t>
  </si>
  <si>
    <t>https://pubs.usgs.gov/publication/ofr6550</t>
  </si>
  <si>
    <t>52461</t>
  </si>
  <si>
    <t>ofr6550</t>
  </si>
  <si>
    <t>Progress report on water studies in the Chino-Corona area, Upper Santa Ana Valley, California, 1964, Part I</t>
  </si>
  <si>
    <t>65-50</t>
  </si>
  <si>
    <t>10.3133/ofr6550</t>
  </si>
  <si>
    <t>36 p.</t>
  </si>
  <si>
    <t>Dutcher, L. C.; French, J.J.</t>
  </si>
  <si>
    <t>4f4e4a9be4b07f02db65dbc5</t>
  </si>
  <si>
    <t>https://pubs.usgs.gov/publication/ofr6558</t>
  </si>
  <si>
    <t>52465</t>
  </si>
  <si>
    <t>ofr6558</t>
  </si>
  <si>
    <t>A brief water-resources reconnaissance of Pala and Rincon Indian Reservations, San Diego County, California</t>
  </si>
  <si>
    <t>65-58</t>
  </si>
  <si>
    <t>10.3133/ofr6558</t>
  </si>
  <si>
    <t>41 p.</t>
  </si>
  <si>
    <t>French, J.J.; Pearson, E.G.</t>
  </si>
  <si>
    <t>53cd497be4b0b290850ef38d</t>
  </si>
  <si>
    <t>https://pubs.usgs.gov/publication/ofr6559</t>
  </si>
  <si>
    <t>52466</t>
  </si>
  <si>
    <t>ofr6559</t>
  </si>
  <si>
    <t>Progress report on water studies in the Chino-Corona area, Upper Santa Ana Valley, California, 1964, Part II</t>
  </si>
  <si>
    <t>65-59</t>
  </si>
  <si>
    <t>10.3133/ofr6559</t>
  </si>
  <si>
    <t>French, J.J.; Dutcher, L. C.; Dana, S. W.</t>
  </si>
  <si>
    <t>4f4e4a9be4b07f02db65dbce</t>
  </si>
  <si>
    <t>https://pubs.usgs.gov/publication/ofr6561</t>
  </si>
  <si>
    <t>52467</t>
  </si>
  <si>
    <t>ofr6561</t>
  </si>
  <si>
    <t>Ground-water conditions during 1964 at the Marine Corps Base, Twentynine Palms, California</t>
  </si>
  <si>
    <t>65-61</t>
  </si>
  <si>
    <t>10.3133/ofr6561</t>
  </si>
  <si>
    <t>Glessner, F.W.</t>
  </si>
  <si>
    <t>4f4e4aafe4b07f02db66d2aa</t>
  </si>
  <si>
    <t>https://pubs.usgs.gov/publication/ofr6562</t>
  </si>
  <si>
    <t>52468</t>
  </si>
  <si>
    <t>ofr6562</t>
  </si>
  <si>
    <t>Ground-water inventory for 1964, Edwards Air Force Base, California</t>
  </si>
  <si>
    <t>65-62</t>
  </si>
  <si>
    <t>10.3133/ofr6562</t>
  </si>
  <si>
    <t>Glessner, F.W.; Robson, S. G.</t>
  </si>
  <si>
    <t>4f4e4aaae4b07f02db668c2b</t>
  </si>
  <si>
    <t>https://pubs.usgs.gov/publication/ofr6584</t>
  </si>
  <si>
    <t>52473</t>
  </si>
  <si>
    <t>ofr6584</t>
  </si>
  <si>
    <t>Temperature of California streams-Part 1, Evaluation of thermograph records</t>
  </si>
  <si>
    <t>65-84</t>
  </si>
  <si>
    <t>10.3133/ofr6584</t>
  </si>
  <si>
    <t>Jones, E.J.</t>
  </si>
  <si>
    <t>4f4e4adae4b07f02db6857f2</t>
  </si>
  <si>
    <t>https://pubs.usgs.gov/publication/ofr65108</t>
  </si>
  <si>
    <t>52484</t>
  </si>
  <si>
    <t>ofr65108</t>
  </si>
  <si>
    <t>Ground-water conditions, U. S. Naval Missile Facility, Point Arguello, California, July 1963-June 1864</t>
  </si>
  <si>
    <t>65-108</t>
  </si>
  <si>
    <t>10.3133/ofr65108</t>
  </si>
  <si>
    <t>20 p.</t>
  </si>
  <si>
    <t>4f4e4aafe4b07f02db66d0a5</t>
  </si>
  <si>
    <t>https://pubs.usgs.gov/publication/ofr65159</t>
  </si>
  <si>
    <t>52510</t>
  </si>
  <si>
    <t>ofr65159</t>
  </si>
  <si>
    <t>Seepage losses in the San Jacinto River alluvial fan near Elsinore, California</t>
  </si>
  <si>
    <t>65-159</t>
  </si>
  <si>
    <t>10.3133/ofr65159</t>
  </si>
  <si>
    <t>Thompson, T. H.</t>
  </si>
  <si>
    <t>4f4e4a0ae4b07f02db5fb9db</t>
  </si>
  <si>
    <t>https://pubs.usgs.gov/publication/ofr65169</t>
  </si>
  <si>
    <t>52513</t>
  </si>
  <si>
    <t>ofr65169</t>
  </si>
  <si>
    <t>Progress report on water studies in the Orange County coastal area, California</t>
  </si>
  <si>
    <t>65-169</t>
  </si>
  <si>
    <t>10.3133/ofr65169</t>
  </si>
  <si>
    <t>37 p.</t>
  </si>
  <si>
    <t>Wall, J. R.; Dutcher, L. C.</t>
  </si>
  <si>
    <t>4f4e4a9ae4b07f02db65da10</t>
  </si>
  <si>
    <t>https://pubs.usgs.gov/publication/ofr65172</t>
  </si>
  <si>
    <t>52515</t>
  </si>
  <si>
    <t>ofr65172</t>
  </si>
  <si>
    <t>A progress report and proposed test-well drilling program for the water-resources investigation of the Antelope Valley-East Kern Water Agency area, California</t>
  </si>
  <si>
    <t>65-172</t>
  </si>
  <si>
    <t>10.3133/ofr65172</t>
  </si>
  <si>
    <t>Report: 121 p.; 5 Plates: 39.38 x 11.55 inches or smaller</t>
  </si>
  <si>
    <t>Antelope Valley-East Kern Water Agency area</t>
  </si>
  <si>
    <t>Weir, J. E. Jr.; Crippen, J. R.; Dutcher, L. C.</t>
  </si>
  <si>
    <t>4f4e4b1be4b07f02db6a8e4a</t>
  </si>
  <si>
    <t>https://pubs.usgs.gov/publication/ofr65173</t>
  </si>
  <si>
    <t>52516</t>
  </si>
  <si>
    <t>ofr65173</t>
  </si>
  <si>
    <t>Ground-water inventory for 1963, Edwards Air Force Base, California</t>
  </si>
  <si>
    <t>65-173</t>
  </si>
  <si>
    <t>10.3133/ofr65173</t>
  </si>
  <si>
    <t>4f4e4aaae4b07f02db668c1f</t>
  </si>
  <si>
    <t>https://pubs.usgs.gov/publication/70010681</t>
  </si>
  <si>
    <t>70010681</t>
  </si>
  <si>
    <t>Geochemistry of Birch Creek, Inyo County, California a travertine depositing creek in an arid climate</t>
  </si>
  <si>
    <t>10.1016/0016-7037(65)90119-5</t>
  </si>
  <si>
    <t>29</t>
  </si>
  <si>
    <t>85</t>
  </si>
  <si>
    <t>112</t>
  </si>
  <si>
    <t>Inyo County</t>
  </si>
  <si>
    <t>Barnes, I.</t>
  </si>
  <si>
    <t>505a16e2e4b0c8380cd552d0</t>
  </si>
  <si>
    <t>https://pubs.usgs.gov/publication/wdrCA6511</t>
  </si>
  <si>
    <t>70038395</t>
  </si>
  <si>
    <t>wdrCA6511</t>
  </si>
  <si>
    <t>Water Resources Data for California, 1965; Part 1: Surface Water Records; Volume 1: Colorado River Basin, Southern Great Basin, and Pacific Slope Basins excluding Central Valley</t>
  </si>
  <si>
    <t>CA-65-1-1</t>
  </si>
  <si>
    <t>10.3133/wdrCA6511</t>
  </si>
  <si>
    <t>xviii, 470 p.</t>
  </si>
  <si>
    <t>Colorado River Basin;Southern Great Basin;Pacific Slope Basins</t>
  </si>
  <si>
    <t>505bc48ee4b08c986b32b6f0</t>
  </si>
  <si>
    <t>https://pubs.usgs.gov/publication/wdrCA6512</t>
  </si>
  <si>
    <t>70038396</t>
  </si>
  <si>
    <t>wdrCA6512</t>
  </si>
  <si>
    <t>Water Resources Data for California, 1965; Part 1: Surface Water Records; Volume 2: Northern Great Basin and Central Valley</t>
  </si>
  <si>
    <t>CA-65-1-2</t>
  </si>
  <si>
    <t>10.3133/wdrCA6512</t>
  </si>
  <si>
    <t>xvii, 472 p.</t>
  </si>
  <si>
    <t>943</t>
  </si>
  <si>
    <t>1964-10-01</t>
  </si>
  <si>
    <t>1965-09-30</t>
  </si>
  <si>
    <t>505bc48fe4b08c986b32b6f6</t>
  </si>
  <si>
    <t>https://pubs.usgs.gov/publication/wdrCA652</t>
  </si>
  <si>
    <t>70038397</t>
  </si>
  <si>
    <t>wdrCA652</t>
  </si>
  <si>
    <t>Water Resources Data for California, 1965; Part 2: Water Quality Records</t>
  </si>
  <si>
    <t>CA-65-2</t>
  </si>
  <si>
    <t>10.3133/wdrCA652</t>
  </si>
  <si>
    <t>x, 378 p.</t>
  </si>
  <si>
    <t>505bc490e4b08c986b32b6fc</t>
  </si>
  <si>
    <t>https://pubs.usgs.gov/publication/wdrCA641</t>
  </si>
  <si>
    <t>70038672</t>
  </si>
  <si>
    <t>wdrCA641</t>
  </si>
  <si>
    <t>Surface water records of California, 1964; Volume 1: Colorado River Basin, Southern Great Basin, and Pacific Slope Basins excluding Central Valley</t>
  </si>
  <si>
    <t>CA-64-1</t>
  </si>
  <si>
    <t>10.3133/wdrCA641</t>
  </si>
  <si>
    <t>498 p.</t>
  </si>
  <si>
    <t>1963-10-01</t>
  </si>
  <si>
    <t>1964-09-30</t>
  </si>
  <si>
    <t>505b9fcde4b08c986b31e81b</t>
  </si>
  <si>
    <t>https://pubs.usgs.gov/publication/wsp1819A</t>
  </si>
  <si>
    <t>2313</t>
  </si>
  <si>
    <t>wsp1819A</t>
  </si>
  <si>
    <t>Utilization of ground water in the Santa Maria Valley area, California</t>
  </si>
  <si>
    <t>1819</t>
  </si>
  <si>
    <t>10.3133/wsp1819A</t>
  </si>
  <si>
    <t>1966</t>
  </si>
  <si>
    <t>iii, 24 p. :ill. ;24 cm. + plate folded in pocket.</t>
  </si>
  <si>
    <t>Miller, G.A.; Evenson, R. E.</t>
  </si>
  <si>
    <t>4f4e4a14e4b07f02db602d5e</t>
  </si>
  <si>
    <t>https://pubs.usgs.gov/publication/wsp1683</t>
  </si>
  <si>
    <t>2447</t>
  </si>
  <si>
    <t>wsp1683</t>
  </si>
  <si>
    <t>Magnitude and frequency of floods in the United States: Part 9. Colorado River Basin</t>
  </si>
  <si>
    <t>1683</t>
  </si>
  <si>
    <t>10.3133/wsp1683</t>
  </si>
  <si>
    <t>Washington, D.C</t>
  </si>
  <si>
    <t>Report: xvii, 475 p.; Plate: 29.50 x 44.45 inches</t>
  </si>
  <si>
    <t>491</t>
  </si>
  <si>
    <t>Arizona, California, Colorado, Nevada, Nevada, Utah, Wyoming</t>
  </si>
  <si>
    <t>Patterson, James L.; Somers, William P.</t>
  </si>
  <si>
    <t>4f4e4a80e4b07f02db6495a4</t>
  </si>
  <si>
    <t>https://pubs.usgs.gov/publication/ofr6621</t>
  </si>
  <si>
    <t>22830</t>
  </si>
  <si>
    <t>ofr6621</t>
  </si>
  <si>
    <t>Ground-Water Geology and Hydrology of the Kern River Alluvial-Fan Area, California</t>
  </si>
  <si>
    <t>66-21</t>
  </si>
  <si>
    <t>10.3133/ofr6621</t>
  </si>
  <si>
    <t>Report: iv, 92 p.; 7 Plates</t>
  </si>
  <si>
    <t>Dale, R. H.; French, James J.; Gordon, G. V.</t>
  </si>
  <si>
    <t>4f4e4ab0e4b07f02db66d697</t>
  </si>
  <si>
    <t>https://pubs.usgs.gov/publication/pp524B</t>
  </si>
  <si>
    <t>32664</t>
  </si>
  <si>
    <t>pp524B</t>
  </si>
  <si>
    <t>Stratigraphy and structure of the Dinkey Creek roof pendant in the central Sierra Nevada, California</t>
  </si>
  <si>
    <t>524</t>
  </si>
  <si>
    <t>10.3133/pp524B</t>
  </si>
  <si>
    <t>p. B1-B14</t>
  </si>
  <si>
    <t>Shorter contributions to general geology, 1965</t>
  </si>
  <si>
    <t>Kistler, R. W.; Bateman, P. C.</t>
  </si>
  <si>
    <t>4f4e4b1ae4b07f02db6a86cc</t>
  </si>
  <si>
    <t>https://pubs.usgs.gov/publication/34360</t>
  </si>
  <si>
    <t>34360</t>
  </si>
  <si>
    <t>Hydrologic inventory of the Lompoc subarea, Santa Ynez River Basin, Santa Barbara County, California, 1957-62</t>
  </si>
  <si>
    <t>10.3133/34360</t>
  </si>
  <si>
    <t>iv, 27 p.</t>
  </si>
  <si>
    <t>Santa Barbara</t>
  </si>
  <si>
    <t>Santa Ynez</t>
  </si>
  <si>
    <t>Evenson, Robert Edward; Worts, George Frank</t>
  </si>
  <si>
    <t>53c0ec4ae4b065ccca5fe3e2</t>
  </si>
  <si>
    <t>https://pubs.usgs.gov/publication/ofr66114</t>
  </si>
  <si>
    <t>42913</t>
  </si>
  <si>
    <t>ofr66114</t>
  </si>
  <si>
    <t>Ground-water conditions during the 1966 fiscal year, South Vandenberg area, Vandenberg Air Force Base, California</t>
  </si>
  <si>
    <t>66-114</t>
  </si>
  <si>
    <t>10.3133/ofr66114</t>
  </si>
  <si>
    <t>Robson, S. G.</t>
  </si>
  <si>
    <t>4f4e4aafe4b07f02db66d29c</t>
  </si>
  <si>
    <t>https://pubs.usgs.gov/publication/ofr66115</t>
  </si>
  <si>
    <t>42914</t>
  </si>
  <si>
    <t>ofr66115</t>
  </si>
  <si>
    <t>Ground-water conditions during 1965, South Vandenberg area, Vandenberg Air Force Base, California</t>
  </si>
  <si>
    <t>66-115</t>
  </si>
  <si>
    <t>10.3133/ofr66115</t>
  </si>
  <si>
    <t>Robson, S. G.; Glessner, F.W.</t>
  </si>
  <si>
    <t>4f4e4aafe4b07f02db66d2e1</t>
  </si>
  <si>
    <t>https://pubs.usgs.gov/publication/ofr66116</t>
  </si>
  <si>
    <t>42915</t>
  </si>
  <si>
    <t>ofr66116</t>
  </si>
  <si>
    <t>Progress report on investigation of the water resources of the North Vandenberg area, Vandenberg Air Force Base, Santa Barbara County, California</t>
  </si>
  <si>
    <t>66-116</t>
  </si>
  <si>
    <t>10.3133/ofr66116</t>
  </si>
  <si>
    <t>4f4e4a9be4b07f02db65debb</t>
  </si>
  <si>
    <t>https://pubs.usgs.gov/publication/ofr66151</t>
  </si>
  <si>
    <t>42923</t>
  </si>
  <si>
    <t>ofr66151</t>
  </si>
  <si>
    <t>Progress report on salt-water intrusion studies, Sunset and Bolsa Gaps, Orange County, California</t>
  </si>
  <si>
    <t>66-151</t>
  </si>
  <si>
    <t>10.3133/ofr66151</t>
  </si>
  <si>
    <t>Wall, J. R.; Cordes, E. H.; Moreland, J. A.</t>
  </si>
  <si>
    <t>4f4e4a9be4b07f02db65dead</t>
  </si>
  <si>
    <t>https://pubs.usgs.gov/publication/ofr661</t>
  </si>
  <si>
    <t>52521</t>
  </si>
  <si>
    <t>ofr661</t>
  </si>
  <si>
    <t>Domestic water supply for the Hopland Indian Rancheria, Mendocino County, California</t>
  </si>
  <si>
    <t>66-1</t>
  </si>
  <si>
    <t>10.3133/ofr661</t>
  </si>
  <si>
    <t>Mendocino County</t>
  </si>
  <si>
    <t>Hopland Indian Rancheria</t>
  </si>
  <si>
    <t>Akers, J. P.</t>
  </si>
  <si>
    <t>4f4e4a61e4b07f02db63606d</t>
  </si>
  <si>
    <t>https://pubs.usgs.gov/publication/ofr6613</t>
  </si>
  <si>
    <t>52527</t>
  </si>
  <si>
    <t>ofr6613</t>
  </si>
  <si>
    <t>Appraisal of near-surface subsidence on the Panoche Creek fan, Fresno County, California</t>
  </si>
  <si>
    <t>66-13</t>
  </si>
  <si>
    <t>10.3133/ofr6613</t>
  </si>
  <si>
    <t>Fresno County</t>
  </si>
  <si>
    <t>Panoche Creek</t>
  </si>
  <si>
    <t>4f4e4ac6e4b07f02db67a3a6</t>
  </si>
  <si>
    <t>https://pubs.usgs.gov/publication/ofr6620</t>
  </si>
  <si>
    <t>52531</t>
  </si>
  <si>
    <t>ofr6620</t>
  </si>
  <si>
    <t>Data for wells in the Fresno area, San Joaquin Valley, California</t>
  </si>
  <si>
    <t>66-20</t>
  </si>
  <si>
    <t>10.3133/ofr6620</t>
  </si>
  <si>
    <t>263 p.</t>
  </si>
  <si>
    <t>Crawford, C.B. Jr.; Page, R. W.; LeBlanc, R.A.</t>
  </si>
  <si>
    <t>4f4e4a54e4b07f02db62c245</t>
  </si>
  <si>
    <t>https://pubs.usgs.gov/publication/ofr6626</t>
  </si>
  <si>
    <t>52533</t>
  </si>
  <si>
    <t>ofr6626</t>
  </si>
  <si>
    <t>Waterpower resources of California</t>
  </si>
  <si>
    <t>66-26</t>
  </si>
  <si>
    <t>10.3133/ofr6626</t>
  </si>
  <si>
    <t>Doolittle, R.N.</t>
  </si>
  <si>
    <t>4f4e49fee4b07f02db5f742b</t>
  </si>
  <si>
    <t>https://pubs.usgs.gov/publication/ofr6642</t>
  </si>
  <si>
    <t>52539</t>
  </si>
  <si>
    <t>ofr6642</t>
  </si>
  <si>
    <t>Hydrologic inventory of the Lompoc subarea, Santa Ynez River basin, Santa Barbara County, California, 1957-62</t>
  </si>
  <si>
    <t>66-42</t>
  </si>
  <si>
    <t>10.3133/ofr6642</t>
  </si>
  <si>
    <t>Report: iv, 27 p.; 1 Plate: 30.86 × 18.94 inches</t>
  </si>
  <si>
    <t>Santa Ynez River basin</t>
  </si>
  <si>
    <t>4f4e4b15e4b07f02db6a498c</t>
  </si>
  <si>
    <t>https://pubs.usgs.gov/publication/ofr6644</t>
  </si>
  <si>
    <t>52541</t>
  </si>
  <si>
    <t>ofr6644</t>
  </si>
  <si>
    <t>Progress report on proposed ground-water studies in the Lytle Creek-San Sevaine area, Upper Santa Ana Valley, California, 1965</t>
  </si>
  <si>
    <t>66-44</t>
  </si>
  <si>
    <t>10.3133/ofr6644</t>
  </si>
  <si>
    <t>23 p.</t>
  </si>
  <si>
    <t>French, J.J.</t>
  </si>
  <si>
    <t>4f4e4a9be4b07f02db65dea4</t>
  </si>
  <si>
    <t>https://pubs.usgs.gov/publication/ofr6648</t>
  </si>
  <si>
    <t>52543</t>
  </si>
  <si>
    <t>ofr6648</t>
  </si>
  <si>
    <t>Ground-water conditions for 1965 at the Marine Corps Base, Twentynine Palms, California</t>
  </si>
  <si>
    <t>66-48</t>
  </si>
  <si>
    <t>10.3133/ofr6648</t>
  </si>
  <si>
    <t>27 p.</t>
  </si>
  <si>
    <t>Giessner, F. W.; Robson, S. G.</t>
  </si>
  <si>
    <t>4f4e4aafe4b07f02db66d2a3</t>
  </si>
  <si>
    <t>https://pubs.usgs.gov/publication/ofr6649</t>
  </si>
  <si>
    <t>52544</t>
  </si>
  <si>
    <t>ofr6649</t>
  </si>
  <si>
    <t>Ground-water inventory for 1965, Edwards Air Force Base, California</t>
  </si>
  <si>
    <t>66-49</t>
  </si>
  <si>
    <t>10.3133/ofr6649</t>
  </si>
  <si>
    <t>Giessner, F. W.; Westphal, J.A.</t>
  </si>
  <si>
    <t>4f4e4aaae4b07f02db668c38</t>
  </si>
  <si>
    <t>https://pubs.usgs.gov/publication/ofr6651</t>
  </si>
  <si>
    <t>52546</t>
  </si>
  <si>
    <t>ofr6651</t>
  </si>
  <si>
    <t>The patterns of subsurface flow in the Bloomington-Colton area, Upper Santa Ana Valley, California</t>
  </si>
  <si>
    <t>66-51</t>
  </si>
  <si>
    <t>10.3133/ofr6651</t>
  </si>
  <si>
    <t>Santa Ana</t>
  </si>
  <si>
    <t>Gosling, Arthur W.</t>
  </si>
  <si>
    <t>4f4e4a7fe4b07f02db64873f</t>
  </si>
  <si>
    <t>https://pubs.usgs.gov/publication/ofr6674</t>
  </si>
  <si>
    <t>52554</t>
  </si>
  <si>
    <t>ofr6674</t>
  </si>
  <si>
    <t>A geohydrologic reconnaissance of the Saratoga Spring area, Death Valley National Monument, California</t>
  </si>
  <si>
    <t>66-74</t>
  </si>
  <si>
    <t>10.3133/ofr6674</t>
  </si>
  <si>
    <t>Kunkel, Fred; appendix by Robinson, T. W.</t>
  </si>
  <si>
    <t>4f4e4b24e4b07f02db6ae6b5</t>
  </si>
  <si>
    <t>https://pubs.usgs.gov/publication/ofr6675</t>
  </si>
  <si>
    <t>52555</t>
  </si>
  <si>
    <t>ofr6675</t>
  </si>
  <si>
    <t>Ground water in the San Joaquin Valley, California</t>
  </si>
  <si>
    <t>66-75</t>
  </si>
  <si>
    <t>10.3133/ofr6675</t>
  </si>
  <si>
    <t>Kunkel, Fred; Hofman, Walter</t>
  </si>
  <si>
    <t>4f4e4ab0e4b07f02db66d896</t>
  </si>
  <si>
    <t>https://pubs.usgs.gov/publication/wsp1851</t>
  </si>
  <si>
    <t>2560</t>
  </si>
  <si>
    <t>wsp1851</t>
  </si>
  <si>
    <t>Surface-water hydrology of California coastal basins between San Francisco Bay and Eel River</t>
  </si>
  <si>
    <t>1851</t>
  </si>
  <si>
    <t>10.3133/wsp1851</t>
  </si>
  <si>
    <t>1967</t>
  </si>
  <si>
    <t>iv, 60 p. :illus., maps (1 fold. in pocket) ;24 cm.</t>
  </si>
  <si>
    <t>Rantz, S. E.; Thompson, T. H.</t>
  </si>
  <si>
    <t>4f4e4a51e4b07f02db629af3</t>
  </si>
  <si>
    <t>https://pubs.usgs.gov/publication/wsp1535L</t>
  </si>
  <si>
    <t>2686</t>
  </si>
  <si>
    <t>wsp1535L</t>
  </si>
  <si>
    <t>Occurrence of selected minor elements in the waters of California</t>
  </si>
  <si>
    <t>10.3133/wsp1535L</t>
  </si>
  <si>
    <t>iv, 25 p. :illus. ;24 cm.</t>
  </si>
  <si>
    <t>Silvey, William Dudley</t>
  </si>
  <si>
    <t>4f4e4af4e4b07f02db6921ba</t>
  </si>
  <si>
    <t>https://pubs.usgs.gov/publication/wsp1685</t>
  </si>
  <si>
    <t>3033</t>
  </si>
  <si>
    <t>wsp1685</t>
  </si>
  <si>
    <t>Magnitude and frequency of floods in the United States, part 11. Pacific slope basin in California: Vol.1. Coastal basins south of the Klamath River basin and Central Valley drainage from the West</t>
  </si>
  <si>
    <t>1685</t>
  </si>
  <si>
    <t>10.3133/wsp1685</t>
  </si>
  <si>
    <t>Report: xi, 272 p.; 2 Plates: 27.50 × 43.00 inches and 27.50 × 43.00 inches</t>
  </si>
  <si>
    <t>Young, L. E.; Cruff, R.W.</t>
  </si>
  <si>
    <t>4f4e4a80e4b07f02db6495bf</t>
  </si>
  <si>
    <t>https://pubs.usgs.gov/publication/wsp1686</t>
  </si>
  <si>
    <t>3034</t>
  </si>
  <si>
    <t>wsp1686</t>
  </si>
  <si>
    <t>Magnitude and frequency of floods in the United States: Part 11. Pacific slope basins in California — Volume 2. Klamath and Smith River basins and Central Valley drainage from the east</t>
  </si>
  <si>
    <t>1686</t>
  </si>
  <si>
    <t>10.3133/wsp1686</t>
  </si>
  <si>
    <t>Report: xii, 308 p.; 2 Plates: 28.00 × 42.47 inches and 28.00 × 42.33 inches</t>
  </si>
  <si>
    <t>Central Valley drainage from the east, Klamath and Smith River basins and</t>
  </si>
  <si>
    <t>4f4e4a80e4b07f02db649601</t>
  </si>
  <si>
    <t>https://pubs.usgs.gov/publication/pp549A</t>
  </si>
  <si>
    <t>6420</t>
  </si>
  <si>
    <t>pp549A</t>
  </si>
  <si>
    <t>Physical and chemical description of Birch Creek - a travertine depositing stream, Inyo County, California</t>
  </si>
  <si>
    <t>549</t>
  </si>
  <si>
    <t>10.3133/pp549A</t>
  </si>
  <si>
    <t>p. A1-A19</t>
  </si>
  <si>
    <t>Slack, Keith V.</t>
  </si>
  <si>
    <t>4f4e4adbe4b07f02db685c48</t>
  </si>
  <si>
    <t>https://pubs.usgs.gov/publication/pp422K</t>
  </si>
  <si>
    <t>6458</t>
  </si>
  <si>
    <t>pp422K</t>
  </si>
  <si>
    <t>Erosion and deposition produced by the flood of December 1964 on Coffee Creek, Trinity County, California</t>
  </si>
  <si>
    <t>10.3133/pp422K</t>
  </si>
  <si>
    <t>Report: iii, 22 p.; 2 Plates: 41.96 x 38.00 inches and 28.50 x 16.50 inches</t>
  </si>
  <si>
    <t>Trinity County</t>
  </si>
  <si>
    <t>Coffee Creek</t>
  </si>
  <si>
    <t>Stewart, John Harris; LaMarche, Valmore C. Jr.</t>
  </si>
  <si>
    <t>4f4e4a0ee4b07f02db5fe04b</t>
  </si>
  <si>
    <t>https://pubs.usgs.gov/publication/pp579</t>
  </si>
  <si>
    <t>32630</t>
  </si>
  <si>
    <t>pp579</t>
  </si>
  <si>
    <t>The Parkfield-Cholame, California, earthquakes of June–August 1966— Surface geologic effects water-resources aspects, and preliminary seismic data</t>
  </si>
  <si>
    <t>579</t>
  </si>
  <si>
    <t>10.3133/pp579</t>
  </si>
  <si>
    <t>66 p.</t>
  </si>
  <si>
    <t>Brown, Robert David Jr.; Vedder, J.G.; Wallace, R. E.; Roth, E. F.; Yerkes, R.F.; Castle, R. O.; Waananen, A. O.; Page, R. W.; Eaton, J. P.</t>
  </si>
  <si>
    <t>4f4e4ac7e4b07f02db67aeb3</t>
  </si>
  <si>
    <t>https://pubs.usgs.gov/publication/pp562A</t>
  </si>
  <si>
    <t>38797</t>
  </si>
  <si>
    <t>pp562A</t>
  </si>
  <si>
    <t>Sediment transport in Cache Creek drainage basin in the Coast Ranges west of Sacramento, California</t>
  </si>
  <si>
    <t>10.3133/pp562A</t>
  </si>
  <si>
    <t>p. A1-A36</t>
  </si>
  <si>
    <t>Sediment transport in alluvial channels</t>
  </si>
  <si>
    <t>Lustig, L. K.; Busch, R. D.</t>
  </si>
  <si>
    <t>4f4e4a0be4b07f02db5fbee3</t>
  </si>
  <si>
    <t>https://pubs.usgs.gov/publication/ofr6719</t>
  </si>
  <si>
    <t>40728</t>
  </si>
  <si>
    <t>ofr6719</t>
  </si>
  <si>
    <t>Progress report on the ground-water investigation in the San Gorgonio Pass area, California</t>
  </si>
  <si>
    <t>67-19</t>
  </si>
  <si>
    <t>10.3133/ofr6719</t>
  </si>
  <si>
    <t>Report: iii, 6 p.; 1 Plate: 39.11 × 21.65 inches</t>
  </si>
  <si>
    <t>San Gorgonio Pass area</t>
  </si>
  <si>
    <t>Bloyd, R. M. Jr.</t>
  </si>
  <si>
    <t>4f4e4a9be4b07f02db65dd99</t>
  </si>
  <si>
    <t>https://pubs.usgs.gov/publication/ofr6720</t>
  </si>
  <si>
    <t>40729</t>
  </si>
  <si>
    <t>ofr6720</t>
  </si>
  <si>
    <t>Water-resources inventory for 1966, Antelope Valley-East Kern Water Agency area, California</t>
  </si>
  <si>
    <t>67-20</t>
  </si>
  <si>
    <t>10.3133/ofr6720</t>
  </si>
  <si>
    <t>4f4e49e2e4b07f02db5e4e90</t>
  </si>
  <si>
    <t>https://pubs.usgs.gov/publication/ofr6721</t>
  </si>
  <si>
    <t>40730</t>
  </si>
  <si>
    <t>ofr6721</t>
  </si>
  <si>
    <t>Water-resources of the Antelope Valley-East Kern Water Agency area, California</t>
  </si>
  <si>
    <t>67-21</t>
  </si>
  <si>
    <t>10.3133/ofr6721</t>
  </si>
  <si>
    <t>Report: v, 69 p.; 4 Plates: 38.03 x 37.66 inches or smaller</t>
  </si>
  <si>
    <t>4f4e48cbe4b07f02db543823</t>
  </si>
  <si>
    <t>https://pubs.usgs.gov/publication/ofr67228</t>
  </si>
  <si>
    <t>41724</t>
  </si>
  <si>
    <t>ofr67228</t>
  </si>
  <si>
    <t>Aeromagnetic map of parts of the Blanco Mountain, Soldier Pass, and Waucoba Spring quadrangles, California-Nevada</t>
  </si>
  <si>
    <t>67-228</t>
  </si>
  <si>
    <t>10.3133/ofr67228</t>
  </si>
  <si>
    <t>4f4e4afee4b07f02db6977ad</t>
  </si>
  <si>
    <t>https://pubs.usgs.gov/publication/ofr67254</t>
  </si>
  <si>
    <t>42033</t>
  </si>
  <si>
    <t>ofr67254</t>
  </si>
  <si>
    <t>Aeromagnetic map of the Wellington, Yerington, Desert Creek Peak, and Pine Grove Hills quadrangles, Nevada-California</t>
  </si>
  <si>
    <t>67-254</t>
  </si>
  <si>
    <t>10.3133/ofr67254</t>
  </si>
  <si>
    <t>1 Plate: 29.57 x 41.12 inches</t>
  </si>
  <si>
    <t>Wellington, Yerington, Desert Creek Peak, and Pine Grove Hills quadrangles</t>
  </si>
  <si>
    <t>4f4e4ae7e4b07f02db68befc</t>
  </si>
  <si>
    <t>https://pubs.usgs.gov/publication/ofr67229</t>
  </si>
  <si>
    <t>42192</t>
  </si>
  <si>
    <t>ofr67229</t>
  </si>
  <si>
    <t>Aeromagnetic map of the Bonnie Claire quadrangle and parts of the Grapevine Canyon 1 and Springdale quadrangles, Nevada-California</t>
  </si>
  <si>
    <t>67-229</t>
  </si>
  <si>
    <t>10.3133/ofr67229</t>
  </si>
  <si>
    <t>4f4e4afde4b07f02db69719c</t>
  </si>
  <si>
    <t>https://pubs.usgs.gov/publication/ofr67230</t>
  </si>
  <si>
    <t>42194</t>
  </si>
  <si>
    <t>ofr67230</t>
  </si>
  <si>
    <t>Aeromagnetic map of the Bridgeport quadrangle and parts of the Fales Hot Springs and Bodie quadrangles, California-Nevada</t>
  </si>
  <si>
    <t>67-230</t>
  </si>
  <si>
    <t>10.3133/ofr67230</t>
  </si>
  <si>
    <t>4f4e4afde4b07f02db697122</t>
  </si>
  <si>
    <t>https://pubs.usgs.gov/publication/ofr67106</t>
  </si>
  <si>
    <t>52590</t>
  </si>
  <si>
    <t>ofr67106</t>
  </si>
  <si>
    <t>Determination of channel capacity of a reach of the Fresno River, Madera County, California</t>
  </si>
  <si>
    <t>67-106</t>
  </si>
  <si>
    <t>10.3133/ofr67106</t>
  </si>
  <si>
    <t>Harmsen, Lynn; Ray, H.A.</t>
  </si>
  <si>
    <t>4f4e4aa8e4b07f02db66795f</t>
  </si>
  <si>
    <t>https://pubs.usgs.gov/publication/ofr67107</t>
  </si>
  <si>
    <t>52591</t>
  </si>
  <si>
    <t>ofr67107</t>
  </si>
  <si>
    <t>Determination of channel capacity of reaches of Ash and Berenda Sloughs, distributary channels of the Chowchilla River, Madera County, California</t>
  </si>
  <si>
    <t>67-107</t>
  </si>
  <si>
    <t>10.3133/ofr67107</t>
  </si>
  <si>
    <t>4f4e4aa8e4b07f02db66784a</t>
  </si>
  <si>
    <t>https://pubs.usgs.gov/publication/ofr67149</t>
  </si>
  <si>
    <t>52608</t>
  </si>
  <si>
    <t>ofr67149</t>
  </si>
  <si>
    <t>Time-of-travel study of Mad River, California</t>
  </si>
  <si>
    <t>67-149</t>
  </si>
  <si>
    <t>10.3133/ofr67149</t>
  </si>
  <si>
    <t>Limerinos, J.T.</t>
  </si>
  <si>
    <t>4f4e4a53e4b07f02db62b5c5</t>
  </si>
  <si>
    <t>https://pubs.usgs.gov/publication/ofr67164</t>
  </si>
  <si>
    <t>52612</t>
  </si>
  <si>
    <t>ofr67164</t>
  </si>
  <si>
    <t>Ground-water reconnaissance of the Santa Barbara-Montecito area, Santa Barbara County, California</t>
  </si>
  <si>
    <t>67-164</t>
  </si>
  <si>
    <t>10.3133/ofr67164</t>
  </si>
  <si>
    <t>4f4e4aa7e4b07f02db667086</t>
  </si>
  <si>
    <t>https://pubs.usgs.gov/publication/ofr67208</t>
  </si>
  <si>
    <t>52631</t>
  </si>
  <si>
    <t>ofr67208</t>
  </si>
  <si>
    <t>Progress report: Ground-water appraisal of Cuyama Valley, California</t>
  </si>
  <si>
    <t>67-208</t>
  </si>
  <si>
    <t>10.3133/ofr67208</t>
  </si>
  <si>
    <t>Swarzenski, W.V.</t>
  </si>
  <si>
    <t>4f4e4ae0e4b07f02db688319</t>
  </si>
  <si>
    <t>https://pubs.usgs.gov/publication/ofr67223</t>
  </si>
  <si>
    <t>52637</t>
  </si>
  <si>
    <t>ofr67223</t>
  </si>
  <si>
    <t>Ground-water inventory for 1966, Edwards Air Force Base, California</t>
  </si>
  <si>
    <t>67-223</t>
  </si>
  <si>
    <t>10.3133/ofr67223</t>
  </si>
  <si>
    <t>Tyley, S.J.</t>
  </si>
  <si>
    <t>4f4e4aaae4b07f02db668c3d</t>
  </si>
  <si>
    <t>https://pubs.usgs.gov/publication/ofr67256</t>
  </si>
  <si>
    <t>52638</t>
  </si>
  <si>
    <t>ofr67256</t>
  </si>
  <si>
    <t>Hydrologic data, Russian River basin in vicinity of Ukiah, California, Floods of December 1955 and December 1964</t>
  </si>
  <si>
    <t>67-256</t>
  </si>
  <si>
    <t>10.3133/ofr67256</t>
  </si>
  <si>
    <t>4f4e4a1be4b07f02db60717b</t>
  </si>
  <si>
    <t>https://pubs.usgs.gov/publication/ofr67269</t>
  </si>
  <si>
    <t>52642</t>
  </si>
  <si>
    <t>ofr67269</t>
  </si>
  <si>
    <t>An investigation of potential salt-water intrusion from inland waterways in the shallow alluvial and coastal deposits of Sunset and Bolsa Gaps, Orange County, California</t>
  </si>
  <si>
    <t>67-269</t>
  </si>
  <si>
    <t>10.3133/ofr67269</t>
  </si>
  <si>
    <t>Wall, J. R.; Moreland, J. A.; Cordes, E. H.</t>
  </si>
  <si>
    <t>4f4e4ad6e4b07f02db684324</t>
  </si>
  <si>
    <t>https://pubs.usgs.gov/publication/ofr67280</t>
  </si>
  <si>
    <t>55806</t>
  </si>
  <si>
    <t>ofr67280</t>
  </si>
  <si>
    <t>Analog-model study of the groundwater reservoir in the Santa Clara Valley, California</t>
  </si>
  <si>
    <t>67-280</t>
  </si>
  <si>
    <t>10.3133/ofr67280</t>
  </si>
  <si>
    <t>18 p.; 2 figs.</t>
  </si>
  <si>
    <t>4f4e4ad5e4b07f02db683a07</t>
  </si>
  <si>
    <t>https://pubs.usgs.gov/publication/i518</t>
  </si>
  <si>
    <t>65096</t>
  </si>
  <si>
    <t>i518</t>
  </si>
  <si>
    <t>Geologic map of the Old Woman Springs quadrangle, San Bernardino County, California</t>
  </si>
  <si>
    <t>518</t>
  </si>
  <si>
    <t>10.3133/i518</t>
  </si>
  <si>
    <t>1 map :col. ;37 x 45 cm. on 58 x 90 sheet fold. in envelope 25 x 31 cm. +1 text (5 leaves ; 28 cm.)</t>
  </si>
  <si>
    <t>4f4e4af8e4b07f02db693e16</t>
  </si>
  <si>
    <t>https://pubs.usgs.gov/publication/i516</t>
  </si>
  <si>
    <t>65101</t>
  </si>
  <si>
    <t>i516</t>
  </si>
  <si>
    <t>Geologic map of the Joshua Tree quadrangle, San Bernardino and Riverside Counties, California</t>
  </si>
  <si>
    <t>516</t>
  </si>
  <si>
    <t>10.3133/i516</t>
  </si>
  <si>
    <t>1 map :col. ;45 x 37 cm. on 64 x 90 cm. sheet fold. in 25 x 31 envelope +1 text (3 leaves ; 28 cm.)</t>
  </si>
  <si>
    <t>4f4e4afee4b07f02db69766f</t>
  </si>
  <si>
    <t>https://pubs.usgs.gov/publication/i517</t>
  </si>
  <si>
    <t>65114</t>
  </si>
  <si>
    <t>i517</t>
  </si>
  <si>
    <t>Geologic map of the Morongo Valley quadrangle, San Bernardino and Riverside Counties, California</t>
  </si>
  <si>
    <t>517</t>
  </si>
  <si>
    <t>10.3133/i517</t>
  </si>
  <si>
    <t>1 map :col. ;45 x 37 cm. on 64 x 90 cm. sheet fold. in 25 x 31 envelope +1 text (4 leaves ; 28 cm.)</t>
  </si>
  <si>
    <t>4f4e4afce4b07f02db69677f</t>
  </si>
  <si>
    <t>https://pubs.usgs.gov/publication/i522</t>
  </si>
  <si>
    <t>66878</t>
  </si>
  <si>
    <t>i522</t>
  </si>
  <si>
    <t>522</t>
  </si>
  <si>
    <t>10.3133/i522</t>
  </si>
  <si>
    <t>Radbruch-Hall, D. H.</t>
  </si>
  <si>
    <t>4f4e4ac6e4b07f02db67a20a</t>
  </si>
  <si>
    <t>https://pubs.usgs.gov/publication/ha268</t>
  </si>
  <si>
    <t>68377</t>
  </si>
  <si>
    <t>ha268</t>
  </si>
  <si>
    <t>Patterns of subsurface flow in the Bloomington-Colton area, upper Santa Ana Valley, California</t>
  </si>
  <si>
    <t>268</t>
  </si>
  <si>
    <t>10.3133/ha268</t>
  </si>
  <si>
    <t>1 Plate: 30.00 × 46.00 inches</t>
  </si>
  <si>
    <t>upper Santa Ana Valley</t>
  </si>
  <si>
    <t>4f4e4ae1e4b07f02db688a7e</t>
  </si>
  <si>
    <t>https://pubs.usgs.gov/publication/94379</t>
  </si>
  <si>
    <t>94379</t>
  </si>
  <si>
    <t>Parasites of North American freshwater fishes</t>
  </si>
  <si>
    <t>University of California Press</t>
  </si>
  <si>
    <t>Berkeley, CA; Los Angeles, CA</t>
  </si>
  <si>
    <t>Leetown Science Center</t>
  </si>
  <si>
    <t>Other Government Series</t>
  </si>
  <si>
    <t>Hoffman, G. L.</t>
  </si>
  <si>
    <t>4f4e4ae3e4b07f02db689272</t>
  </si>
  <si>
    <t>https://pubs.usgs.gov/publication/5223206</t>
  </si>
  <si>
    <t>5223206</t>
  </si>
  <si>
    <t>Recent records of water birds in the desert</t>
  </si>
  <si>
    <t>Bulletin of the Southern California Academy of Sciences</t>
  </si>
  <si>
    <t>Patuxent Wildlife Research Center</t>
  </si>
  <si>
    <t>125-128</t>
  </si>
  <si>
    <t>125</t>
  </si>
  <si>
    <t>128</t>
  </si>
  <si>
    <t>Banks, R.C.</t>
  </si>
  <si>
    <t>4f4e4a75e4b07f02db644b7a</t>
  </si>
  <si>
    <t>https://pubs.usgs.gov/publication/wdrCA6611</t>
  </si>
  <si>
    <t>70038398</t>
  </si>
  <si>
    <t>wdrCA6611</t>
  </si>
  <si>
    <t>Water Resources Data for California, 1966; Part 1: Surface Water Records; Volume 1: Colorado River Basin, Southern Great Basin, and Pacific Slope Basins excluding Cenral Valley</t>
  </si>
  <si>
    <t>CA-66-1-1</t>
  </si>
  <si>
    <t>10.3133/wdrCA6611</t>
  </si>
  <si>
    <t>xviii, 482 p.</t>
  </si>
  <si>
    <t>482</t>
  </si>
  <si>
    <t>1965-10-01</t>
  </si>
  <si>
    <t>1966-09-30</t>
  </si>
  <si>
    <t>505bc491e4b08c986b32b708</t>
  </si>
  <si>
    <t>https://pubs.usgs.gov/publication/wdrCA6612</t>
  </si>
  <si>
    <t>70038399</t>
  </si>
  <si>
    <t>wdrCA6612</t>
  </si>
  <si>
    <t>Water Resources Data for California, 1966; Part 1: Surface Water Records; Volume 2: Northern Great Basin and Central Valley</t>
  </si>
  <si>
    <t>CA-66-1-2</t>
  </si>
  <si>
    <t>10.3133/wdrCA6612</t>
  </si>
  <si>
    <t>xvii, 514 p.</t>
  </si>
  <si>
    <t>483</t>
  </si>
  <si>
    <t>997</t>
  </si>
  <si>
    <t>505bc492e4b08c986b32b70e</t>
  </si>
  <si>
    <t>https://pubs.usgs.gov/publication/wdrCA662</t>
  </si>
  <si>
    <t>70038400</t>
  </si>
  <si>
    <t>wdrCA662</t>
  </si>
  <si>
    <t>Water Resources Data for California, 1966; Part 2: Water Quality Records</t>
  </si>
  <si>
    <t>CA-66-2</t>
  </si>
  <si>
    <t>10.3133/wdrCA662</t>
  </si>
  <si>
    <t>x, 461 p.</t>
  </si>
  <si>
    <t>505bc493e4b08c986b32b714</t>
  </si>
  <si>
    <t>https://pubs.usgs.gov/publication/70207355</t>
  </si>
  <si>
    <t>70207355</t>
  </si>
  <si>
    <t>Applications of factor analysis in study of chemistry of groundwater quality, Mojave River Valley, California</t>
  </si>
  <si>
    <t>Water Resources Research</t>
  </si>
  <si>
    <t>1944-7973</t>
  </si>
  <si>
    <t>0043-1397</t>
  </si>
  <si>
    <t>10.1029/WR003i002p00505</t>
  </si>
  <si>
    <t>505</t>
  </si>
  <si>
    <t>Mojave River Valley</t>
  </si>
  <si>
    <t>Dawdy, D.R.; Feth, J. H.</t>
  </si>
  <si>
    <t>https://pubs.usgs.gov/publication/wsp1855</t>
  </si>
  <si>
    <t>2257</t>
  </si>
  <si>
    <t>wsp1855</t>
  </si>
  <si>
    <t>Ground-water levels in the United States, 1961-65, southwestern States</t>
  </si>
  <si>
    <t>1855</t>
  </si>
  <si>
    <t>10.3133/wsp1855</t>
  </si>
  <si>
    <t>1968</t>
  </si>
  <si>
    <t>v, 125 p.</t>
  </si>
  <si>
    <t>Arizona, California, Hawaii, Nevada, Mew Mexico</t>
  </si>
  <si>
    <t>McGuinness, Charles Lee</t>
  </si>
  <si>
    <t>4f4e4aa8e4b07f02db6675a5</t>
  </si>
  <si>
    <t>https://pubs.usgs.gov/publication/wsp1859A</t>
  </si>
  <si>
    <t>2345</t>
  </si>
  <si>
    <t>wsp1859A</t>
  </si>
  <si>
    <t>1859</t>
  </si>
  <si>
    <t>10.3133/wsp1859A</t>
  </si>
  <si>
    <t>iv, 28 p.</t>
  </si>
  <si>
    <t>Santa Barbara-Montecito area</t>
  </si>
  <si>
    <t>4f4e4a81e4b07f02db649dde</t>
  </si>
  <si>
    <t>https://pubs.usgs.gov/publication/wsp1798E</t>
  </si>
  <si>
    <t>2671</t>
  </si>
  <si>
    <t>wsp1798E</t>
  </si>
  <si>
    <t>Sedimentation in the Piru Creek watershed, southern California</t>
  </si>
  <si>
    <t>1798</t>
  </si>
  <si>
    <t>10.3133/wsp1798E</t>
  </si>
  <si>
    <t>vi, 48 p. :ill., maps ;24 cm.</t>
  </si>
  <si>
    <t>Scott, Kevin M.; Ritter, John R.; Knott, J. M.</t>
  </si>
  <si>
    <t>4f4e4a0ae4b07f02db5fbc55</t>
  </si>
  <si>
    <t>https://pubs.usgs.gov/publication/cir580</t>
  </si>
  <si>
    <t>3994</t>
  </si>
  <si>
    <t>cir580</t>
  </si>
  <si>
    <t>Index of surface-water records to September 30, 1967: Part 10. - The Great Basin</t>
  </si>
  <si>
    <t>580</t>
  </si>
  <si>
    <t>10.3133/cir580</t>
  </si>
  <si>
    <t>4f4e49f8e4b07f02db5f2ed0</t>
  </si>
  <si>
    <t>https://pubs.usgs.gov/publication/cir581</t>
  </si>
  <si>
    <t>3995</t>
  </si>
  <si>
    <t>cir581</t>
  </si>
  <si>
    <t>Index of surface-water records to September 30, 1967 - Part 11, Pacific slope basins in California</t>
  </si>
  <si>
    <t>10.3133/cir581</t>
  </si>
  <si>
    <t>52 p. :ill., map ;26 cm.</t>
  </si>
  <si>
    <t>4f4e49f8e4b07f02db5f2ee8</t>
  </si>
  <si>
    <t>https://pubs.usgs.gov/publication/5699</t>
  </si>
  <si>
    <t>5699</t>
  </si>
  <si>
    <t>Data for springs in the northern coast ranges and Klamath Mountains of California</t>
  </si>
  <si>
    <t>10.3133/5699</t>
  </si>
  <si>
    <t>iv, 49 p. : map ; 27 cm</t>
  </si>
  <si>
    <t>Berkstresser, Charles Floyd</t>
  </si>
  <si>
    <t>5059fd7ae4b0c8380cd4e850</t>
  </si>
  <si>
    <t>https://pubs.usgs.gov/publication/5700</t>
  </si>
  <si>
    <t>5700</t>
  </si>
  <si>
    <t>Data for springs in the southern coast, transverse, and peninsular ranges of California</t>
  </si>
  <si>
    <t>10.3133/5700</t>
  </si>
  <si>
    <t>56 p. in various pagings : map ; 27 cm.</t>
  </si>
  <si>
    <t>5059fd7ce4b0c8380cd4e855</t>
  </si>
  <si>
    <t>https://pubs.usgs.gov/publication/pp422M</t>
  </si>
  <si>
    <t>6376</t>
  </si>
  <si>
    <t>pp422M</t>
  </si>
  <si>
    <t>Flood surge on the Rubicon River, California -- Hydrology, hydraulics, and boulder transport</t>
  </si>
  <si>
    <t>M</t>
  </si>
  <si>
    <t>10.3133/pp422M</t>
  </si>
  <si>
    <t>p. M1-M40</t>
  </si>
  <si>
    <t>Scott, Kevin M.; Gravlee, George C. Jr.</t>
  </si>
  <si>
    <t>4f4e49f1e4b07f02db5ee984</t>
  </si>
  <si>
    <t>https://pubs.usgs.gov/publication/rp50</t>
  </si>
  <si>
    <t>37239</t>
  </si>
  <si>
    <t>rp50</t>
  </si>
  <si>
    <t>Sierra Nevada Aquatic Research Laboratory, Convict Creek, California</t>
  </si>
  <si>
    <t>Resource Publication</t>
  </si>
  <si>
    <t>50</t>
  </si>
  <si>
    <t>U.S. Fish and Wildlife Service</t>
  </si>
  <si>
    <t>Bureau Of Sport Fisheries And Wildlife</t>
  </si>
  <si>
    <t>4f4e49fae4b07f02db5f3d3a</t>
  </si>
  <si>
    <t>https://pubs.usgs.gov/publication/pp497A</t>
  </si>
  <si>
    <t>38870</t>
  </si>
  <si>
    <t>pp497A</t>
  </si>
  <si>
    <t>Physical and hydrologic properties of water-bearing deposits in subsiding areas in central California</t>
  </si>
  <si>
    <t>10.3133/pp497A</t>
  </si>
  <si>
    <t>p. A1-A71</t>
  </si>
  <si>
    <t>Johnson, A.I.; Moston, R.P.; Morris, D. A.</t>
  </si>
  <si>
    <t>4f4e4adbe4b07f02db685bf2</t>
  </si>
  <si>
    <t>https://pubs.usgs.gov/publication/ofr6810</t>
  </si>
  <si>
    <t>52651</t>
  </si>
  <si>
    <t>ofr6810</t>
  </si>
  <si>
    <t>Data for springs in the southern coast, Transverse, and Peninsular Ranges, of California</t>
  </si>
  <si>
    <t>68-10</t>
  </si>
  <si>
    <t>10.3133/ofr6810</t>
  </si>
  <si>
    <t>104 p.; 1 fig.</t>
  </si>
  <si>
    <t>Berkstresser, C.F. Jr.</t>
  </si>
  <si>
    <t>4f4e4a50e4b07f02db6296ce</t>
  </si>
  <si>
    <t>https://pubs.usgs.gov/publication/ofr68163</t>
  </si>
  <si>
    <t>53412</t>
  </si>
  <si>
    <t>ofr68163</t>
  </si>
  <si>
    <t>Ground-water resources of the Santa Ynez upland ground-water basin, Santa Barbara County, California</t>
  </si>
  <si>
    <t>68-163</t>
  </si>
  <si>
    <t>10.3133/ofr68163</t>
  </si>
  <si>
    <t>iv, 42 p., [2] folded leaves of plates : ill., maps ; 27 cm.</t>
  </si>
  <si>
    <t>Lafreniere, G.F.; French, James J.</t>
  </si>
  <si>
    <t>4f4e4a96e4b07f02db65a73d</t>
  </si>
  <si>
    <t>https://pubs.usgs.gov/publication/ofr68182</t>
  </si>
  <si>
    <t>53413</t>
  </si>
  <si>
    <t>ofr68182</t>
  </si>
  <si>
    <t>Reconnaissance of the ground-water resources of the Ellwood-Gaviota area, Santa Barbara County, California</t>
  </si>
  <si>
    <t>68-182</t>
  </si>
  <si>
    <t>10.3133/ofr68182</t>
  </si>
  <si>
    <t>iv, 50 p.</t>
  </si>
  <si>
    <t>Miller, G.A.; Rapp, J. R.</t>
  </si>
  <si>
    <t>4f4e4ad0e4b07f02db68098a</t>
  </si>
  <si>
    <t>https://pubs.usgs.gov/publication/ofr6867</t>
  </si>
  <si>
    <t>53414</t>
  </si>
  <si>
    <t>ofr6867</t>
  </si>
  <si>
    <t>Geology, hydrology, and quality of water in the Hanford-Visalia area, San Joaquin Valley, California</t>
  </si>
  <si>
    <t>68-67</t>
  </si>
  <si>
    <t>10.3133/ofr6867</t>
  </si>
  <si>
    <t>Report: v, 63 p.; 15 Plates: 43.83 x 23.15 inches or smaller</t>
  </si>
  <si>
    <t>Hanford-Visalia area, San Joaquin Valley</t>
  </si>
  <si>
    <t>Croft, Mark G.; Gordon, G. V.</t>
  </si>
  <si>
    <t>4f4e4b1be4b07f02db6a8ddb</t>
  </si>
  <si>
    <t>https://pubs.usgs.gov/publication/ofr689</t>
  </si>
  <si>
    <t>53419</t>
  </si>
  <si>
    <t>ofr689</t>
  </si>
  <si>
    <t>68-9</t>
  </si>
  <si>
    <t>10.3133/ofr689</t>
  </si>
  <si>
    <t>iv, 49 p. : map ; 27 cm.</t>
  </si>
  <si>
    <t>Berkstresser, Charles F. Jr.</t>
  </si>
  <si>
    <t>4f4e4ac9e4b07f02db67c904</t>
  </si>
  <si>
    <t>https://pubs.usgs.gov/publication/ofr68233</t>
  </si>
  <si>
    <t>53590</t>
  </si>
  <si>
    <t>ofr68233</t>
  </si>
  <si>
    <t>Data on wells and springs on Vandenberg Air Force Base and vicinity, Santa Barbara County, California</t>
  </si>
  <si>
    <t>68-233</t>
  </si>
  <si>
    <t>10.3133/ofr68233</t>
  </si>
  <si>
    <t>iv, 132 p. : maps ; 28 cm.</t>
  </si>
  <si>
    <t>Robson, Stanley G.</t>
  </si>
  <si>
    <t>4f4e4ac7e4b07f02db67b583</t>
  </si>
  <si>
    <t>https://pubs.usgs.gov/publication/ofr6813</t>
  </si>
  <si>
    <t>55827</t>
  </si>
  <si>
    <t>ofr6813</t>
  </si>
  <si>
    <t>Determination of channel capacity of the Merced River downstream from Merced Falls Dam, Merced County, California</t>
  </si>
  <si>
    <t>68-13</t>
  </si>
  <si>
    <t>10.3133/ofr6813</t>
  </si>
  <si>
    <t>Report: 29 p.; 5 Plates: 35.7 x 24.5 inches or smaller</t>
  </si>
  <si>
    <t>82</t>
  </si>
  <si>
    <t>Merced County</t>
  </si>
  <si>
    <t>Merced River</t>
  </si>
  <si>
    <t>Blodgett, J. C.; Bertoldi, G.L.</t>
  </si>
  <si>
    <t>4f4e4aa8e4b07f02db667846</t>
  </si>
  <si>
    <t>https://pubs.usgs.gov/publication/ofr6890</t>
  </si>
  <si>
    <t>55837</t>
  </si>
  <si>
    <t>ofr6890</t>
  </si>
  <si>
    <t>Proposed water-resources study of the lower Santa Clara River-Oxnard Plain area, California</t>
  </si>
  <si>
    <t>68-90</t>
  </si>
  <si>
    <t>10.3133/ofr6890</t>
  </si>
  <si>
    <t>58 p., 3 figs.</t>
  </si>
  <si>
    <t>Dutcher, L. C.; Miller, R.E.</t>
  </si>
  <si>
    <t>4f4e4a9ae4b07f02db65d704</t>
  </si>
  <si>
    <t>https://pubs.usgs.gov/publication/ofr68110</t>
  </si>
  <si>
    <t>55841</t>
  </si>
  <si>
    <t>ofr68110</t>
  </si>
  <si>
    <t>Ground-water conditions during 1967, Vandenberg Air Force Base area, California</t>
  </si>
  <si>
    <t>68-110</t>
  </si>
  <si>
    <t>10.3133/ofr68110</t>
  </si>
  <si>
    <t>25 p., 5 figs.</t>
  </si>
  <si>
    <t>4f4e4aafe4b07f02db66d289</t>
  </si>
  <si>
    <t>https://pubs.usgs.gov/publication/ofr68169</t>
  </si>
  <si>
    <t>55855</t>
  </si>
  <si>
    <t>ofr68169</t>
  </si>
  <si>
    <t>Water-resources inventory for 1967, Antelope Valley--East Kern Water Agency area, California</t>
  </si>
  <si>
    <t>68-169</t>
  </si>
  <si>
    <t>10.3133/ofr68169</t>
  </si>
  <si>
    <t>16 p., 12 figs.</t>
  </si>
  <si>
    <t>Lewis, R.E.; Bloyd, R. M. Jr.</t>
  </si>
  <si>
    <t>4f4e49e2e4b07f02db5e4e9a</t>
  </si>
  <si>
    <t>https://pubs.usgs.gov/publication/ofr68194</t>
  </si>
  <si>
    <t>55859</t>
  </si>
  <si>
    <t>ofr68194</t>
  </si>
  <si>
    <t>Ground water in Santa Barbara County, California, spring 1966 to spring 1967</t>
  </si>
  <si>
    <t>68-194</t>
  </si>
  <si>
    <t>10.3133/ofr68194</t>
  </si>
  <si>
    <t>35 p., 12 figs.</t>
  </si>
  <si>
    <t>Muir, K. S.; Fenzel, F. W.</t>
  </si>
  <si>
    <t>4f4e4ab0e4b07f02db66da8e</t>
  </si>
  <si>
    <t>https://pubs.usgs.gov/publication/ofr68165</t>
  </si>
  <si>
    <t>57740</t>
  </si>
  <si>
    <t>ofr68165</t>
  </si>
  <si>
    <t>Determination of channel capacity of Stony Creek downstream from Black Butte Dam, Glenn and Tehama Counties, California</t>
  </si>
  <si>
    <t>68-165</t>
  </si>
  <si>
    <t>10.3133/ofr68165</t>
  </si>
  <si>
    <t>iii, 15, 19 p., [2] folded leaves of plates : ill., maps ; 27 cm.</t>
  </si>
  <si>
    <t>Lee, Kenneth W.</t>
  </si>
  <si>
    <t>4f4e4aa8e4b07f02db66789d</t>
  </si>
  <si>
    <t>https://pubs.usgs.gov/publication/i561</t>
  </si>
  <si>
    <t>65100</t>
  </si>
  <si>
    <t>i561</t>
  </si>
  <si>
    <t>Geologic map of the Twentynine Palms quadrangle, San Bernardino and Riverside Counties, California</t>
  </si>
  <si>
    <t>10.3133/i561</t>
  </si>
  <si>
    <t>1 map :col. ;76 x 55 cm. folded to 29 x 22 cm. in envelope 31 x 25 cm. +1 text (3 leaves ; 28 cm.)</t>
  </si>
  <si>
    <t>4f4e4ae4e4b07f02db68a210</t>
  </si>
  <si>
    <t>https://pubs.usgs.gov/publication/ha298</t>
  </si>
  <si>
    <t>68060</t>
  </si>
  <si>
    <t>ha298</t>
  </si>
  <si>
    <t>Average annual precipitation and runoff in north coastal California</t>
  </si>
  <si>
    <t>10.3133/ha298</t>
  </si>
  <si>
    <t>Report: 4 p.; 1 Plate: 30.50 × 48.00 inches</t>
  </si>
  <si>
    <t>1000000</t>
  </si>
  <si>
    <t>4f4e4a96e4b07f02db65ad02</t>
  </si>
  <si>
    <t>https://pubs.usgs.gov/publication/wdrCA6711</t>
  </si>
  <si>
    <t>70038401</t>
  </si>
  <si>
    <t>wdrCA6711</t>
  </si>
  <si>
    <t>Water Resources Data for California, 1967; Part 1: Surface Water Records; Volume 1: Colorado River Basin, Southern Great Basin, and Pacific Slope Basins excluding Central Valley</t>
  </si>
  <si>
    <t>CA-67-1-1</t>
  </si>
  <si>
    <t>10.3133/wdrCA6711</t>
  </si>
  <si>
    <t>xviii, 488 p.</t>
  </si>
  <si>
    <t>1966-10-01</t>
  </si>
  <si>
    <t>1967-09-30</t>
  </si>
  <si>
    <t>505bc493e4b08c986b32b71a</t>
  </si>
  <si>
    <t>https://pubs.usgs.gov/publication/wdrCA6712</t>
  </si>
  <si>
    <t>70038402</t>
  </si>
  <si>
    <t>wdrCA6712</t>
  </si>
  <si>
    <t>Water Resources Data for California, 1967; Part 1: Surface Water Records; Volume 2: Northern Great Basin and Central Valley</t>
  </si>
  <si>
    <t>CA-67-1-2</t>
  </si>
  <si>
    <t>10.3133/wdrCA6712</t>
  </si>
  <si>
    <t>1002</t>
  </si>
  <si>
    <t>505bc494e4b08c986b32b720</t>
  </si>
  <si>
    <t>https://pubs.usgs.gov/publication/wdrCA672</t>
  </si>
  <si>
    <t>70038403</t>
  </si>
  <si>
    <t>wdrCA672</t>
  </si>
  <si>
    <t>Water Resources Data for California, 1967; Part 2: Water Quality Records</t>
  </si>
  <si>
    <t>CA-67-2</t>
  </si>
  <si>
    <t>10.3133/wdrCA672</t>
  </si>
  <si>
    <t>x, 494</t>
  </si>
  <si>
    <t>505bc495e4b08c986b32b726</t>
  </si>
  <si>
    <t>https://pubs.usgs.gov/publication/70185809</t>
  </si>
  <si>
    <t>70185809</t>
  </si>
  <si>
    <t>On the quantitative inventory of the riverscape</t>
  </si>
  <si>
    <t>10.1029/WR004i004p00709</t>
  </si>
  <si>
    <t>709</t>
  </si>
  <si>
    <t>717</t>
  </si>
  <si>
    <t>Berkeley</t>
  </si>
  <si>
    <t>Leopold, Luna Bergere; O'Brien Marchand, Maura</t>
  </si>
  <si>
    <t>58dcc830e4b02ff32c685783</t>
  </si>
  <si>
    <t>https://pubs.usgs.gov/publication/70209028</t>
  </si>
  <si>
    <t>70209028</t>
  </si>
  <si>
    <t>Book chapter</t>
  </si>
  <si>
    <t>Book Chapter</t>
  </si>
  <si>
    <t>Flow Structure and Composition of the Southern Coulee, Mono Craters, California—A Pumiceous Rhyolite Flow</t>
  </si>
  <si>
    <t>10.1130/MEM116-p415</t>
  </si>
  <si>
    <t>Monograph</t>
  </si>
  <si>
    <t>Studies in Volcanology</t>
  </si>
  <si>
    <t>415</t>
  </si>
  <si>
    <t>440</t>
  </si>
  <si>
    <t>Mono Craters, Southern Coulee</t>
  </si>
  <si>
    <t>Loney, R. A.</t>
  </si>
  <si>
    <t>https://pubs.usgs.gov/publication/70211005</t>
  </si>
  <si>
    <t>70211005</t>
  </si>
  <si>
    <t>Article navigation zonal distribution of variations in structural state of alkali feldspar within the Rader Creek pluton, Boulder Batholith, Montana</t>
  </si>
  <si>
    <t>10.1093/petrology/9.3.331</t>
  </si>
  <si>
    <t>Oxford Academic</t>
  </si>
  <si>
    <t>California Volcano Observatory</t>
  </si>
  <si>
    <t>357</t>
  </si>
  <si>
    <t>Montana</t>
  </si>
  <si>
    <t>Boulder Batholith, Montana</t>
  </si>
  <si>
    <t>Tilling, Robert I. rtilling@usgs.gov</t>
  </si>
  <si>
    <t>https://pubs.usgs.gov/publication/38</t>
  </si>
  <si>
    <t>Estimated ground-water pumpage in parts of the San Joaquin Valley, California</t>
  </si>
  <si>
    <t>10.3133/38</t>
  </si>
  <si>
    <t>1969</t>
  </si>
  <si>
    <t>1 p.</t>
  </si>
  <si>
    <t>Mitten, Hugh T.</t>
  </si>
  <si>
    <t>53e09e4ee4b0beb42bdca3d8</t>
  </si>
  <si>
    <t>https://pubs.usgs.gov/publication/wsp1958</t>
  </si>
  <si>
    <t>194</t>
  </si>
  <si>
    <t>wsp1958</t>
  </si>
  <si>
    <t>Quality of surface waters of the United States, 1964, Parts 9-11, Colorado River basin to Pacific slope basins in California</t>
  </si>
  <si>
    <t>102-111, 113-129, 131-139, 141-145, 147-149, 151-163, 165-167, 169-177, 179-190, 198, 199, 203, 205-212, 214-224, 226-228, 230, 233-237, 239-241, 244, 246-265, 269, 271, 273, 275, 277-302, 304, 305, 307-310, 312-317, 319-329, 331-334, 336-338, 340, 344-346, 348-351, 355-366, 368-379, 381-394, 397, 398, 400-406, 408-412, 414-429, 432-443, 444-453, 455, 456, 458-460, 462, 464, 466, 468-470, 473, 48, 475-477, 479-481, 484, 486, 49, 488, 490-493, 50, 51, 495-499, 501, 502, 504-508, 511-513, 52, 53, 54, 55, 515-520, 522-524, 526-528, 530, 532-536, 538-542, 544-546, 549-554, 556, 56, 558-561, 563, 565-567, 57, 569, 571, 573-575, 58, 577-581, 583, 59, 585-588, 590-593, 595, 60, 600-603, 61, 62, 605-623, 64-76, 78-93, 95-98</t>
  </si>
  <si>
    <t>100, 102-111, 113-129, 131-139, 141-145, 147-149, 151-163, 165-167, 169-177, 179-199, 203, 205-212, 214-224, 226-228, 230, 233-237, 239-241, 244-265, 269, 271, 273, 275, 277-302,  304, 305, 307-310, 312-317, 319-329, 331-334, 336-338, 340, 344-346, 348-351, 355-366, 368-379, 381-394, 397, 398, 400-406, 408-412, 414-429, 432-443, 444-453, 455, 456, 458-460, 462, 464, 466, 468-470, 473, 48, 475-477, 479-481, 484, 486, 49, 488, 490-493, 50, 51, 495-499, 501, 502, 504-508, 511-513, 52, 53, 54, 55, 515-520, 522-524, 526-528, 530, 532-536, 538-542, 544-546, 549-554, 556, 56, 558-561, 563, 565-567, 57, 569, 571, 573-575, 58, 577-581, 583, 59, 585-588, 590-593, 595, 60, 600-603, 61, 62, 605-623, 64-76, 78-93, 95-98 (suspended sediment)</t>
  </si>
  <si>
    <t>Temperature of water (included within some tables and entire tables), conversion factors (21), Hardness range (33), Numbers of water supply papers containing records for parts 9-11 (40)</t>
  </si>
  <si>
    <t>21, 33, 40, 43, 44, 48, 49, 50, 51, 52, 53, 54, 55, 56, 57, 58, 59, 60, 61, 62, 100-623, 63-99</t>
  </si>
  <si>
    <t>10.3133/wsp1958</t>
  </si>
  <si>
    <t>xiv, 615 p. ;28 cm.</t>
  </si>
  <si>
    <t>4f4e4a8be4b07f02db651b10</t>
  </si>
  <si>
    <t>https://pubs.usgs.gov/publication/wsp1879E</t>
  </si>
  <si>
    <t>1878</t>
  </si>
  <si>
    <t>wsp1879E</t>
  </si>
  <si>
    <t>Variations in low-water streambed elevations at selected stream-gaging stations in northwestern California</t>
  </si>
  <si>
    <t>Station no.</t>
  </si>
  <si>
    <t>1879</t>
  </si>
  <si>
    <t>10.3133/wsp1879E</t>
  </si>
  <si>
    <t>iii, 33 p.</t>
  </si>
  <si>
    <t>Hickey, John J.</t>
  </si>
  <si>
    <t>4f4e4a14e4b07f02db602a5f</t>
  </si>
  <si>
    <t>https://pubs.usgs.gov/publication/wsp1798F</t>
  </si>
  <si>
    <t>2040</t>
  </si>
  <si>
    <t>wsp1798F</t>
  </si>
  <si>
    <t>Sedimentation in upper Stony Creek basin, eastern flank of the Coast Ranges of northern California</t>
  </si>
  <si>
    <t>10, 32</t>
  </si>
  <si>
    <t>17, 25</t>
  </si>
  <si>
    <t>10, 11, 32, 9, 17, 25</t>
  </si>
  <si>
    <t>10.3133/wsp1798F</t>
  </si>
  <si>
    <t>iv, 35 p.</t>
  </si>
  <si>
    <t>Sedimentation in small drainage basins</t>
  </si>
  <si>
    <t>Knott, J. M.; Dunnam, C.A.</t>
  </si>
  <si>
    <t>4f4e4a9ee4b07f02db66055b</t>
  </si>
  <si>
    <t>https://pubs.usgs.gov/publication/wsp1877</t>
  </si>
  <si>
    <t>2716</t>
  </si>
  <si>
    <t>wsp1877</t>
  </si>
  <si>
    <t>Feasibility study of the use of the acoustic velocity meter for measurement of net outflow from the Sacramento-San Joaquin Delta in California</t>
  </si>
  <si>
    <t>1877</t>
  </si>
  <si>
    <t>10.3133/wsp1877</t>
  </si>
  <si>
    <t>vi, 54 p. :illus., maps. ;23 cm.</t>
  </si>
  <si>
    <t>Smith, Winchell</t>
  </si>
  <si>
    <t>4f4e4a09e4b07f02db5fad50</t>
  </si>
  <si>
    <t>https://pubs.usgs.gov/publication/5698</t>
  </si>
  <si>
    <t>5698</t>
  </si>
  <si>
    <t>Data for springs in the Colorado Desert area of California</t>
  </si>
  <si>
    <t>10.3133/5698</t>
  </si>
  <si>
    <t>Menlo Park, California</t>
  </si>
  <si>
    <t>ii, 13 p. : map ; 27 cm.</t>
  </si>
  <si>
    <t>5059fd7ae4b0c8380cd4e84d</t>
  </si>
  <si>
    <t>https://pubs.usgs.gov/publication/pp647A</t>
  </si>
  <si>
    <t>6066</t>
  </si>
  <si>
    <t>pp647A</t>
  </si>
  <si>
    <t>Structural and stratigraphic significance of the Buchia zones in the Colyear Springs-Paskenta area, California</t>
  </si>
  <si>
    <t>647</t>
  </si>
  <si>
    <t>10.3133/pp647A</t>
  </si>
  <si>
    <t>p. A1-A24</t>
  </si>
  <si>
    <t>Jones, David Lawrence; Bailey, Edgar Herbert; Imlay, Ralph Willard</t>
  </si>
  <si>
    <t>4f4e4b15e4b07f02db6a4a38</t>
  </si>
  <si>
    <t>https://pubs.usgs.gov/publication/pp562G</t>
  </si>
  <si>
    <t>38801</t>
  </si>
  <si>
    <t>pp562G</t>
  </si>
  <si>
    <t>Field measurement of the initiation of large bed particle motion in Blue Creek near Klamath, California</t>
  </si>
  <si>
    <t>10.3133/pp562G</t>
  </si>
  <si>
    <t>p. G1-G19</t>
  </si>
  <si>
    <t>Helley, E. J.</t>
  </si>
  <si>
    <t>4f4e49fce4b07f02db5f5807</t>
  </si>
  <si>
    <t>https://pubs.usgs.gov/publication/pp437B</t>
  </si>
  <si>
    <t>38936</t>
  </si>
  <si>
    <t>pp437B</t>
  </si>
  <si>
    <t>Land subsidence due to ground-water withdrawal Tulare-Wasco, area California</t>
  </si>
  <si>
    <t>437</t>
  </si>
  <si>
    <t>10.3133/pp437B</t>
  </si>
  <si>
    <t>vii, 101 p.</t>
  </si>
  <si>
    <t>Studies of land subsidence</t>
  </si>
  <si>
    <t>Tulare-Wasco area</t>
  </si>
  <si>
    <t>Lofgren, B. E.; Klausing, R. L.</t>
  </si>
  <si>
    <t>4f4e4b31e4b07f02db6b416c</t>
  </si>
  <si>
    <t>https://pubs.usgs.gov/publication/ofr69221</t>
  </si>
  <si>
    <t>46704</t>
  </si>
  <si>
    <t>ofr69221</t>
  </si>
  <si>
    <t>Geologic map of the Wilbur Springs quadrangle, California</t>
  </si>
  <si>
    <t>69-221</t>
  </si>
  <si>
    <t>10.3133/ofr69221</t>
  </si>
  <si>
    <t>3 Plates: 24.11 x 29.08 inches or smaller</t>
  </si>
  <si>
    <t>Wilbur Springs quadrangle</t>
  </si>
  <si>
    <t>48000</t>
  </si>
  <si>
    <t>Rich, Ernest I.</t>
  </si>
  <si>
    <t>4f4e4ae3e4b07f02db68986a</t>
  </si>
  <si>
    <t>https://pubs.usgs.gov/publication/ofr7183</t>
  </si>
  <si>
    <t>47925</t>
  </si>
  <si>
    <t>ofr7183</t>
  </si>
  <si>
    <t>Water-quality and quantity data, East Fork Kaweah River basin, California, 1969</t>
  </si>
  <si>
    <t>71-83</t>
  </si>
  <si>
    <t>10.3133/ofr7183</t>
  </si>
  <si>
    <t>29 p. : map ; 29 cm.</t>
  </si>
  <si>
    <t>Dean, Willard W.</t>
  </si>
  <si>
    <t>4f4e49e6e4b07f02db5e71f2</t>
  </si>
  <si>
    <t>https://pubs.usgs.gov/publication/ofr69329</t>
  </si>
  <si>
    <t>53325</t>
  </si>
  <si>
    <t>ofr69329</t>
  </si>
  <si>
    <t>Geology and Ground Water in Indian Wells Valley, California</t>
  </si>
  <si>
    <t>69-329</t>
  </si>
  <si>
    <t>10.3133/ofr69329</t>
  </si>
  <si>
    <t>iii, 84 p. : ill., maps ; 27 cm.</t>
  </si>
  <si>
    <t>Kunkel, Fred; Chase, George H.</t>
  </si>
  <si>
    <t>4f4e4a4de4b07f02db6276cd</t>
  </si>
  <si>
    <t>https://pubs.usgs.gov/publication/ofr69327</t>
  </si>
  <si>
    <t>53420</t>
  </si>
  <si>
    <t>ofr69327</t>
  </si>
  <si>
    <t>Water resources of the Marine Corps Supply Center area, Barstow, California</t>
  </si>
  <si>
    <t>69-327</t>
  </si>
  <si>
    <t>10.3133/ofr69327</t>
  </si>
  <si>
    <t>iv, 51 p. : ill., maps ; 27 cm.</t>
  </si>
  <si>
    <t>4f4e4a14e4b07f02db602d18</t>
  </si>
  <si>
    <t>https://pubs.usgs.gov/publication/ofr69328</t>
  </si>
  <si>
    <t>53421</t>
  </si>
  <si>
    <t>ofr69328</t>
  </si>
  <si>
    <t>Geology, hydrology, and water quality in the Fresno area, California</t>
  </si>
  <si>
    <t>69-328</t>
  </si>
  <si>
    <t>10.3133/ofr69328</t>
  </si>
  <si>
    <t>Report: vii, 70 p.; 21 Plates; 35.12 x 22.4 inches or smaller</t>
  </si>
  <si>
    <t>Fresno</t>
  </si>
  <si>
    <t>Page, Roland Westland; LeBlanc, R.A.</t>
  </si>
  <si>
    <t>4f4e4ac9e4b07f02db67c682</t>
  </si>
  <si>
    <t>https://pubs.usgs.gov/publication/ofr69334</t>
  </si>
  <si>
    <t>53595</t>
  </si>
  <si>
    <t>ofr69334</t>
  </si>
  <si>
    <t>California district manual; water-well and spring numbering</t>
  </si>
  <si>
    <t>69-334</t>
  </si>
  <si>
    <t>10.3133/ofr69334</t>
  </si>
  <si>
    <t>iii, 11 p. : ill. ; 28 cm.</t>
  </si>
  <si>
    <t>Bader, John S.</t>
  </si>
  <si>
    <t>4f4e4a06e4b07f02db5f8f58</t>
  </si>
  <si>
    <t>https://pubs.usgs.gov/publication/ofr69140</t>
  </si>
  <si>
    <t>53797</t>
  </si>
  <si>
    <t>ofr69140</t>
  </si>
  <si>
    <t>Ground Water Inventory for 1967 Edwards Air Force Base, California</t>
  </si>
  <si>
    <t>69-140</t>
  </si>
  <si>
    <t>10.3133/ofr69140</t>
  </si>
  <si>
    <t>Koehler, J. H.</t>
  </si>
  <si>
    <t>4f4e4ab0e4b07f02db66dd4a</t>
  </si>
  <si>
    <t>https://pubs.usgs.gov/publication/ofr691</t>
  </si>
  <si>
    <t>55883</t>
  </si>
  <si>
    <t>ofr691</t>
  </si>
  <si>
    <t>Ground water in the Scotts Valley area, Santa Cruz County, California</t>
  </si>
  <si>
    <t>69-1</t>
  </si>
  <si>
    <t>10.3133/ofr691</t>
  </si>
  <si>
    <t>Santa Cruz County</t>
  </si>
  <si>
    <t>Scotts Valley area</t>
  </si>
  <si>
    <t>4f4e4ab0e4b07f02db66d878</t>
  </si>
  <si>
    <t>https://pubs.usgs.gov/publication/ofr6920</t>
  </si>
  <si>
    <t>55888</t>
  </si>
  <si>
    <t>ofr6920</t>
  </si>
  <si>
    <t>Underground storage of imported water in the San Gorgonio Pass area, California</t>
  </si>
  <si>
    <t>69-20</t>
  </si>
  <si>
    <t>10.3133/ofr6920</t>
  </si>
  <si>
    <t>74 p., 9 figs.</t>
  </si>
  <si>
    <t>4f4e4a26e4b07f02db60f787</t>
  </si>
  <si>
    <t>https://pubs.usgs.gov/publication/ofr69149</t>
  </si>
  <si>
    <t>55909</t>
  </si>
  <si>
    <t>ofr69149</t>
  </si>
  <si>
    <t>Ground-water in Santa Barbara County, California, spring 1967 to spring 1968</t>
  </si>
  <si>
    <t>69-149</t>
  </si>
  <si>
    <t>10.3133/ofr69149</t>
  </si>
  <si>
    <t>40 p., 12 figs.</t>
  </si>
  <si>
    <t>Lewis, R.E.</t>
  </si>
  <si>
    <t>4f4e4aa9e4b07f02db66892f</t>
  </si>
  <si>
    <t>https://pubs.usgs.gov/publication/ofr69175</t>
  </si>
  <si>
    <t>55915</t>
  </si>
  <si>
    <t>ofr69175</t>
  </si>
  <si>
    <t>Evaluation of water-quality monitoring in the Orange County Water District, California</t>
  </si>
  <si>
    <t>69-175</t>
  </si>
  <si>
    <t>10.3133/ofr69175</t>
  </si>
  <si>
    <t>68 p., 5 figs.</t>
  </si>
  <si>
    <t>Moreland, J. A.; Singer, J.A.</t>
  </si>
  <si>
    <t>4f4e4a08e4b07f02db5f9ef7</t>
  </si>
  <si>
    <t>https://pubs.usgs.gov/publication/ofr69253</t>
  </si>
  <si>
    <t>55938</t>
  </si>
  <si>
    <t>ofr69253</t>
  </si>
  <si>
    <t>Relation of water quality to striped bass mortalities in the Corquinez Strait of California</t>
  </si>
  <si>
    <t>69-253</t>
  </si>
  <si>
    <t>10.3133/ofr69253</t>
  </si>
  <si>
    <t>19 p., 1 fig.</t>
  </si>
  <si>
    <t>Silvey, W. D.; Irwin, G. A.</t>
  </si>
  <si>
    <t>4f4e4ac8e4b07f02db67c1fe</t>
  </si>
  <si>
    <t>https://pubs.usgs.gov/publication/ofr69146</t>
  </si>
  <si>
    <t>57742</t>
  </si>
  <si>
    <t>ofr69146</t>
  </si>
  <si>
    <t>Preliminary determinations of sediment discharge, San Juan Drainage Basin, Orange, Riverside, and San Diego Counties, California</t>
  </si>
  <si>
    <t>69-146</t>
  </si>
  <si>
    <t>10.3133/ofr69146</t>
  </si>
  <si>
    <t>28 p. : ill. ; 27 cm.</t>
  </si>
  <si>
    <t>Kroll, Carl G.; Porterfield, George</t>
  </si>
  <si>
    <t>4f4e4ac9e4b07f02db67c529</t>
  </si>
  <si>
    <t>https://pubs.usgs.gov/publication/wdrCA6812</t>
  </si>
  <si>
    <t>70038404</t>
  </si>
  <si>
    <t>wdrCA6812</t>
  </si>
  <si>
    <t>Water Resources Data for California, 1968; Part 1: Surface Water Records; Volume 2: Northern Great Basin and Central Valley</t>
  </si>
  <si>
    <t>CA-68-1-2</t>
  </si>
  <si>
    <t>10.3133/wdrCA6812</t>
  </si>
  <si>
    <t>xviii, 508 p.</t>
  </si>
  <si>
    <t>1006</t>
  </si>
  <si>
    <t>505bc496e4b08c986b32b72c</t>
  </si>
  <si>
    <t>https://pubs.usgs.gov/publication/wdrCA6811</t>
  </si>
  <si>
    <t>70038673</t>
  </si>
  <si>
    <t>wdrCA6811</t>
  </si>
  <si>
    <t>Water resources data for California, 1968; Part 1: Surface water records; Volume 1: Colorado River Basin, Southern Great Basin, and Pacific Slope Basins excluding Central Valley</t>
  </si>
  <si>
    <t>CA-68-1-1</t>
  </si>
  <si>
    <t>10.3133/wdrCA6811</t>
  </si>
  <si>
    <t>505bc94fe4b08c986b32ccce</t>
  </si>
  <si>
    <t>https://pubs.usgs.gov/publication/70048641</t>
  </si>
  <si>
    <t>70048641</t>
  </si>
  <si>
    <t>Ground-water data as of 1967, Central Coastal Subregion, California</t>
  </si>
  <si>
    <t>10.3133/70048641</t>
  </si>
  <si>
    <t>U.S. Geological Survey, Water Resources Division</t>
  </si>
  <si>
    <t>iii, 16 p.</t>
  </si>
  <si>
    <t>526b9306e4b058918d0acc0c</t>
  </si>
  <si>
    <t>https://pubs.usgs.gov/publication/70199506</t>
  </si>
  <si>
    <t>70199506</t>
  </si>
  <si>
    <t>Effect of rainfall variability on streamflow simulation</t>
  </si>
  <si>
    <t>10.1029/WR005i005p00958</t>
  </si>
  <si>
    <t>American Geologists Union</t>
  </si>
  <si>
    <t>958</t>
  </si>
  <si>
    <t>966</t>
  </si>
  <si>
    <t>Dawdy, D.R.; Bergmann, James M.</t>
  </si>
  <si>
    <t>https://pubs.usgs.gov/publication/70223877</t>
  </si>
  <si>
    <t>70223877</t>
  </si>
  <si>
    <t>Mesozoic California and the underflow of Pacific mantle</t>
  </si>
  <si>
    <t>Geological Society of America Bulletin</t>
  </si>
  <si>
    <t>10.1130/0016-7606(1969)80[2409:MCATUO]2.0.CO;2</t>
  </si>
  <si>
    <t>80</t>
  </si>
  <si>
    <t>2409</t>
  </si>
  <si>
    <t>2429</t>
  </si>
  <si>
    <t>East Pacific Rise, Franciscan Formation, Klamath Mountains, North American continental plate, Pacific Ocean, Pacific plate, Sierra Nevada</t>
  </si>
  <si>
    <t>Hamilton, Warren</t>
  </si>
  <si>
    <t>https://pubs.usgs.gov/publication/70225580</t>
  </si>
  <si>
    <t>70225580</t>
  </si>
  <si>
    <t>Land subsidence due to the application of water</t>
  </si>
  <si>
    <t>10.1130/REG2-p271</t>
  </si>
  <si>
    <t>Office of Groundwater</t>
  </si>
  <si>
    <t>38 p.</t>
  </si>
  <si>
    <t>Reviews in Engineering Geology</t>
  </si>
  <si>
    <t>303</t>
  </si>
  <si>
    <t>Arizona, California, Colorado, Kansas, Montana, Nebraska, Utah, Washington, Wyoming</t>
  </si>
  <si>
    <t>Asia, Europe, Missouri River Basin, North America, San Joaquin Valley</t>
  </si>
  <si>
    <t>Lofgren, Ben Elder</t>
  </si>
  <si>
    <t>Varnes, David J.; Kiersch, George</t>
  </si>
  <si>
    <t>https://pubs.usgs.gov/publication/wsp1928</t>
  </si>
  <si>
    <t>733</t>
  </si>
  <si>
    <t>wsp1928</t>
  </si>
  <si>
    <t>Surface water supply of the United States, 1961-65, Part 11. Pacific slope basins in California, Volume 1. Basins from Tia Juana River to Santa Maria River</t>
  </si>
  <si>
    <t>10.3133/wsp1928</t>
  </si>
  <si>
    <t>1970</t>
  </si>
  <si>
    <t>501 p.</t>
  </si>
  <si>
    <t>4f4e4af8e4b07f02db69425a</t>
  </si>
  <si>
    <t>https://pubs.usgs.gov/publication/wsp1930</t>
  </si>
  <si>
    <t>1627</t>
  </si>
  <si>
    <t>wsp1930</t>
  </si>
  <si>
    <t>Surface water supply of the United States, 1961-65, Part 11. Pacific slope basins in California, Volume 3. Southern Central Valley basins</t>
  </si>
  <si>
    <t>10.3133/wsp1930</t>
  </si>
  <si>
    <t>655 p.</t>
  </si>
  <si>
    <t>4f4e4af8e4b07f02db69422d</t>
  </si>
  <si>
    <t>https://pubs.usgs.gov/publication/wsp1999E</t>
  </si>
  <si>
    <t>1822</t>
  </si>
  <si>
    <t>wsp1999E</t>
  </si>
  <si>
    <t>Mean annual runoff as related to channel geometry of selected streams in California</t>
  </si>
  <si>
    <t>7, 8, 9, 20</t>
  </si>
  <si>
    <t>1999</t>
  </si>
  <si>
    <t>10.3133/wsp1999E</t>
  </si>
  <si>
    <t>iii, E17 p. :illus. ;24 cm.</t>
  </si>
  <si>
    <t>Hedman, E. R.</t>
  </si>
  <si>
    <t>4f4e4a27e4b07f02db610587</t>
  </si>
  <si>
    <t>https://pubs.usgs.gov/publication/wsp1929</t>
  </si>
  <si>
    <t>3089</t>
  </si>
  <si>
    <t>wsp1929</t>
  </si>
  <si>
    <t>Surface water supply of the United States, 1961-65, Part 11. Pacific slope basins in California, Volume 2. Basins from Arroyo Grande to Oregon state line except Central Valley</t>
  </si>
  <si>
    <t>10.3133/wsp1929</t>
  </si>
  <si>
    <t>Report: 673 p.; 1 Plate: 20.50 × 35.44 inches</t>
  </si>
  <si>
    <t>4f4e4af8e4b07f02db69428e</t>
  </si>
  <si>
    <t>https://pubs.usgs.gov/publication/wsp1931</t>
  </si>
  <si>
    <t>3090</t>
  </si>
  <si>
    <t>wsp1931</t>
  </si>
  <si>
    <t>Surface water supply of the United States, 1961-65, Part 11. Pacific slope basins in California, Volume 4. Northern Central Valley basins</t>
  </si>
  <si>
    <t>10.3133/wsp1931</t>
  </si>
  <si>
    <t>611 p.</t>
  </si>
  <si>
    <t>4f4e4af8e4b07f02db694235</t>
  </si>
  <si>
    <t>https://pubs.usgs.gov/publication/wsp1926</t>
  </si>
  <si>
    <t>3144</t>
  </si>
  <si>
    <t>wsp1926</t>
  </si>
  <si>
    <t>Surface water supply of the United States, 1961-65, Part 9. Colorado River basin, Volume 3. Lower Colorado River basin</t>
  </si>
  <si>
    <t>1926</t>
  </si>
  <si>
    <t>10.3133/wsp1926</t>
  </si>
  <si>
    <t>Report; 571 p.; 1 Plate: 24.50 × 32.62 inches</t>
  </si>
  <si>
    <t>Arizona, Baja California, California, Nevada, Sonora</t>
  </si>
  <si>
    <t>lower Colorado River basin</t>
  </si>
  <si>
    <t>4f4e4af5e4b07f02db692480</t>
  </si>
  <si>
    <t>https://pubs.usgs.gov/publication/wsp1965</t>
  </si>
  <si>
    <t>3146</t>
  </si>
  <si>
    <t>wsp1965</t>
  </si>
  <si>
    <t>Quality of surface waters of the United States, 1965. Parts 9-11, Colorado River basin to Pacific slope basins in California</t>
  </si>
  <si>
    <t>10.3133/wsp1965</t>
  </si>
  <si>
    <t>xiv, 678 p. ;23 cm.</t>
  </si>
  <si>
    <t>4f4e4a8be4b07f02db6519d0</t>
  </si>
  <si>
    <t>https://pubs.usgs.gov/publication/pp642</t>
  </si>
  <si>
    <t>5647</t>
  </si>
  <si>
    <t>pp642</t>
  </si>
  <si>
    <t>Miocene gastropods and biostratigraphy of the Kern River area, California</t>
  </si>
  <si>
    <t>642</t>
  </si>
  <si>
    <t>10.3133/pp642</t>
  </si>
  <si>
    <t>174 p.</t>
  </si>
  <si>
    <t>Addicott, Warren O.</t>
  </si>
  <si>
    <t>4f4e4a28e4b07f02db610ceb</t>
  </si>
  <si>
    <t>https://pubs.usgs.gov/publication/b1285</t>
  </si>
  <si>
    <t>34276</t>
  </si>
  <si>
    <t>b1285</t>
  </si>
  <si>
    <t>Geology of the Sycamore Flat and Paraiso Springs quadrangles, Monterey County, California</t>
  </si>
  <si>
    <t>10.3133/b1285</t>
  </si>
  <si>
    <t>34 p. illus., maps (part col.) ;24 cm.</t>
  </si>
  <si>
    <t>Durham, David L.</t>
  </si>
  <si>
    <t>4f4e4acce4b07f02db67e3fa</t>
  </si>
  <si>
    <t>https://pubs.usgs.gov/publication/ofr7146</t>
  </si>
  <si>
    <t>47919</t>
  </si>
  <si>
    <t>ofr7146</t>
  </si>
  <si>
    <t>Water temperatures of California streams, north coastal subregion</t>
  </si>
  <si>
    <t>71-46</t>
  </si>
  <si>
    <t>10.3133/ofr7146</t>
  </si>
  <si>
    <t>92 p. : tables ; 27 cm.</t>
  </si>
  <si>
    <t>Blodgett, J. C.</t>
  </si>
  <si>
    <t>4f4e4a0de4b07f02db5fd20c</t>
  </si>
  <si>
    <t>https://pubs.usgs.gov/publication/ofr70190</t>
  </si>
  <si>
    <t>53422</t>
  </si>
  <si>
    <t>ofr70190</t>
  </si>
  <si>
    <t>Water resources at Marine Corps Supply Center, Barstow, California for the 1969 fiscal year</t>
  </si>
  <si>
    <t>70-190</t>
  </si>
  <si>
    <t>10.3133/ofr70190</t>
  </si>
  <si>
    <t>4f4e4a04e4b07f02db5f8579</t>
  </si>
  <si>
    <t>https://pubs.usgs.gov/publication/ofr70228</t>
  </si>
  <si>
    <t>53790</t>
  </si>
  <si>
    <t>ofr70228</t>
  </si>
  <si>
    <t>Geology, hydrology, and quality of water in the Madera area, San Joaquin Valley, California</t>
  </si>
  <si>
    <t>70-228</t>
  </si>
  <si>
    <t>10.3133/ofr70228</t>
  </si>
  <si>
    <t>Mitten, Hugh T.; LeBlanc, R.A.; Bertoldi, Gilbert L.</t>
  </si>
  <si>
    <t>4f4e4ac9e4b07f02db67c680</t>
  </si>
  <si>
    <t>https://pubs.usgs.gov/publication/ofr70304</t>
  </si>
  <si>
    <t>53793</t>
  </si>
  <si>
    <t>ofr70304</t>
  </si>
  <si>
    <t>Pumpage and ground-water storage depletion in Cuyama Vallley, California, 1947-66</t>
  </si>
  <si>
    <t>70-304</t>
  </si>
  <si>
    <t>10.3133/ofr70304</t>
  </si>
  <si>
    <t>Singer, John A.; Swarzenski, W.V.</t>
  </si>
  <si>
    <t>4f4e4a90e4b07f02db655858</t>
  </si>
  <si>
    <t>https://pubs.usgs.gov/publication/ofr7030</t>
  </si>
  <si>
    <t>55965</t>
  </si>
  <si>
    <t>ofr7030</t>
  </si>
  <si>
    <t>Determination of channel capacity of the Tuolomne River downstream from La Grange, Stanislaus County, California</t>
  </si>
  <si>
    <t>70-30</t>
  </si>
  <si>
    <t>10.3133/ofr7030</t>
  </si>
  <si>
    <t>38 p., 5 pls., 10 figs.</t>
  </si>
  <si>
    <t>Blodgett, J. C.; Mitten, H. T.</t>
  </si>
  <si>
    <t>4f4e4aa8e4b07f02db667803</t>
  </si>
  <si>
    <t>https://pubs.usgs.gov/publication/ofr70192</t>
  </si>
  <si>
    <t>56015</t>
  </si>
  <si>
    <t>ofr70192</t>
  </si>
  <si>
    <t>Sediment transport in the Sacramento River in the vicinity of Colusa Weir, Sutter and Colusa Counties, California</t>
  </si>
  <si>
    <t>70-192</t>
  </si>
  <si>
    <t>10.3133/ofr70192</t>
  </si>
  <si>
    <t>10 p., 7 figs.</t>
  </si>
  <si>
    <t>Kresch, D. L.</t>
  </si>
  <si>
    <t>4f4e4a0be4b07f02db5fbea4</t>
  </si>
  <si>
    <t>https://pubs.usgs.gov/publication/ofr70193</t>
  </si>
  <si>
    <t>56016</t>
  </si>
  <si>
    <t>ofr70193</t>
  </si>
  <si>
    <t>Summary of ground-water occurrence in California</t>
  </si>
  <si>
    <t>70-193</t>
  </si>
  <si>
    <t>10.3133/ofr70193</t>
  </si>
  <si>
    <t>10 p., 1 fig.</t>
  </si>
  <si>
    <t>4f4e4b04e4b07f02db6991d1</t>
  </si>
  <si>
    <t>https://pubs.usgs.gov/publication/ofr70226</t>
  </si>
  <si>
    <t>56035</t>
  </si>
  <si>
    <t>ofr70226</t>
  </si>
  <si>
    <t>Data on water resources of the Hunter Mountain area, Death Valley National Monument, California</t>
  </si>
  <si>
    <t>70-226</t>
  </si>
  <si>
    <t>10.3133/ofr70226</t>
  </si>
  <si>
    <t>43 p., 3 figs.</t>
  </si>
  <si>
    <t>4f4e4a4ee4b07f02db627baa</t>
  </si>
  <si>
    <t>https://pubs.usgs.gov/publication/ofr70246</t>
  </si>
  <si>
    <t>56042</t>
  </si>
  <si>
    <t>ofr70246</t>
  </si>
  <si>
    <t>A continuing program for estimating ground-water pumpage in California--Methods</t>
  </si>
  <si>
    <t>70-246</t>
  </si>
  <si>
    <t>10.3133/ofr70246</t>
  </si>
  <si>
    <t>ii, 22 p.</t>
  </si>
  <si>
    <t>Ogilbee, William; Mitten, Hugh T.</t>
  </si>
  <si>
    <t>4f4e4b25e4b07f02db6af818</t>
  </si>
  <si>
    <t>https://pubs.usgs.gov/publication/ofr70264</t>
  </si>
  <si>
    <t>56045</t>
  </si>
  <si>
    <t>ofr70264</t>
  </si>
  <si>
    <t>Ground-water conditions in the Redwood City area, California, with particular reference to water supply for the Pacific Portland Cement Company</t>
  </si>
  <si>
    <t>70-264</t>
  </si>
  <si>
    <t>10.3133/ofr70264</t>
  </si>
  <si>
    <t>12 p., 3 figs.</t>
  </si>
  <si>
    <t>Poland, J. F.; Garrett, A. A.</t>
  </si>
  <si>
    <t>4f4e4aafe4b07f02db66d15b</t>
  </si>
  <si>
    <t>https://pubs.usgs.gov/publication/ofr70268</t>
  </si>
  <si>
    <t>56046</t>
  </si>
  <si>
    <t>ofr70268</t>
  </si>
  <si>
    <t>Water resources inventory, Spring 1968 to Spring 1969, Antelope Valley-East Kern Water Agency area, California</t>
  </si>
  <si>
    <t>70-268</t>
  </si>
  <si>
    <t>10.3133/ofr70268</t>
  </si>
  <si>
    <t>15 p., 8 figs.</t>
  </si>
  <si>
    <t>Powers, W. R. III</t>
  </si>
  <si>
    <t>4f4e49f5e4b07f02db5f0a14</t>
  </si>
  <si>
    <t>https://pubs.usgs.gov/publication/ofr70354</t>
  </si>
  <si>
    <t>56070</t>
  </si>
  <si>
    <t>ofr70354</t>
  </si>
  <si>
    <t>Floods from small drainage areas in California, compilation of peak data, October 1958 to September 1969</t>
  </si>
  <si>
    <t>70-354</t>
  </si>
  <si>
    <t>10.3133/ofr70354</t>
  </si>
  <si>
    <t>146 p., 46 figs.</t>
  </si>
  <si>
    <t>Waananen, A. O.</t>
  </si>
  <si>
    <t>4f4e49e2e4b07f02db5e4f58</t>
  </si>
  <si>
    <t>https://pubs.usgs.gov/publication/i585</t>
  </si>
  <si>
    <t>67306</t>
  </si>
  <si>
    <t>i585</t>
  </si>
  <si>
    <t>Geologic map of the Wells Ranch and Elkhorn Hills quadrangles, San Luis Obispo and Kern Counties, California, showing juxtaposed Cenozoic rocks along the San Andreas Fault</t>
  </si>
  <si>
    <t>585</t>
  </si>
  <si>
    <t>10.3133/i585</t>
  </si>
  <si>
    <t>1 map and 2 cross sections :col. ;1 map 58 x 94 cm. on sheet 121 x 104 cm. and 2 cross sections on sheet 55 x 98 cm.</t>
  </si>
  <si>
    <t>Vedder, J.G.</t>
  </si>
  <si>
    <t>4f4e4ae4e4b07f02db689ce7</t>
  </si>
  <si>
    <t>https://pubs.usgs.gov/publication/ha348</t>
  </si>
  <si>
    <t>68222</t>
  </si>
  <si>
    <t>ha348</t>
  </si>
  <si>
    <t>Floods on Napa River at Napa, California</t>
  </si>
  <si>
    <t>348</t>
  </si>
  <si>
    <t>10.3133/ha348</t>
  </si>
  <si>
    <t>Limerinos, John Thomas</t>
  </si>
  <si>
    <t>4f4e49d8e4b07f02db5df878</t>
  </si>
  <si>
    <t>https://pubs.usgs.gov/publication/wdrCA682</t>
  </si>
  <si>
    <t>70038405</t>
  </si>
  <si>
    <t>wdrCA682</t>
  </si>
  <si>
    <t>Water Resources Data for California, 1968; Part 2: Water Quality Records</t>
  </si>
  <si>
    <t>CA-68-2</t>
  </si>
  <si>
    <t>10.3133/wdrCA682</t>
  </si>
  <si>
    <t>xi, 416 p.</t>
  </si>
  <si>
    <t>1967-10-01</t>
  </si>
  <si>
    <t>1968-09-30</t>
  </si>
  <si>
    <t>505bc496e4b08c986b32b732</t>
  </si>
  <si>
    <t>https://pubs.usgs.gov/publication/wdrCA683</t>
  </si>
  <si>
    <t>70038406</t>
  </si>
  <si>
    <t>wdrCA683</t>
  </si>
  <si>
    <t>Water Resources Data for California, 1966, 1967, 1968; Part 3: Ground Water Records</t>
  </si>
  <si>
    <t>CA-68-3</t>
  </si>
  <si>
    <t>10.3133/wdrCA683</t>
  </si>
  <si>
    <t>v, 271 p.</t>
  </si>
  <si>
    <t>1966-01-01</t>
  </si>
  <si>
    <t>1968-12-31</t>
  </si>
  <si>
    <t>505bc491e4b08c986b32b705</t>
  </si>
  <si>
    <t>https://pubs.usgs.gov/publication/wdrCA6911</t>
  </si>
  <si>
    <t>70038413</t>
  </si>
  <si>
    <t>wdrCA6911</t>
  </si>
  <si>
    <t>Water Resources Data for California, 1969; Part 1: Surface Water Records; Volume 1: Colorado River Basin, Southern Great Basin, and Pacific Slope Basins excluding Central Valley</t>
  </si>
  <si>
    <t>CA-69-1-1</t>
  </si>
  <si>
    <t>10.3133/wdrCA6911</t>
  </si>
  <si>
    <t>xv, 500 p.</t>
  </si>
  <si>
    <t>1968-10-01</t>
  </si>
  <si>
    <t>1969-09-30</t>
  </si>
  <si>
    <t>505bc497e4b08c986b32b738</t>
  </si>
  <si>
    <t>https://pubs.usgs.gov/publication/wdrCA6912</t>
  </si>
  <si>
    <t>70038414</t>
  </si>
  <si>
    <t>wdrCA6912</t>
  </si>
  <si>
    <t>Water Resources Data for California, 1969; Part 1: Surface Water Records; Volume 2: Northern Great Basin and Central Valley</t>
  </si>
  <si>
    <t>CA-69-1-2</t>
  </si>
  <si>
    <t>10.3133/wdrCA6912</t>
  </si>
  <si>
    <t>xv, 530 p.</t>
  </si>
  <si>
    <t>501</t>
  </si>
  <si>
    <t>1031</t>
  </si>
  <si>
    <t>505bc498e4b08c986b32b73e</t>
  </si>
  <si>
    <t>https://pubs.usgs.gov/publication/wdrCA692</t>
  </si>
  <si>
    <t>70038415</t>
  </si>
  <si>
    <t>wdrCA692</t>
  </si>
  <si>
    <t>Water Resources Data for California, 1969; Part 2: Water Quality Records</t>
  </si>
  <si>
    <t>CA-69-2</t>
  </si>
  <si>
    <t>10.3133/wdrCA692</t>
  </si>
  <si>
    <t>xi, 378 p.</t>
  </si>
  <si>
    <t>505bc498e4b08c986b32b744</t>
  </si>
  <si>
    <t>https://pubs.usgs.gov/publication/70046747</t>
  </si>
  <si>
    <t>70046747</t>
  </si>
  <si>
    <t>Geology of the Furnace Creek borate area, Death Valley, Inyo County, California</t>
  </si>
  <si>
    <t>Map Sheet</t>
  </si>
  <si>
    <t>California Division of Mines and Geology</t>
  </si>
  <si>
    <t>Map: 1 Sheet</t>
  </si>
  <si>
    <t>McAllister, James F.</t>
  </si>
  <si>
    <t>51d2a4eae4b0ca1848338a52</t>
  </si>
  <si>
    <t>https://pubs.usgs.gov/publication/70211007</t>
  </si>
  <si>
    <t>70211007</t>
  </si>
  <si>
    <t>Radiogenic heat production of contrasting magma series: Bearing on interpretation of heat flow</t>
  </si>
  <si>
    <t>10.1130/0016-7606(1970)81[1447:RHPOCM]2.0.CO;2</t>
  </si>
  <si>
    <t>GSA</t>
  </si>
  <si>
    <t>1447</t>
  </si>
  <si>
    <t>Tilling, Robert I. rtilling@usgs.gov; Gottfried, David; Dodge, F. C. W.</t>
  </si>
  <si>
    <t>https://pubs.usgs.gov/publication/70226505</t>
  </si>
  <si>
    <t>70226505</t>
  </si>
  <si>
    <t>Use of Ar&lt;sup&gt;36&lt;/sup&gt; to Evaluate the Incorporation of Air by Ash Flows</t>
  </si>
  <si>
    <t>Use of Ar36 to Evaluate the Incorporation of Air by Ash Flows</t>
  </si>
  <si>
    <t>Bulletin of the Geological Society of America</t>
  </si>
  <si>
    <t>10.1130/0016-7606(1970)81[3385:UOATET]2.0.CO;2</t>
  </si>
  <si>
    <t>3385</t>
  </si>
  <si>
    <t>3391</t>
  </si>
  <si>
    <t>California, Idaho, Nevada</t>
  </si>
  <si>
    <t>Belted Range Tuff, Paintbrush Tuff, Soldier Meadow Tuff, Stanislaus Formation, Thirsty Canyon Tuff, Timber Mountain Tuff, Walcott Tuff</t>
  </si>
  <si>
    <t>Marvin, Richard F.; Mehnert, H. H.; Noble, D. C.</t>
  </si>
  <si>
    <t>https://pubs.usgs.gov/publication/70226580</t>
  </si>
  <si>
    <t>70226580</t>
  </si>
  <si>
    <t>New evidence for a Pliocene marine embayment along the lower Colorado River area, California and Arizona</t>
  </si>
  <si>
    <t>10.1130/0016-7606(1970)81[1411:NEFAPM]2.0.CO;2</t>
  </si>
  <si>
    <t>1411</t>
  </si>
  <si>
    <t>1420</t>
  </si>
  <si>
    <t>Arizona, California</t>
  </si>
  <si>
    <t>Parker, Yuma</t>
  </si>
  <si>
    <t>Bouse Formation, Colorado River</t>
  </si>
  <si>
    <t>Smith, Patsy Beckstead</t>
  </si>
  <si>
    <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</si>
</sst>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theme="1"/>
      <name val="Arial"/>
      <scheme val="minor"/>
    </font>
    <font>
      <u/>
      <color rgb="FF0000FF"/>
    </font>
    <font>
      <color theme="1"/>
      <name val="Arial"/>
      <scheme val="minor"/>
    </font>
    <font>
      <u/>
      <color rgb="FF0000FF"/>
    </font>
    <font>
      <color rgb="FF000000"/>
      <name val="Arial"/>
    </font>
    <font>
      <u/>
      <color rgb="FF0000FF"/>
    </font>
    <font>
      <u/>
      <color rgb="FF0000FF"/>
    </font>
  </fonts>
  <fills count="4">
    <fill>
      <patternFill patternType="none"/>
    </fill>
    <fill>
      <patternFill patternType="lightGray"/>
    </fill>
    <fill>
      <patternFill patternType="solid">
        <fgColor rgb="FFD9D9D9"/>
        <bgColor rgb="FFD9D9D9"/>
      </patternFill>
    </fill>
    <fill>
      <patternFill patternType="solid">
        <fgColor rgb="FFB6D7A8"/>
        <bgColor rgb="FFB6D7A8"/>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49" xfId="0" applyAlignment="1" applyFont="1" applyNumberFormat="1">
      <alignment readingOrder="0" shrinkToFit="0" wrapText="0"/>
    </xf>
    <xf borderId="0" fillId="2" fontId="1" numFmtId="49" xfId="0" applyAlignment="1" applyFill="1" applyFont="1" applyNumberFormat="1">
      <alignment readingOrder="0" shrinkToFit="0" wrapText="0"/>
    </xf>
    <xf borderId="0" fillId="0" fontId="1" numFmtId="49" xfId="0" applyAlignment="1" applyFont="1" applyNumberFormat="1">
      <alignment shrinkToFit="0" wrapText="0"/>
    </xf>
    <xf borderId="0" fillId="3" fontId="2" numFmtId="49" xfId="0" applyAlignment="1" applyFill="1" applyFont="1" applyNumberFormat="1">
      <alignment readingOrder="0" shrinkToFit="0" wrapText="0"/>
    </xf>
    <xf borderId="0" fillId="3" fontId="3" numFmtId="49" xfId="0" applyAlignment="1" applyFont="1" applyNumberFormat="1">
      <alignment readingOrder="0" shrinkToFit="0" wrapText="0"/>
    </xf>
    <xf borderId="0" fillId="3" fontId="3" numFmtId="49" xfId="0" applyAlignment="1" applyFont="1" applyNumberFormat="1">
      <alignment shrinkToFit="0" wrapText="0"/>
    </xf>
    <xf borderId="0" fillId="0" fontId="4" numFmtId="49" xfId="0" applyAlignment="1" applyFont="1" applyNumberFormat="1">
      <alignment readingOrder="0" shrinkToFit="0" wrapText="0"/>
    </xf>
    <xf borderId="0" fillId="0" fontId="3" numFmtId="49" xfId="0" applyAlignment="1" applyFont="1" applyNumberFormat="1">
      <alignment readingOrder="0" shrinkToFit="0" wrapText="0"/>
    </xf>
    <xf borderId="0" fillId="0" fontId="3" numFmtId="49" xfId="0" applyAlignment="1" applyFont="1" applyNumberFormat="1">
      <alignment shrinkToFit="0" wrapText="0"/>
    </xf>
    <xf borderId="0" fillId="3" fontId="5" numFmtId="49" xfId="0" applyAlignment="1" applyFont="1" applyNumberFormat="1">
      <alignment horizontal="left" readingOrder="0" shrinkToFit="0" wrapText="0"/>
    </xf>
    <xf borderId="0" fillId="3" fontId="3" numFmtId="0" xfId="0" applyFont="1"/>
    <xf borderId="0" fillId="3" fontId="6" numFmtId="49" xfId="0" applyAlignment="1" applyFont="1" applyNumberFormat="1">
      <alignment readingOrder="0" shrinkToFit="0" wrapText="0"/>
    </xf>
    <xf borderId="0" fillId="0" fontId="7" numFmtId="49" xfId="0" applyAlignment="1" applyFont="1" applyNumberFormat="1">
      <alignment readingOrder="0" shrinkToFit="0" wrapText="0"/>
    </xf>
    <xf borderId="0" fillId="3" fontId="5" numFmtId="49" xfId="0" applyAlignment="1" applyFont="1" applyNumberFormat="1">
      <alignment horizontal="right" readingOrder="0" shrinkToFit="0" wrapText="0"/>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Henderson Vo" id="{924b329b-6afd-4315-9383-e7bf8217da18}"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B1" dT="2024-10-07T20:12:51.00" personId="{924b329b-6afd-4315-9383-e7bf8217da18}" id="{30fd9a66-0e0f-45b7-a43a-7967af4c9d97}" done="0">
    <x18tc:text xml:space="preserve">Combine WU irrigation, Well use, and Area Irrigated</x18tc:text>
  </x18tc:threadedComment>
  <x18tc:threadedComment ref="Q1" dT="2024-10-07T20:09:05.00" personId="{924b329b-6afd-4315-9383-e7bf8217da18}" id="{95c7178b-6d8a-42ea-aea6-227b437eda37}" done="1">
    <x18tc:text xml:space="preserve">Combine with Reservoir capacity and reservoir storage</x18tc:text>
  </x18tc:threadedComment>
  <x18tc:threadedComment ref="M1" dT="2024-10-07T20:06:41.00" personId="{924b329b-6afd-4315-9383-e7bf8217da18}" id="{d9f8a74e-c160-483a-9908-7ef804b58ed1}" done="0">
    <x18tc:text xml:space="preserve">Combine into one "Stream flow" column</x18tc:text>
  </x18tc:threadedComment>
  <x18tc:threadedComment ref="M1" dT="2024-10-07T20:07:00.00" personId="{924b329b-6afd-4315-9383-e7bf8217da18}" id="{3d08044b-9963-403f-b796-f21c22a623b2}" parentId="{d9f8a74e-c160-483a-9908-7ef804b58ed1}">
    <x18tc:text xml:space="preserve">with stream flow, river gage, and runoff</x18tc:text>
  </x18tc:threadedComment>
  <x18tc:threadedComment ref="M1" dT="2024-10-07T20:07:39.00" personId="{924b329b-6afd-4315-9383-e7bf8217da18}" id="{60e2ba1b-ce5f-49a9-844c-7ec9bf016d78}" parentId="{d9f8a74e-c160-483a-9908-7ef804b58ed1}">
    <x18tc:text xml:space="preserve">Secondary column just for "Springs"</x18tc:text>
  </x18tc:threadedComment>
  <x18tc:threadedComment ref="S1" dT="2024-10-07T20:08:08.00" personId="{924b329b-6afd-4315-9383-e7bf8217da18}" id="{977a260e-1ac3-4eea-9239-d36fb13a2534}" done="0">
    <x18tc:text xml:space="preserve">Combine to one "Groundwater" column</x18tc:text>
  </x18tc:threadedComment>
  <x18tc:threadedComment ref="S1" dT="2024-10-07T20:08:28.00" personId="{924b329b-6afd-4315-9383-e7bf8217da18}" id="{ba8a0968-993e-4991-afcf-71551d411f93}" parentId="{977a260e-1ac3-4eea-9239-d36fb13a2534}">
    <x18tc:text xml:space="preserve">GW level, GW storage, well yield, and GW Replenishment</x18tc:text>
  </x18tc:threadedComment>
  <x18tc:threadedComment ref="S1" dT="2024-10-07T20:12:05.00" personId="{924b329b-6afd-4315-9383-e7bf8217da18}" id="{65f2aca0-a609-44b6-91c1-1f57c8531546}" parentId="{977a260e-1ac3-4eea-9239-d36fb13a2534}">
    <x18tc:text xml:space="preserve">and recharge, and GW pumpage</x18tc:text>
  </x18tc:threadedComment>
</x18tc:ThreadedComments>
</file>

<file path=xl/worksheets/_rels/sheet1.xml.rels><?xml version="1.0" encoding="UTF-8" standalone="yes"?><Relationships xmlns="http://schemas.openxmlformats.org/package/2006/relationships"><Relationship Id="rId190" Type="http://schemas.openxmlformats.org/officeDocument/2006/relationships/hyperlink" Target="https://pubs.usgs.gov/publication/ofr53202" TargetMode="External"/><Relationship Id="rId194" Type="http://schemas.openxmlformats.org/officeDocument/2006/relationships/hyperlink" Target="https://pubs.usgs.gov/publication/ofr53266" TargetMode="External"/><Relationship Id="rId193" Type="http://schemas.openxmlformats.org/officeDocument/2006/relationships/hyperlink" Target="https://pubs.usgs.gov/publication/ofr53233" TargetMode="External"/><Relationship Id="rId192" Type="http://schemas.openxmlformats.org/officeDocument/2006/relationships/hyperlink" Target="https://pubs.usgs.gov/publication/ofr53219" TargetMode="External"/><Relationship Id="rId191" Type="http://schemas.openxmlformats.org/officeDocument/2006/relationships/hyperlink" Target="https://pubs.usgs.gov/publication/ofr53218" TargetMode="External"/><Relationship Id="rId187" Type="http://schemas.openxmlformats.org/officeDocument/2006/relationships/hyperlink" Target="https://pubs.usgs.gov/publication/ofr53154" TargetMode="External"/><Relationship Id="rId186" Type="http://schemas.openxmlformats.org/officeDocument/2006/relationships/hyperlink" Target="https://pubs.usgs.gov/publication/ofr53121" TargetMode="External"/><Relationship Id="rId185" Type="http://schemas.openxmlformats.org/officeDocument/2006/relationships/hyperlink" Target="https://pubs.usgs.gov/publication/ofr5376" TargetMode="External"/><Relationship Id="rId184" Type="http://schemas.openxmlformats.org/officeDocument/2006/relationships/hyperlink" Target="https://pubs.usgs.gov/publication/ofr5358" TargetMode="External"/><Relationship Id="rId189" Type="http://schemas.openxmlformats.org/officeDocument/2006/relationships/hyperlink" Target="https://pubs.usgs.gov/publication/ofr53201" TargetMode="External"/><Relationship Id="rId188" Type="http://schemas.openxmlformats.org/officeDocument/2006/relationships/hyperlink" Target="https://pubs.usgs.gov/publication/ofr53157" TargetMode="External"/><Relationship Id="rId183" Type="http://schemas.openxmlformats.org/officeDocument/2006/relationships/hyperlink" Target="https://pubs.usgs.gov/publication/ofr5357" TargetMode="External"/><Relationship Id="rId182" Type="http://schemas.openxmlformats.org/officeDocument/2006/relationships/hyperlink" Target="https://pubs.usgs.gov/publication/ofr5325" TargetMode="External"/><Relationship Id="rId181" Type="http://schemas.openxmlformats.org/officeDocument/2006/relationships/hyperlink" Target="https://pubs.usgs.gov/publication/ofr5352" TargetMode="External"/><Relationship Id="rId180" Type="http://schemas.openxmlformats.org/officeDocument/2006/relationships/hyperlink" Target="https://pubs.usgs.gov/publication/wsp1136" TargetMode="External"/><Relationship Id="rId176" Type="http://schemas.openxmlformats.org/officeDocument/2006/relationships/hyperlink" Target="https://pubs.usgs.gov/publication/ofr52152" TargetMode="External"/><Relationship Id="rId297" Type="http://schemas.openxmlformats.org/officeDocument/2006/relationships/hyperlink" Target="https://pubs.usgs.gov/publication/ofr6040" TargetMode="External"/><Relationship Id="rId175" Type="http://schemas.openxmlformats.org/officeDocument/2006/relationships/hyperlink" Target="https://pubs.usgs.gov/publication/ofr5221" TargetMode="External"/><Relationship Id="rId296" Type="http://schemas.openxmlformats.org/officeDocument/2006/relationships/hyperlink" Target="https://pubs.usgs.gov/publication/ofr6039" TargetMode="External"/><Relationship Id="rId174" Type="http://schemas.openxmlformats.org/officeDocument/2006/relationships/hyperlink" Target="https://pubs.usgs.gov/publication/ofr526" TargetMode="External"/><Relationship Id="rId295" Type="http://schemas.openxmlformats.org/officeDocument/2006/relationships/hyperlink" Target="https://pubs.usgs.gov/publication/b1087F" TargetMode="External"/><Relationship Id="rId173" Type="http://schemas.openxmlformats.org/officeDocument/2006/relationships/hyperlink" Target="https://pubs.usgs.gov/publication/ofr98166" TargetMode="External"/><Relationship Id="rId294" Type="http://schemas.openxmlformats.org/officeDocument/2006/relationships/hyperlink" Target="https://pubs.usgs.gov/publication/ofr60151" TargetMode="External"/><Relationship Id="rId179" Type="http://schemas.openxmlformats.org/officeDocument/2006/relationships/hyperlink" Target="https://pubs.usgs.gov/publication/wsp1215" TargetMode="External"/><Relationship Id="rId178" Type="http://schemas.openxmlformats.org/officeDocument/2006/relationships/hyperlink" Target="https://pubs.usgs.gov/publication/tem360" TargetMode="External"/><Relationship Id="rId299" Type="http://schemas.openxmlformats.org/officeDocument/2006/relationships/hyperlink" Target="https://pubs.usgs.gov/publication/ofr6090" TargetMode="External"/><Relationship Id="rId177" Type="http://schemas.openxmlformats.org/officeDocument/2006/relationships/hyperlink" Target="https://pubs.usgs.gov/publication/ofr52168" TargetMode="External"/><Relationship Id="rId298" Type="http://schemas.openxmlformats.org/officeDocument/2006/relationships/hyperlink" Target="https://pubs.usgs.gov/publication/ofr6043" TargetMode="External"/><Relationship Id="rId198" Type="http://schemas.openxmlformats.org/officeDocument/2006/relationships/hyperlink" Target="https://pubs.usgs.gov/publication/ofr5443" TargetMode="External"/><Relationship Id="rId197" Type="http://schemas.openxmlformats.org/officeDocument/2006/relationships/hyperlink" Target="https://pubs.usgs.gov/publication/wsp1245" TargetMode="External"/><Relationship Id="rId196" Type="http://schemas.openxmlformats.org/officeDocument/2006/relationships/hyperlink" Target="https://pubs.usgs.gov/publication/70221520" TargetMode="External"/><Relationship Id="rId195" Type="http://schemas.openxmlformats.org/officeDocument/2006/relationships/hyperlink" Target="https://pubs.usgs.gov/publication/ofr54246" TargetMode="External"/><Relationship Id="rId199" Type="http://schemas.openxmlformats.org/officeDocument/2006/relationships/hyperlink" Target="https://pubs.usgs.gov/publication/ofr5466" TargetMode="External"/><Relationship Id="rId150" Type="http://schemas.openxmlformats.org/officeDocument/2006/relationships/hyperlink" Target="https://pubs.usgs.gov/publication/cir72" TargetMode="External"/><Relationship Id="rId271" Type="http://schemas.openxmlformats.org/officeDocument/2006/relationships/hyperlink" Target="https://pubs.usgs.gov/publication/wsp1461" TargetMode="External"/><Relationship Id="rId392" Type="http://schemas.openxmlformats.org/officeDocument/2006/relationships/hyperlink" Target="https://pubs.usgs.gov/publication/ofr6550" TargetMode="External"/><Relationship Id="rId270" Type="http://schemas.openxmlformats.org/officeDocument/2006/relationships/hyperlink" Target="https://pubs.usgs.gov/publication/wsp1470" TargetMode="External"/><Relationship Id="rId391" Type="http://schemas.openxmlformats.org/officeDocument/2006/relationships/hyperlink" Target="https://pubs.usgs.gov/publication/ofr6549" TargetMode="External"/><Relationship Id="rId390" Type="http://schemas.openxmlformats.org/officeDocument/2006/relationships/hyperlink" Target="https://pubs.usgs.gov/publication/ofr6548"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https://pubs.usgs.gov/publication/wsp1068" TargetMode="External"/><Relationship Id="rId4" Type="http://schemas.openxmlformats.org/officeDocument/2006/relationships/hyperlink" Target="https://pubs.usgs.gov/publication/wsp17" TargetMode="External"/><Relationship Id="rId148" Type="http://schemas.openxmlformats.org/officeDocument/2006/relationships/hyperlink" Target="https://pubs.usgs.gov/publication/wsp1121" TargetMode="External"/><Relationship Id="rId269" Type="http://schemas.openxmlformats.org/officeDocument/2006/relationships/hyperlink" Target="https://pubs.usgs.gov/publication/wsp1515" TargetMode="External"/><Relationship Id="rId9" Type="http://schemas.openxmlformats.org/officeDocument/2006/relationships/hyperlink" Target="https://pubs.usgs.gov/publication/wsp46" TargetMode="External"/><Relationship Id="rId143" Type="http://schemas.openxmlformats.org/officeDocument/2006/relationships/hyperlink" Target="https://pubs.usgs.gov/publication/ofr4993" TargetMode="External"/><Relationship Id="rId264" Type="http://schemas.openxmlformats.org/officeDocument/2006/relationships/hyperlink" Target="https://pubs.usgs.gov/publication/ofr5875" TargetMode="External"/><Relationship Id="rId385" Type="http://schemas.openxmlformats.org/officeDocument/2006/relationships/hyperlink" Target="https://pubs.usgs.gov/publication/pp502A" TargetMode="External"/><Relationship Id="rId142" Type="http://schemas.openxmlformats.org/officeDocument/2006/relationships/hyperlink" Target="https://pubs.usgs.gov/publication/ofr4971" TargetMode="External"/><Relationship Id="rId263" Type="http://schemas.openxmlformats.org/officeDocument/2006/relationships/hyperlink" Target="https://pubs.usgs.gov/publication/ofr5836" TargetMode="External"/><Relationship Id="rId384" Type="http://schemas.openxmlformats.org/officeDocument/2006/relationships/hyperlink" Target="https://pubs.usgs.gov/publication/cir509" TargetMode="External"/><Relationship Id="rId141" Type="http://schemas.openxmlformats.org/officeDocument/2006/relationships/hyperlink" Target="https://pubs.usgs.gov/publication/ofr4970" TargetMode="External"/><Relationship Id="rId262" Type="http://schemas.openxmlformats.org/officeDocument/2006/relationships/hyperlink" Target="https://pubs.usgs.gov/publication/ofr588" TargetMode="External"/><Relationship Id="rId383" Type="http://schemas.openxmlformats.org/officeDocument/2006/relationships/hyperlink" Target="https://pubs.usgs.gov/publication/cir511" TargetMode="External"/><Relationship Id="rId140" Type="http://schemas.openxmlformats.org/officeDocument/2006/relationships/hyperlink" Target="https://pubs.usgs.gov/publication/ofr498" TargetMode="External"/><Relationship Id="rId261" Type="http://schemas.openxmlformats.org/officeDocument/2006/relationships/hyperlink" Target="https://pubs.usgs.gov/publication/ofr587" TargetMode="External"/><Relationship Id="rId382" Type="http://schemas.openxmlformats.org/officeDocument/2006/relationships/hyperlink" Target="https://pubs.usgs.gov/publication/cir510" TargetMode="External"/><Relationship Id="rId5" Type="http://schemas.openxmlformats.org/officeDocument/2006/relationships/hyperlink" Target="https://pubs.usgs.gov/publication/wsp18" TargetMode="External"/><Relationship Id="rId147" Type="http://schemas.openxmlformats.org/officeDocument/2006/relationships/hyperlink" Target="https://pubs.usgs.gov/publication/70215508" TargetMode="External"/><Relationship Id="rId268" Type="http://schemas.openxmlformats.org/officeDocument/2006/relationships/hyperlink" Target="https://pubs.usgs.gov/publication/wsp1315A" TargetMode="External"/><Relationship Id="rId389" Type="http://schemas.openxmlformats.org/officeDocument/2006/relationships/hyperlink" Target="https://pubs.usgs.gov/publication/ofr65128" TargetMode="External"/><Relationship Id="rId6" Type="http://schemas.openxmlformats.org/officeDocument/2006/relationships/hyperlink" Target="https://pubs.usgs.gov/publication/b89" TargetMode="External"/><Relationship Id="rId146" Type="http://schemas.openxmlformats.org/officeDocument/2006/relationships/hyperlink" Target="https://pubs.usgs.gov/publication/ofr49126" TargetMode="External"/><Relationship Id="rId267" Type="http://schemas.openxmlformats.org/officeDocument/2006/relationships/hyperlink" Target="https://pubs.usgs.gov/publication/i264" TargetMode="External"/><Relationship Id="rId388" Type="http://schemas.openxmlformats.org/officeDocument/2006/relationships/hyperlink" Target="https://pubs.usgs.gov/publication/pp352F" TargetMode="External"/><Relationship Id="rId7" Type="http://schemas.openxmlformats.org/officeDocument/2006/relationships/hyperlink" Target="https://pubs.usgs.gov/publication/wsp19" TargetMode="External"/><Relationship Id="rId145" Type="http://schemas.openxmlformats.org/officeDocument/2006/relationships/hyperlink" Target="https://pubs.usgs.gov/publication/ofr49118" TargetMode="External"/><Relationship Id="rId266" Type="http://schemas.openxmlformats.org/officeDocument/2006/relationships/hyperlink" Target="https://pubs.usgs.gov/publication/ofr5877" TargetMode="External"/><Relationship Id="rId387" Type="http://schemas.openxmlformats.org/officeDocument/2006/relationships/hyperlink" Target="https://pubs.usgs.gov/publication/pp422F" TargetMode="External"/><Relationship Id="rId8" Type="http://schemas.openxmlformats.org/officeDocument/2006/relationships/hyperlink" Target="https://pubs.usgs.gov/publication/wsp45" TargetMode="External"/><Relationship Id="rId144" Type="http://schemas.openxmlformats.org/officeDocument/2006/relationships/hyperlink" Target="https://pubs.usgs.gov/publication/ofr49100" TargetMode="External"/><Relationship Id="rId265" Type="http://schemas.openxmlformats.org/officeDocument/2006/relationships/hyperlink" Target="https://pubs.usgs.gov/publication/ofr58112" TargetMode="External"/><Relationship Id="rId386" Type="http://schemas.openxmlformats.org/officeDocument/2006/relationships/hyperlink" Target="https://pubs.usgs.gov/publication/pp417E" TargetMode="External"/><Relationship Id="rId260" Type="http://schemas.openxmlformats.org/officeDocument/2006/relationships/hyperlink" Target="https://pubs.usgs.gov/publication/ofr58111" TargetMode="External"/><Relationship Id="rId381" Type="http://schemas.openxmlformats.org/officeDocument/2006/relationships/hyperlink" Target="https://pubs.usgs.gov/publication/wsp1809S" TargetMode="External"/><Relationship Id="rId380" Type="http://schemas.openxmlformats.org/officeDocument/2006/relationships/hyperlink" Target="https://pubs.usgs.gov/publication/wsp1548" TargetMode="External"/><Relationship Id="rId139" Type="http://schemas.openxmlformats.org/officeDocument/2006/relationships/hyperlink" Target="https://pubs.usgs.gov/publication/b948B" TargetMode="External"/><Relationship Id="rId138" Type="http://schemas.openxmlformats.org/officeDocument/2006/relationships/hyperlink" Target="https://pubs.usgs.gov/publication/ofr4972" TargetMode="External"/><Relationship Id="rId259" Type="http://schemas.openxmlformats.org/officeDocument/2006/relationships/hyperlink" Target="https://pubs.usgs.gov/publication/cir404" TargetMode="External"/><Relationship Id="rId137" Type="http://schemas.openxmlformats.org/officeDocument/2006/relationships/hyperlink" Target="https://pubs.usgs.gov/publication/wsp1091" TargetMode="External"/><Relationship Id="rId258" Type="http://schemas.openxmlformats.org/officeDocument/2006/relationships/hyperlink" Target="https://pubs.usgs.gov/publication/wsp1462" TargetMode="External"/><Relationship Id="rId379" Type="http://schemas.openxmlformats.org/officeDocument/2006/relationships/hyperlink" Target="https://pubs.usgs.gov/publication/838" TargetMode="External"/><Relationship Id="rId132" Type="http://schemas.openxmlformats.org/officeDocument/2006/relationships/hyperlink" Target="https://pubs.usgs.gov/publication/b945G" TargetMode="External"/><Relationship Id="rId253" Type="http://schemas.openxmlformats.org/officeDocument/2006/relationships/hyperlink" Target="https://pubs.usgs.gov/publication/ofr57125" TargetMode="External"/><Relationship Id="rId374" Type="http://schemas.openxmlformats.org/officeDocument/2006/relationships/hyperlink" Target="https://pubs.usgs.gov/publication/gq350" TargetMode="External"/><Relationship Id="rId495" Type="http://schemas.openxmlformats.org/officeDocument/2006/relationships/hyperlink" Target="https://pubs.usgs.gov/publication/wsp1879E" TargetMode="External"/><Relationship Id="rId131" Type="http://schemas.openxmlformats.org/officeDocument/2006/relationships/hyperlink" Target="https://pubs.usgs.gov/publication/ofr4596" TargetMode="External"/><Relationship Id="rId252" Type="http://schemas.openxmlformats.org/officeDocument/2006/relationships/hyperlink" Target="https://pubs.usgs.gov/publication/ofr57103" TargetMode="External"/><Relationship Id="rId373" Type="http://schemas.openxmlformats.org/officeDocument/2006/relationships/hyperlink" Target="https://pubs.usgs.gov/publication/ofr64114" TargetMode="External"/><Relationship Id="rId494" Type="http://schemas.openxmlformats.org/officeDocument/2006/relationships/hyperlink" Target="https://pubs.usgs.gov/publication/wsp1958" TargetMode="External"/><Relationship Id="rId130" Type="http://schemas.openxmlformats.org/officeDocument/2006/relationships/hyperlink" Target="https://pubs.usgs.gov/publication/ofr4513" TargetMode="External"/><Relationship Id="rId251" Type="http://schemas.openxmlformats.org/officeDocument/2006/relationships/hyperlink" Target="https://pubs.usgs.gov/publication/ofr5793" TargetMode="External"/><Relationship Id="rId372" Type="http://schemas.openxmlformats.org/officeDocument/2006/relationships/hyperlink" Target="https://pubs.usgs.gov/publication/ofr644" TargetMode="External"/><Relationship Id="rId493" Type="http://schemas.openxmlformats.org/officeDocument/2006/relationships/hyperlink" Target="https://pubs.usgs.gov/publication/38" TargetMode="External"/><Relationship Id="rId250" Type="http://schemas.openxmlformats.org/officeDocument/2006/relationships/hyperlink" Target="https://pubs.usgs.gov/publication/ofr5789" TargetMode="External"/><Relationship Id="rId371" Type="http://schemas.openxmlformats.org/officeDocument/2006/relationships/hyperlink" Target="https://pubs.usgs.gov/publication/pp486B" TargetMode="External"/><Relationship Id="rId492" Type="http://schemas.openxmlformats.org/officeDocument/2006/relationships/hyperlink" Target="https://pubs.usgs.gov/publication/70211005" TargetMode="External"/><Relationship Id="rId136" Type="http://schemas.openxmlformats.org/officeDocument/2006/relationships/hyperlink" Target="https://pubs.usgs.gov/publication/wsp1061" TargetMode="External"/><Relationship Id="rId257" Type="http://schemas.openxmlformats.org/officeDocument/2006/relationships/hyperlink" Target="https://pubs.usgs.gov/publication/wsp1427" TargetMode="External"/><Relationship Id="rId378" Type="http://schemas.openxmlformats.org/officeDocument/2006/relationships/hyperlink" Target="https://pubs.usgs.gov/publication/70221819" TargetMode="External"/><Relationship Id="rId499" Type="http://schemas.openxmlformats.org/officeDocument/2006/relationships/hyperlink" Target="https://pubs.usgs.gov/publication/pp647A" TargetMode="External"/><Relationship Id="rId135" Type="http://schemas.openxmlformats.org/officeDocument/2006/relationships/hyperlink" Target="https://pubs.usgs.gov/publication/ofr4733" TargetMode="External"/><Relationship Id="rId256" Type="http://schemas.openxmlformats.org/officeDocument/2006/relationships/hyperlink" Target="https://pubs.usgs.gov/publication/wsp1395" TargetMode="External"/><Relationship Id="rId377" Type="http://schemas.openxmlformats.org/officeDocument/2006/relationships/hyperlink" Target="https://pubs.usgs.gov/publication/wdrCA631" TargetMode="External"/><Relationship Id="rId498" Type="http://schemas.openxmlformats.org/officeDocument/2006/relationships/hyperlink" Target="https://pubs.usgs.gov/publication/5698" TargetMode="External"/><Relationship Id="rId134" Type="http://schemas.openxmlformats.org/officeDocument/2006/relationships/hyperlink" Target="https://pubs.usgs.gov/publication/wsp1041" TargetMode="External"/><Relationship Id="rId255" Type="http://schemas.openxmlformats.org/officeDocument/2006/relationships/hyperlink" Target="https://pubs.usgs.gov/publication/70189287" TargetMode="External"/><Relationship Id="rId376" Type="http://schemas.openxmlformats.org/officeDocument/2006/relationships/hyperlink" Target="https://pubs.usgs.gov/publication/wdrCA64" TargetMode="External"/><Relationship Id="rId497" Type="http://schemas.openxmlformats.org/officeDocument/2006/relationships/hyperlink" Target="https://pubs.usgs.gov/publication/wsp1877" TargetMode="External"/><Relationship Id="rId133" Type="http://schemas.openxmlformats.org/officeDocument/2006/relationships/hyperlink" Target="https://pubs.usgs.gov/publication/wsp1049" TargetMode="External"/><Relationship Id="rId254" Type="http://schemas.openxmlformats.org/officeDocument/2006/relationships/hyperlink" Target="https://pubs.usgs.gov/publication/tei698" TargetMode="External"/><Relationship Id="rId375" Type="http://schemas.openxmlformats.org/officeDocument/2006/relationships/hyperlink" Target="https://pubs.usgs.gov/publication/i431" TargetMode="External"/><Relationship Id="rId496" Type="http://schemas.openxmlformats.org/officeDocument/2006/relationships/hyperlink" Target="https://pubs.usgs.gov/publication/wsp1798F" TargetMode="External"/><Relationship Id="rId172" Type="http://schemas.openxmlformats.org/officeDocument/2006/relationships/hyperlink" Target="https://pubs.usgs.gov/publication/ofr52158" TargetMode="External"/><Relationship Id="rId293" Type="http://schemas.openxmlformats.org/officeDocument/2006/relationships/hyperlink" Target="https://pubs.usgs.gov/publication/cir414D" TargetMode="External"/><Relationship Id="rId171" Type="http://schemas.openxmlformats.org/officeDocument/2006/relationships/hyperlink" Target="https://pubs.usgs.gov/publication/wsp1181" TargetMode="External"/><Relationship Id="rId292" Type="http://schemas.openxmlformats.org/officeDocument/2006/relationships/hyperlink" Target="https://pubs.usgs.gov/publication/cir429" TargetMode="External"/><Relationship Id="rId170" Type="http://schemas.openxmlformats.org/officeDocument/2006/relationships/hyperlink" Target="https://pubs.usgs.gov/publication/ofr52130" TargetMode="External"/><Relationship Id="rId291" Type="http://schemas.openxmlformats.org/officeDocument/2006/relationships/hyperlink" Target="https://pubs.usgs.gov/publication/wsp1315B" TargetMode="External"/><Relationship Id="rId290" Type="http://schemas.openxmlformats.org/officeDocument/2006/relationships/hyperlink" Target="https://pubs.usgs.gov/publication/wsp1565" TargetMode="External"/><Relationship Id="rId165" Type="http://schemas.openxmlformats.org/officeDocument/2006/relationships/hyperlink" Target="https://pubs.usgs.gov/publication/ofr5130" TargetMode="External"/><Relationship Id="rId286" Type="http://schemas.openxmlformats.org/officeDocument/2006/relationships/hyperlink" Target="https://pubs.usgs.gov/publication/wsp1484" TargetMode="External"/><Relationship Id="rId164" Type="http://schemas.openxmlformats.org/officeDocument/2006/relationships/hyperlink" Target="https://pubs.usgs.gov/publication/ofr51104" TargetMode="External"/><Relationship Id="rId285" Type="http://schemas.openxmlformats.org/officeDocument/2006/relationships/hyperlink" Target="https://pubs.usgs.gov/publication/wsp1495" TargetMode="External"/><Relationship Id="rId163" Type="http://schemas.openxmlformats.org/officeDocument/2006/relationships/hyperlink" Target="https://pubs.usgs.gov/publication/ofr5173" TargetMode="External"/><Relationship Id="rId284" Type="http://schemas.openxmlformats.org/officeDocument/2006/relationships/hyperlink" Target="https://pubs.usgs.gov/publication/1094" TargetMode="External"/><Relationship Id="rId162" Type="http://schemas.openxmlformats.org/officeDocument/2006/relationships/hyperlink" Target="https://pubs.usgs.gov/publication/cir145" TargetMode="External"/><Relationship Id="rId283" Type="http://schemas.openxmlformats.org/officeDocument/2006/relationships/hyperlink" Target="https://pubs.usgs.gov/publication/wsp1635" TargetMode="External"/><Relationship Id="rId169" Type="http://schemas.openxmlformats.org/officeDocument/2006/relationships/hyperlink" Target="https://pubs.usgs.gov/publication/ofr51170" TargetMode="External"/><Relationship Id="rId168" Type="http://schemas.openxmlformats.org/officeDocument/2006/relationships/hyperlink" Target="https://pubs.usgs.gov/publication/ofr518" TargetMode="External"/><Relationship Id="rId289" Type="http://schemas.openxmlformats.org/officeDocument/2006/relationships/hyperlink" Target="https://pubs.usgs.gov/publication/wsp1491" TargetMode="External"/><Relationship Id="rId167" Type="http://schemas.openxmlformats.org/officeDocument/2006/relationships/hyperlink" Target="https://pubs.usgs.gov/publication/ofr517" TargetMode="External"/><Relationship Id="rId288" Type="http://schemas.openxmlformats.org/officeDocument/2006/relationships/hyperlink" Target="https://pubs.usgs.gov/publication/wsp1314" TargetMode="External"/><Relationship Id="rId166" Type="http://schemas.openxmlformats.org/officeDocument/2006/relationships/hyperlink" Target="https://pubs.usgs.gov/publication/ofr51157" TargetMode="External"/><Relationship Id="rId287" Type="http://schemas.openxmlformats.org/officeDocument/2006/relationships/hyperlink" Target="https://pubs.usgs.gov/publication/wsp1464" TargetMode="External"/><Relationship Id="rId161" Type="http://schemas.openxmlformats.org/officeDocument/2006/relationships/hyperlink" Target="https://pubs.usgs.gov/publication/cir105" TargetMode="External"/><Relationship Id="rId282" Type="http://schemas.openxmlformats.org/officeDocument/2006/relationships/hyperlink" Target="https://pubs.usgs.gov/publication/70160570" TargetMode="External"/><Relationship Id="rId160" Type="http://schemas.openxmlformats.org/officeDocument/2006/relationships/hyperlink" Target="https://pubs.usgs.gov/publication/wsp1000" TargetMode="External"/><Relationship Id="rId281" Type="http://schemas.openxmlformats.org/officeDocument/2006/relationships/hyperlink" Target="https://pubs.usgs.gov/publication/ofr5938" TargetMode="External"/><Relationship Id="rId280" Type="http://schemas.openxmlformats.org/officeDocument/2006/relationships/hyperlink" Target="https://pubs.usgs.gov/publication/ofr5983" TargetMode="External"/><Relationship Id="rId159" Type="http://schemas.openxmlformats.org/officeDocument/2006/relationships/hyperlink" Target="https://pubs.usgs.gov/publication/wsp1110B" TargetMode="External"/><Relationship Id="rId154" Type="http://schemas.openxmlformats.org/officeDocument/2006/relationships/hyperlink" Target="https://pubs.usgs.gov/publication/ofr50110" TargetMode="External"/><Relationship Id="rId275" Type="http://schemas.openxmlformats.org/officeDocument/2006/relationships/hyperlink" Target="https://pubs.usgs.gov/publication/wsp1445" TargetMode="External"/><Relationship Id="rId396" Type="http://schemas.openxmlformats.org/officeDocument/2006/relationships/hyperlink" Target="https://pubs.usgs.gov/publication/ofr6562" TargetMode="External"/><Relationship Id="rId153" Type="http://schemas.openxmlformats.org/officeDocument/2006/relationships/hyperlink" Target="https://pubs.usgs.gov/publication/ofr50105" TargetMode="External"/><Relationship Id="rId274" Type="http://schemas.openxmlformats.org/officeDocument/2006/relationships/hyperlink" Target="https://pubs.usgs.gov/publication/wsp1457" TargetMode="External"/><Relationship Id="rId395" Type="http://schemas.openxmlformats.org/officeDocument/2006/relationships/hyperlink" Target="https://pubs.usgs.gov/publication/ofr6561" TargetMode="External"/><Relationship Id="rId152" Type="http://schemas.openxmlformats.org/officeDocument/2006/relationships/hyperlink" Target="https://pubs.usgs.gov/publication/ofr50102" TargetMode="External"/><Relationship Id="rId273" Type="http://schemas.openxmlformats.org/officeDocument/2006/relationships/hyperlink" Target="https://pubs.usgs.gov/publication/wsp1467" TargetMode="External"/><Relationship Id="rId394" Type="http://schemas.openxmlformats.org/officeDocument/2006/relationships/hyperlink" Target="https://pubs.usgs.gov/publication/ofr6559" TargetMode="External"/><Relationship Id="rId151" Type="http://schemas.openxmlformats.org/officeDocument/2006/relationships/hyperlink" Target="https://pubs.usgs.gov/publication/ofr50101" TargetMode="External"/><Relationship Id="rId272" Type="http://schemas.openxmlformats.org/officeDocument/2006/relationships/hyperlink" Target="https://pubs.usgs.gov/publication/wsp1471" TargetMode="External"/><Relationship Id="rId393" Type="http://schemas.openxmlformats.org/officeDocument/2006/relationships/hyperlink" Target="https://pubs.usgs.gov/publication/ofr6558" TargetMode="External"/><Relationship Id="rId158" Type="http://schemas.openxmlformats.org/officeDocument/2006/relationships/hyperlink" Target="https://pubs.usgs.gov/publication/wsp1107" TargetMode="External"/><Relationship Id="rId279" Type="http://schemas.openxmlformats.org/officeDocument/2006/relationships/hyperlink" Target="https://pubs.usgs.gov/publication/ofr59135" TargetMode="External"/><Relationship Id="rId157" Type="http://schemas.openxmlformats.org/officeDocument/2006/relationships/hyperlink" Target="https://pubs.usgs.gov/publication/wsp1108" TargetMode="External"/><Relationship Id="rId278" Type="http://schemas.openxmlformats.org/officeDocument/2006/relationships/hyperlink" Target="https://pubs.usgs.gov/publication/ofr60127" TargetMode="External"/><Relationship Id="rId399" Type="http://schemas.openxmlformats.org/officeDocument/2006/relationships/hyperlink" Target="https://pubs.usgs.gov/publication/ofr65159" TargetMode="External"/><Relationship Id="rId156" Type="http://schemas.openxmlformats.org/officeDocument/2006/relationships/hyperlink" Target="https://pubs.usgs.gov/publication/wsp1151" TargetMode="External"/><Relationship Id="rId277" Type="http://schemas.openxmlformats.org/officeDocument/2006/relationships/hyperlink" Target="https://pubs.usgs.gov/publication/cir416" TargetMode="External"/><Relationship Id="rId398" Type="http://schemas.openxmlformats.org/officeDocument/2006/relationships/hyperlink" Target="https://pubs.usgs.gov/publication/ofr65108" TargetMode="External"/><Relationship Id="rId155" Type="http://schemas.openxmlformats.org/officeDocument/2006/relationships/hyperlink" Target="https://pubs.usgs.gov/publication/ofr50111" TargetMode="External"/><Relationship Id="rId276" Type="http://schemas.openxmlformats.org/officeDocument/2006/relationships/hyperlink" Target="https://pubs.usgs.gov/publication/wsp1469" TargetMode="External"/><Relationship Id="rId397" Type="http://schemas.openxmlformats.org/officeDocument/2006/relationships/hyperlink" Target="https://pubs.usgs.gov/publication/ofr6584" TargetMode="External"/><Relationship Id="rId40" Type="http://schemas.openxmlformats.org/officeDocument/2006/relationships/hyperlink" Target="https://pubs.usgs.gov/publication/wsp300" TargetMode="External"/><Relationship Id="rId42" Type="http://schemas.openxmlformats.org/officeDocument/2006/relationships/hyperlink" Target="https://pubs.usgs.gov/publication/wsp331" TargetMode="External"/><Relationship Id="rId41" Type="http://schemas.openxmlformats.org/officeDocument/2006/relationships/hyperlink" Target="https://pubs.usgs.gov/publication/wsp297" TargetMode="External"/><Relationship Id="rId44" Type="http://schemas.openxmlformats.org/officeDocument/2006/relationships/hyperlink" Target="https://pubs.usgs.gov/publication/wsp338" TargetMode="External"/><Relationship Id="rId43" Type="http://schemas.openxmlformats.org/officeDocument/2006/relationships/hyperlink" Target="https://pubs.usgs.gov/publication/pp86" TargetMode="External"/><Relationship Id="rId46" Type="http://schemas.openxmlformats.org/officeDocument/2006/relationships/hyperlink" Target="https://pubs.usgs.gov/publication/wsp340I" TargetMode="External"/><Relationship Id="rId45" Type="http://schemas.openxmlformats.org/officeDocument/2006/relationships/hyperlink" Target="https://pubs.usgs.gov/publication/wsp345H" TargetMode="External"/><Relationship Id="rId509" Type="http://schemas.openxmlformats.org/officeDocument/2006/relationships/hyperlink" Target="https://pubs.usgs.gov/publication/ofr691" TargetMode="External"/><Relationship Id="rId508" Type="http://schemas.openxmlformats.org/officeDocument/2006/relationships/hyperlink" Target="https://pubs.usgs.gov/publication/ofr69140" TargetMode="External"/><Relationship Id="rId503" Type="http://schemas.openxmlformats.org/officeDocument/2006/relationships/hyperlink" Target="https://pubs.usgs.gov/publication/ofr7183" TargetMode="External"/><Relationship Id="rId502" Type="http://schemas.openxmlformats.org/officeDocument/2006/relationships/hyperlink" Target="https://pubs.usgs.gov/publication/ofr69221" TargetMode="External"/><Relationship Id="rId501" Type="http://schemas.openxmlformats.org/officeDocument/2006/relationships/hyperlink" Target="https://pubs.usgs.gov/publication/pp437B" TargetMode="External"/><Relationship Id="rId500" Type="http://schemas.openxmlformats.org/officeDocument/2006/relationships/hyperlink" Target="https://pubs.usgs.gov/publication/pp562G" TargetMode="External"/><Relationship Id="rId507" Type="http://schemas.openxmlformats.org/officeDocument/2006/relationships/hyperlink" Target="https://pubs.usgs.gov/publication/ofr69334" TargetMode="External"/><Relationship Id="rId506" Type="http://schemas.openxmlformats.org/officeDocument/2006/relationships/hyperlink" Target="https://pubs.usgs.gov/publication/ofr69328" TargetMode="External"/><Relationship Id="rId505" Type="http://schemas.openxmlformats.org/officeDocument/2006/relationships/hyperlink" Target="https://pubs.usgs.gov/publication/ofr69327" TargetMode="External"/><Relationship Id="rId504" Type="http://schemas.openxmlformats.org/officeDocument/2006/relationships/hyperlink" Target="https://pubs.usgs.gov/publication/ofr69329" TargetMode="External"/><Relationship Id="rId48" Type="http://schemas.openxmlformats.org/officeDocument/2006/relationships/hyperlink" Target="https://pubs.usgs.gov/publication/wsp361" TargetMode="External"/><Relationship Id="rId47" Type="http://schemas.openxmlformats.org/officeDocument/2006/relationships/hyperlink" Target="https://pubs.usgs.gov/publication/b581D" TargetMode="External"/><Relationship Id="rId49" Type="http://schemas.openxmlformats.org/officeDocument/2006/relationships/hyperlink" Target="https://pubs.usgs.gov/publication/wsp395" TargetMode="External"/><Relationship Id="rId31" Type="http://schemas.openxmlformats.org/officeDocument/2006/relationships/hyperlink" Target="https://pubs.usgs.gov/publication/wsp271" TargetMode="External"/><Relationship Id="rId30" Type="http://schemas.openxmlformats.org/officeDocument/2006/relationships/hyperlink" Target="https://pubs.usgs.gov/publication/wsp237" TargetMode="External"/><Relationship Id="rId33" Type="http://schemas.openxmlformats.org/officeDocument/2006/relationships/hyperlink" Target="https://pubs.usgs.gov/publication/wsp291" TargetMode="External"/><Relationship Id="rId32" Type="http://schemas.openxmlformats.org/officeDocument/2006/relationships/hyperlink" Target="https://pubs.usgs.gov/publication/wsp278" TargetMode="External"/><Relationship Id="rId35" Type="http://schemas.openxmlformats.org/officeDocument/2006/relationships/hyperlink" Target="https://pubs.usgs.gov/publication/wsp311" TargetMode="External"/><Relationship Id="rId34" Type="http://schemas.openxmlformats.org/officeDocument/2006/relationships/hyperlink" Target="https://pubs.usgs.gov/publication/wsp294" TargetMode="External"/><Relationship Id="rId37" Type="http://schemas.openxmlformats.org/officeDocument/2006/relationships/hyperlink" Target="https://pubs.usgs.gov/publication/wsp299" TargetMode="External"/><Relationship Id="rId36" Type="http://schemas.openxmlformats.org/officeDocument/2006/relationships/hyperlink" Target="https://pubs.usgs.gov/publication/wsp298" TargetMode="External"/><Relationship Id="rId39" Type="http://schemas.openxmlformats.org/officeDocument/2006/relationships/hyperlink" Target="https://pubs.usgs.gov/publication/wsp296" TargetMode="External"/><Relationship Id="rId38" Type="http://schemas.openxmlformats.org/officeDocument/2006/relationships/hyperlink" Target="https://pubs.usgs.gov/publication/wsp295" TargetMode="External"/><Relationship Id="rId20" Type="http://schemas.openxmlformats.org/officeDocument/2006/relationships/hyperlink" Target="https://pubs.usgs.gov/publication/wsp139" TargetMode="External"/><Relationship Id="rId22" Type="http://schemas.openxmlformats.org/officeDocument/2006/relationships/hyperlink" Target="https://pubs.usgs.gov/publication/wsp181" TargetMode="External"/><Relationship Id="rId21" Type="http://schemas.openxmlformats.org/officeDocument/2006/relationships/hyperlink" Target="https://pubs.usgs.gov/publication/wsp177" TargetMode="External"/><Relationship Id="rId24" Type="http://schemas.openxmlformats.org/officeDocument/2006/relationships/hyperlink" Target="https://pubs.usgs.gov/publication/wsp213" TargetMode="External"/><Relationship Id="rId23" Type="http://schemas.openxmlformats.org/officeDocument/2006/relationships/hyperlink" Target="https://pubs.usgs.gov/publication/70010881" TargetMode="External"/><Relationship Id="rId409" Type="http://schemas.openxmlformats.org/officeDocument/2006/relationships/hyperlink" Target="https://pubs.usgs.gov/publication/wsp1683" TargetMode="External"/><Relationship Id="rId404" Type="http://schemas.openxmlformats.org/officeDocument/2006/relationships/hyperlink" Target="https://pubs.usgs.gov/publication/wdrCA6511" TargetMode="External"/><Relationship Id="rId525" Type="http://schemas.openxmlformats.org/officeDocument/2006/relationships/hyperlink" Target="https://pubs.usgs.gov/publication/wsp1931" TargetMode="External"/><Relationship Id="rId403" Type="http://schemas.openxmlformats.org/officeDocument/2006/relationships/hyperlink" Target="https://pubs.usgs.gov/publication/70010681" TargetMode="External"/><Relationship Id="rId524" Type="http://schemas.openxmlformats.org/officeDocument/2006/relationships/hyperlink" Target="https://pubs.usgs.gov/publication/wsp1929" TargetMode="External"/><Relationship Id="rId402" Type="http://schemas.openxmlformats.org/officeDocument/2006/relationships/hyperlink" Target="https://pubs.usgs.gov/publication/ofr65173" TargetMode="External"/><Relationship Id="rId523" Type="http://schemas.openxmlformats.org/officeDocument/2006/relationships/hyperlink" Target="https://pubs.usgs.gov/publication/wsp1999E" TargetMode="External"/><Relationship Id="rId401" Type="http://schemas.openxmlformats.org/officeDocument/2006/relationships/hyperlink" Target="https://pubs.usgs.gov/publication/ofr65172" TargetMode="External"/><Relationship Id="rId522" Type="http://schemas.openxmlformats.org/officeDocument/2006/relationships/hyperlink" Target="https://pubs.usgs.gov/publication/wsp1930" TargetMode="External"/><Relationship Id="rId408" Type="http://schemas.openxmlformats.org/officeDocument/2006/relationships/hyperlink" Target="https://pubs.usgs.gov/publication/wsp1819A" TargetMode="External"/><Relationship Id="rId529" Type="http://schemas.openxmlformats.org/officeDocument/2006/relationships/hyperlink" Target="https://pubs.usgs.gov/publication/b1285" TargetMode="External"/><Relationship Id="rId407" Type="http://schemas.openxmlformats.org/officeDocument/2006/relationships/hyperlink" Target="https://pubs.usgs.gov/publication/wdrCA641" TargetMode="External"/><Relationship Id="rId528" Type="http://schemas.openxmlformats.org/officeDocument/2006/relationships/hyperlink" Target="https://pubs.usgs.gov/publication/pp642" TargetMode="External"/><Relationship Id="rId406" Type="http://schemas.openxmlformats.org/officeDocument/2006/relationships/hyperlink" Target="https://pubs.usgs.gov/publication/wdrCA652" TargetMode="External"/><Relationship Id="rId527" Type="http://schemas.openxmlformats.org/officeDocument/2006/relationships/hyperlink" Target="https://pubs.usgs.gov/publication/wsp1965" TargetMode="External"/><Relationship Id="rId405" Type="http://schemas.openxmlformats.org/officeDocument/2006/relationships/hyperlink" Target="https://pubs.usgs.gov/publication/wdrCA6512" TargetMode="External"/><Relationship Id="rId526" Type="http://schemas.openxmlformats.org/officeDocument/2006/relationships/hyperlink" Target="https://pubs.usgs.gov/publication/wsp1926" TargetMode="External"/><Relationship Id="rId26" Type="http://schemas.openxmlformats.org/officeDocument/2006/relationships/hyperlink" Target="https://pubs.usgs.gov/publication/wsp222" TargetMode="External"/><Relationship Id="rId25" Type="http://schemas.openxmlformats.org/officeDocument/2006/relationships/hyperlink" Target="https://pubs.usgs.gov/publication/wsp219" TargetMode="External"/><Relationship Id="rId28" Type="http://schemas.openxmlformats.org/officeDocument/2006/relationships/hyperlink" Target="https://pubs.usgs.gov/publication/wsp224" TargetMode="External"/><Relationship Id="rId27" Type="http://schemas.openxmlformats.org/officeDocument/2006/relationships/hyperlink" Target="https://pubs.usgs.gov/publication/wsp225" TargetMode="External"/><Relationship Id="rId400" Type="http://schemas.openxmlformats.org/officeDocument/2006/relationships/hyperlink" Target="https://pubs.usgs.gov/publication/ofr65169" TargetMode="External"/><Relationship Id="rId521" Type="http://schemas.openxmlformats.org/officeDocument/2006/relationships/hyperlink" Target="https://pubs.usgs.gov/publication/wsp1928" TargetMode="External"/><Relationship Id="rId29" Type="http://schemas.openxmlformats.org/officeDocument/2006/relationships/hyperlink" Target="https://pubs.usgs.gov/publication/wsp251" TargetMode="External"/><Relationship Id="rId520" Type="http://schemas.openxmlformats.org/officeDocument/2006/relationships/hyperlink" Target="https://pubs.usgs.gov/publication/70225580" TargetMode="External"/><Relationship Id="rId11" Type="http://schemas.openxmlformats.org/officeDocument/2006/relationships/hyperlink" Target="https://pubs.usgs.gov/publication/wsp58" TargetMode="External"/><Relationship Id="rId10" Type="http://schemas.openxmlformats.org/officeDocument/2006/relationships/hyperlink" Target="https://pubs.usgs.gov/publication/wsp59" TargetMode="External"/><Relationship Id="rId13" Type="http://schemas.openxmlformats.org/officeDocument/2006/relationships/hyperlink" Target="https://pubs.usgs.gov/publication/wsp60" TargetMode="External"/><Relationship Id="rId12" Type="http://schemas.openxmlformats.org/officeDocument/2006/relationships/hyperlink" Target="https://pubs.usgs.gov/publication/wsp68" TargetMode="External"/><Relationship Id="rId519" Type="http://schemas.openxmlformats.org/officeDocument/2006/relationships/hyperlink" Target="https://pubs.usgs.gov/publication/70223877" TargetMode="External"/><Relationship Id="rId514" Type="http://schemas.openxmlformats.org/officeDocument/2006/relationships/hyperlink" Target="https://pubs.usgs.gov/publication/ofr69146" TargetMode="External"/><Relationship Id="rId513" Type="http://schemas.openxmlformats.org/officeDocument/2006/relationships/hyperlink" Target="https://pubs.usgs.gov/publication/ofr69253" TargetMode="External"/><Relationship Id="rId512" Type="http://schemas.openxmlformats.org/officeDocument/2006/relationships/hyperlink" Target="https://pubs.usgs.gov/publication/ofr69175" TargetMode="External"/><Relationship Id="rId511" Type="http://schemas.openxmlformats.org/officeDocument/2006/relationships/hyperlink" Target="https://pubs.usgs.gov/publication/ofr69149" TargetMode="External"/><Relationship Id="rId518" Type="http://schemas.openxmlformats.org/officeDocument/2006/relationships/hyperlink" Target="https://pubs.usgs.gov/publication/70199506" TargetMode="External"/><Relationship Id="rId517" Type="http://schemas.openxmlformats.org/officeDocument/2006/relationships/hyperlink" Target="https://pubs.usgs.gov/publication/70048641" TargetMode="External"/><Relationship Id="rId516" Type="http://schemas.openxmlformats.org/officeDocument/2006/relationships/hyperlink" Target="https://pubs.usgs.gov/publication/wdrCA6811" TargetMode="External"/><Relationship Id="rId515" Type="http://schemas.openxmlformats.org/officeDocument/2006/relationships/hyperlink" Target="https://pubs.usgs.gov/publication/wdrCA6812" TargetMode="External"/><Relationship Id="rId15" Type="http://schemas.openxmlformats.org/officeDocument/2006/relationships/hyperlink" Target="https://pubs.usgs.gov/publication/wsp89" TargetMode="External"/><Relationship Id="rId14" Type="http://schemas.openxmlformats.org/officeDocument/2006/relationships/hyperlink" Target="https://pubs.usgs.gov/publication/wsp86" TargetMode="External"/><Relationship Id="rId17" Type="http://schemas.openxmlformats.org/officeDocument/2006/relationships/hyperlink" Target="https://pubs.usgs.gov/publication/wsp116" TargetMode="External"/><Relationship Id="rId16" Type="http://schemas.openxmlformats.org/officeDocument/2006/relationships/hyperlink" Target="https://pubs.usgs.gov/publication/wsp134" TargetMode="External"/><Relationship Id="rId19" Type="http://schemas.openxmlformats.org/officeDocument/2006/relationships/hyperlink" Target="https://pubs.usgs.gov/publication/wsp137" TargetMode="External"/><Relationship Id="rId510" Type="http://schemas.openxmlformats.org/officeDocument/2006/relationships/hyperlink" Target="https://pubs.usgs.gov/publication/ofr6920" TargetMode="External"/><Relationship Id="rId18" Type="http://schemas.openxmlformats.org/officeDocument/2006/relationships/hyperlink" Target="https://pubs.usgs.gov/publication/wsp138" TargetMode="External"/><Relationship Id="rId84" Type="http://schemas.openxmlformats.org/officeDocument/2006/relationships/hyperlink" Target="https://pubs.usgs.gov/publication/wsp636B" TargetMode="External"/><Relationship Id="rId83" Type="http://schemas.openxmlformats.org/officeDocument/2006/relationships/hyperlink" Target="https://pubs.usgs.gov/publication/wsp636A" TargetMode="External"/><Relationship Id="rId86" Type="http://schemas.openxmlformats.org/officeDocument/2006/relationships/hyperlink" Target="https://pubs.usgs.gov/publication/wsp636E" TargetMode="External"/><Relationship Id="rId85" Type="http://schemas.openxmlformats.org/officeDocument/2006/relationships/hyperlink" Target="https://pubs.usgs.gov/publication/wsp636D" TargetMode="External"/><Relationship Id="rId88" Type="http://schemas.openxmlformats.org/officeDocument/2006/relationships/hyperlink" Target="https://pubs.usgs.gov/publication/wsp671" TargetMode="External"/><Relationship Id="rId87" Type="http://schemas.openxmlformats.org/officeDocument/2006/relationships/hyperlink" Target="https://pubs.usgs.gov/publication/wsp651" TargetMode="External"/><Relationship Id="rId89" Type="http://schemas.openxmlformats.org/officeDocument/2006/relationships/hyperlink" Target="https://pubs.usgs.gov/publication/wsp691" TargetMode="External"/><Relationship Id="rId80" Type="http://schemas.openxmlformats.org/officeDocument/2006/relationships/hyperlink" Target="https://pubs.usgs.gov/publication/wsp597E" TargetMode="External"/><Relationship Id="rId82" Type="http://schemas.openxmlformats.org/officeDocument/2006/relationships/hyperlink" Target="https://pubs.usgs.gov/publication/wsp619" TargetMode="External"/><Relationship Id="rId81" Type="http://schemas.openxmlformats.org/officeDocument/2006/relationships/hyperlink" Target="https://pubs.usgs.gov/publication/wsp631" TargetMode="External"/><Relationship Id="rId73" Type="http://schemas.openxmlformats.org/officeDocument/2006/relationships/hyperlink" Target="https://pubs.usgs.gov/publication/wsp519" TargetMode="External"/><Relationship Id="rId72" Type="http://schemas.openxmlformats.org/officeDocument/2006/relationships/hyperlink" Target="https://pubs.usgs.gov/publication/wsp511" TargetMode="External"/><Relationship Id="rId75" Type="http://schemas.openxmlformats.org/officeDocument/2006/relationships/hyperlink" Target="https://pubs.usgs.gov/publication/wsp556" TargetMode="External"/><Relationship Id="rId74" Type="http://schemas.openxmlformats.org/officeDocument/2006/relationships/hyperlink" Target="https://pubs.usgs.gov/publication/wsp531" TargetMode="External"/><Relationship Id="rId77" Type="http://schemas.openxmlformats.org/officeDocument/2006/relationships/hyperlink" Target="https://pubs.usgs.gov/publication/wsp571" TargetMode="External"/><Relationship Id="rId76" Type="http://schemas.openxmlformats.org/officeDocument/2006/relationships/hyperlink" Target="https://pubs.usgs.gov/publication/wsp551" TargetMode="External"/><Relationship Id="rId79" Type="http://schemas.openxmlformats.org/officeDocument/2006/relationships/hyperlink" Target="https://pubs.usgs.gov/publication/wsp611" TargetMode="External"/><Relationship Id="rId78" Type="http://schemas.openxmlformats.org/officeDocument/2006/relationships/hyperlink" Target="https://pubs.usgs.gov/publication/wsp591" TargetMode="External"/><Relationship Id="rId71" Type="http://schemas.openxmlformats.org/officeDocument/2006/relationships/hyperlink" Target="https://pubs.usgs.gov/publication/wsp495" TargetMode="External"/><Relationship Id="rId70" Type="http://schemas.openxmlformats.org/officeDocument/2006/relationships/hyperlink" Target="https://pubs.usgs.gov/publication/wsp497" TargetMode="External"/><Relationship Id="rId62" Type="http://schemas.openxmlformats.org/officeDocument/2006/relationships/hyperlink" Target="https://pubs.usgs.gov/publication/wsp490A" TargetMode="External"/><Relationship Id="rId61" Type="http://schemas.openxmlformats.org/officeDocument/2006/relationships/hyperlink" Target="https://pubs.usgs.gov/publication/pp117" TargetMode="External"/><Relationship Id="rId64" Type="http://schemas.openxmlformats.org/officeDocument/2006/relationships/hyperlink" Target="https://pubs.usgs.gov/publication/wsp481" TargetMode="External"/><Relationship Id="rId63" Type="http://schemas.openxmlformats.org/officeDocument/2006/relationships/hyperlink" Target="https://pubs.usgs.gov/publication/wsp461" TargetMode="External"/><Relationship Id="rId66" Type="http://schemas.openxmlformats.org/officeDocument/2006/relationships/hyperlink" Target="https://pubs.usgs.gov/publication/wsp447" TargetMode="External"/><Relationship Id="rId65" Type="http://schemas.openxmlformats.org/officeDocument/2006/relationships/hyperlink" Target="https://pubs.usgs.gov/publication/wsp468" TargetMode="External"/><Relationship Id="rId68" Type="http://schemas.openxmlformats.org/officeDocument/2006/relationships/hyperlink" Target="https://pubs.usgs.gov/publication/wsp450B" TargetMode="External"/><Relationship Id="rId67" Type="http://schemas.openxmlformats.org/officeDocument/2006/relationships/hyperlink" Target="https://pubs.usgs.gov/publication/wsp490B" TargetMode="External"/><Relationship Id="rId60" Type="http://schemas.openxmlformats.org/officeDocument/2006/relationships/hyperlink" Target="https://pubs.usgs.gov/publication/wsp429" TargetMode="External"/><Relationship Id="rId69" Type="http://schemas.openxmlformats.org/officeDocument/2006/relationships/hyperlink" Target="https://pubs.usgs.gov/publication/wsp450C" TargetMode="External"/><Relationship Id="rId51" Type="http://schemas.openxmlformats.org/officeDocument/2006/relationships/hyperlink" Target="https://pubs.usgs.gov/publication/wsp340K" TargetMode="External"/><Relationship Id="rId50" Type="http://schemas.openxmlformats.org/officeDocument/2006/relationships/hyperlink" Target="https://pubs.usgs.gov/publication/wsp398" TargetMode="External"/><Relationship Id="rId53" Type="http://schemas.openxmlformats.org/officeDocument/2006/relationships/hyperlink" Target="https://pubs.usgs.gov/publication/wsp391" TargetMode="External"/><Relationship Id="rId52" Type="http://schemas.openxmlformats.org/officeDocument/2006/relationships/hyperlink" Target="https://pubs.usgs.gov/publication/wsp375A" TargetMode="External"/><Relationship Id="rId55" Type="http://schemas.openxmlformats.org/officeDocument/2006/relationships/hyperlink" Target="https://pubs.usgs.gov/publication/b653" TargetMode="External"/><Relationship Id="rId54" Type="http://schemas.openxmlformats.org/officeDocument/2006/relationships/hyperlink" Target="https://pubs.usgs.gov/publication/wsp400E" TargetMode="External"/><Relationship Id="rId57" Type="http://schemas.openxmlformats.org/officeDocument/2006/relationships/hyperlink" Target="https://pubs.usgs.gov/publication/wsp411" TargetMode="External"/><Relationship Id="rId56" Type="http://schemas.openxmlformats.org/officeDocument/2006/relationships/hyperlink" Target="https://pubs.usgs.gov/publication/pp98T" TargetMode="External"/><Relationship Id="rId59" Type="http://schemas.openxmlformats.org/officeDocument/2006/relationships/hyperlink" Target="https://pubs.usgs.gov/publication/wsp446" TargetMode="External"/><Relationship Id="rId58" Type="http://schemas.openxmlformats.org/officeDocument/2006/relationships/hyperlink" Target="https://pubs.usgs.gov/publication/wsp441" TargetMode="External"/><Relationship Id="rId107" Type="http://schemas.openxmlformats.org/officeDocument/2006/relationships/hyperlink" Target="https://pubs.usgs.gov/publication/wsp831" TargetMode="External"/><Relationship Id="rId228" Type="http://schemas.openxmlformats.org/officeDocument/2006/relationships/hyperlink" Target="https://pubs.usgs.gov/publication/ofr5636" TargetMode="External"/><Relationship Id="rId349" Type="http://schemas.openxmlformats.org/officeDocument/2006/relationships/hyperlink" Target="https://pubs.usgs.gov/publication/ofr6394" TargetMode="External"/><Relationship Id="rId106" Type="http://schemas.openxmlformats.org/officeDocument/2006/relationships/hyperlink" Target="https://pubs.usgs.gov/publication/wsp679B" TargetMode="External"/><Relationship Id="rId227" Type="http://schemas.openxmlformats.org/officeDocument/2006/relationships/hyperlink" Target="https://pubs.usgs.gov/publication/ofr56137" TargetMode="External"/><Relationship Id="rId348" Type="http://schemas.openxmlformats.org/officeDocument/2006/relationships/hyperlink" Target="https://pubs.usgs.gov/publication/ofr6393" TargetMode="External"/><Relationship Id="rId469" Type="http://schemas.openxmlformats.org/officeDocument/2006/relationships/hyperlink" Target="https://pubs.usgs.gov/publication/5700" TargetMode="External"/><Relationship Id="rId105" Type="http://schemas.openxmlformats.org/officeDocument/2006/relationships/hyperlink" Target="https://pubs.usgs.gov/publication/wsp811" TargetMode="External"/><Relationship Id="rId226" Type="http://schemas.openxmlformats.org/officeDocument/2006/relationships/hyperlink" Target="https://pubs.usgs.gov/publication/cir390" TargetMode="External"/><Relationship Id="rId347" Type="http://schemas.openxmlformats.org/officeDocument/2006/relationships/hyperlink" Target="https://pubs.usgs.gov/publication/ofr6373" TargetMode="External"/><Relationship Id="rId468" Type="http://schemas.openxmlformats.org/officeDocument/2006/relationships/hyperlink" Target="https://pubs.usgs.gov/publication/5699" TargetMode="External"/><Relationship Id="rId104" Type="http://schemas.openxmlformats.org/officeDocument/2006/relationships/hyperlink" Target="https://pubs.usgs.gov/publication/70213007" TargetMode="External"/><Relationship Id="rId225" Type="http://schemas.openxmlformats.org/officeDocument/2006/relationships/hyperlink" Target="https://pubs.usgs.gov/publication/cir389" TargetMode="External"/><Relationship Id="rId346" Type="http://schemas.openxmlformats.org/officeDocument/2006/relationships/hyperlink" Target="https://pubs.usgs.gov/publication/pp372E" TargetMode="External"/><Relationship Id="rId467" Type="http://schemas.openxmlformats.org/officeDocument/2006/relationships/hyperlink" Target="https://pubs.usgs.gov/publication/cir581" TargetMode="External"/><Relationship Id="rId109" Type="http://schemas.openxmlformats.org/officeDocument/2006/relationships/hyperlink" Target="https://pubs.usgs.gov/publication/wsp780" TargetMode="External"/><Relationship Id="rId108" Type="http://schemas.openxmlformats.org/officeDocument/2006/relationships/hyperlink" Target="https://pubs.usgs.gov/publication/wsp861" TargetMode="External"/><Relationship Id="rId229" Type="http://schemas.openxmlformats.org/officeDocument/2006/relationships/hyperlink" Target="https://pubs.usgs.gov/publication/ofr5641" TargetMode="External"/><Relationship Id="rId220" Type="http://schemas.openxmlformats.org/officeDocument/2006/relationships/hyperlink" Target="https://pubs.usgs.gov/publication/70220436" TargetMode="External"/><Relationship Id="rId341" Type="http://schemas.openxmlformats.org/officeDocument/2006/relationships/hyperlink" Target="https://pubs.usgs.gov/publication/wsp1475O" TargetMode="External"/><Relationship Id="rId462" Type="http://schemas.openxmlformats.org/officeDocument/2006/relationships/hyperlink" Target="https://pubs.usgs.gov/publication/70207355" TargetMode="External"/><Relationship Id="rId340" Type="http://schemas.openxmlformats.org/officeDocument/2006/relationships/hyperlink" Target="https://pubs.usgs.gov/publication/wsp1619Z" TargetMode="External"/><Relationship Id="rId461" Type="http://schemas.openxmlformats.org/officeDocument/2006/relationships/hyperlink" Target="https://pubs.usgs.gov/publication/wdrCA662" TargetMode="External"/><Relationship Id="rId460" Type="http://schemas.openxmlformats.org/officeDocument/2006/relationships/hyperlink" Target="https://pubs.usgs.gov/publication/wdrCA6612" TargetMode="External"/><Relationship Id="rId103" Type="http://schemas.openxmlformats.org/officeDocument/2006/relationships/hyperlink" Target="https://pubs.usgs.gov/publication/70212906" TargetMode="External"/><Relationship Id="rId224" Type="http://schemas.openxmlformats.org/officeDocument/2006/relationships/hyperlink" Target="https://pubs.usgs.gov/publication/cir391" TargetMode="External"/><Relationship Id="rId345" Type="http://schemas.openxmlformats.org/officeDocument/2006/relationships/hyperlink" Target="https://pubs.usgs.gov/publication/b1089C" TargetMode="External"/><Relationship Id="rId466" Type="http://schemas.openxmlformats.org/officeDocument/2006/relationships/hyperlink" Target="https://pubs.usgs.gov/publication/cir580" TargetMode="External"/><Relationship Id="rId102" Type="http://schemas.openxmlformats.org/officeDocument/2006/relationships/hyperlink" Target="https://pubs.usgs.gov/publication/wsp766" TargetMode="External"/><Relationship Id="rId223" Type="http://schemas.openxmlformats.org/officeDocument/2006/relationships/hyperlink" Target="https://pubs.usgs.gov/publication/wsp1109" TargetMode="External"/><Relationship Id="rId344" Type="http://schemas.openxmlformats.org/officeDocument/2006/relationships/hyperlink" Target="https://pubs.usgs.gov/publication/pp372F" TargetMode="External"/><Relationship Id="rId465" Type="http://schemas.openxmlformats.org/officeDocument/2006/relationships/hyperlink" Target="https://pubs.usgs.gov/publication/wsp1798E" TargetMode="External"/><Relationship Id="rId101" Type="http://schemas.openxmlformats.org/officeDocument/2006/relationships/hyperlink" Target="https://pubs.usgs.gov/publication/wsp791" TargetMode="External"/><Relationship Id="rId222" Type="http://schemas.openxmlformats.org/officeDocument/2006/relationships/hyperlink" Target="https://pubs.usgs.gov/publication/wsp1345" TargetMode="External"/><Relationship Id="rId343" Type="http://schemas.openxmlformats.org/officeDocument/2006/relationships/hyperlink" Target="https://pubs.usgs.gov/publication/ofr63103" TargetMode="External"/><Relationship Id="rId464" Type="http://schemas.openxmlformats.org/officeDocument/2006/relationships/hyperlink" Target="https://pubs.usgs.gov/publication/wsp1859A" TargetMode="External"/><Relationship Id="rId100" Type="http://schemas.openxmlformats.org/officeDocument/2006/relationships/hyperlink" Target="https://pubs.usgs.gov/publication/70220435" TargetMode="External"/><Relationship Id="rId221" Type="http://schemas.openxmlformats.org/officeDocument/2006/relationships/hyperlink" Target="https://pubs.usgs.gov/publication/wsp1260D" TargetMode="External"/><Relationship Id="rId342" Type="http://schemas.openxmlformats.org/officeDocument/2006/relationships/hyperlink" Target="https://pubs.usgs.gov/publication/wsp1619S" TargetMode="External"/><Relationship Id="rId463" Type="http://schemas.openxmlformats.org/officeDocument/2006/relationships/hyperlink" Target="https://pubs.usgs.gov/publication/wsp1855" TargetMode="External"/><Relationship Id="rId217" Type="http://schemas.openxmlformats.org/officeDocument/2006/relationships/hyperlink" Target="https://pubs.usgs.gov/publication/ofr5567" TargetMode="External"/><Relationship Id="rId338" Type="http://schemas.openxmlformats.org/officeDocument/2006/relationships/hyperlink" Target="https://pubs.usgs.gov/publication/wsp1605" TargetMode="External"/><Relationship Id="rId459" Type="http://schemas.openxmlformats.org/officeDocument/2006/relationships/hyperlink" Target="https://pubs.usgs.gov/publication/wdrCA6611" TargetMode="External"/><Relationship Id="rId216" Type="http://schemas.openxmlformats.org/officeDocument/2006/relationships/hyperlink" Target="https://pubs.usgs.gov/publication/ofr55143" TargetMode="External"/><Relationship Id="rId337" Type="http://schemas.openxmlformats.org/officeDocument/2006/relationships/hyperlink" Target="https://pubs.usgs.gov/publication/wsp1419" TargetMode="External"/><Relationship Id="rId458" Type="http://schemas.openxmlformats.org/officeDocument/2006/relationships/hyperlink" Target="https://pubs.usgs.gov/publication/5223206" TargetMode="External"/><Relationship Id="rId215" Type="http://schemas.openxmlformats.org/officeDocument/2006/relationships/hyperlink" Target="https://pubs.usgs.gov/publication/ofr5595" TargetMode="External"/><Relationship Id="rId336" Type="http://schemas.openxmlformats.org/officeDocument/2006/relationships/hyperlink" Target="https://pubs.usgs.gov/publication/wsp1619Q" TargetMode="External"/><Relationship Id="rId457" Type="http://schemas.openxmlformats.org/officeDocument/2006/relationships/hyperlink" Target="https://pubs.usgs.gov/publication/94379" TargetMode="External"/><Relationship Id="rId214" Type="http://schemas.openxmlformats.org/officeDocument/2006/relationships/hyperlink" Target="https://pubs.usgs.gov/publication/ofr5586" TargetMode="External"/><Relationship Id="rId335" Type="http://schemas.openxmlformats.org/officeDocument/2006/relationships/hyperlink" Target="https://pubs.usgs.gov/publication/70047838" TargetMode="External"/><Relationship Id="rId456" Type="http://schemas.openxmlformats.org/officeDocument/2006/relationships/hyperlink" Target="https://pubs.usgs.gov/publication/ha268" TargetMode="External"/><Relationship Id="rId219" Type="http://schemas.openxmlformats.org/officeDocument/2006/relationships/hyperlink" Target="https://pubs.usgs.gov/publication/70047871" TargetMode="External"/><Relationship Id="rId218" Type="http://schemas.openxmlformats.org/officeDocument/2006/relationships/hyperlink" Target="https://pubs.usgs.gov/publication/ofr55201" TargetMode="External"/><Relationship Id="rId339" Type="http://schemas.openxmlformats.org/officeDocument/2006/relationships/hyperlink" Target="https://pubs.usgs.gov/publication/wsp1619F" TargetMode="External"/><Relationship Id="rId330" Type="http://schemas.openxmlformats.org/officeDocument/2006/relationships/hyperlink" Target="https://pubs.usgs.gov/publication/ofr62152" TargetMode="External"/><Relationship Id="rId451" Type="http://schemas.openxmlformats.org/officeDocument/2006/relationships/hyperlink" Target="https://pubs.usgs.gov/publication/ofr67280" TargetMode="External"/><Relationship Id="rId450" Type="http://schemas.openxmlformats.org/officeDocument/2006/relationships/hyperlink" Target="https://pubs.usgs.gov/publication/ofr67269" TargetMode="External"/><Relationship Id="rId213" Type="http://schemas.openxmlformats.org/officeDocument/2006/relationships/hyperlink" Target="https://pubs.usgs.gov/publication/ofr5566" TargetMode="External"/><Relationship Id="rId334" Type="http://schemas.openxmlformats.org/officeDocument/2006/relationships/hyperlink" Target="https://pubs.usgs.gov/publication/70039279" TargetMode="External"/><Relationship Id="rId455" Type="http://schemas.openxmlformats.org/officeDocument/2006/relationships/hyperlink" Target="https://pubs.usgs.gov/publication/i522" TargetMode="External"/><Relationship Id="rId212" Type="http://schemas.openxmlformats.org/officeDocument/2006/relationships/hyperlink" Target="https://pubs.usgs.gov/publication/ofr5544" TargetMode="External"/><Relationship Id="rId333" Type="http://schemas.openxmlformats.org/officeDocument/2006/relationships/hyperlink" Target="https://pubs.usgs.gov/publication/wdrCA622" TargetMode="External"/><Relationship Id="rId454" Type="http://schemas.openxmlformats.org/officeDocument/2006/relationships/hyperlink" Target="https://pubs.usgs.gov/publication/i517" TargetMode="External"/><Relationship Id="rId211" Type="http://schemas.openxmlformats.org/officeDocument/2006/relationships/hyperlink" Target="https://pubs.usgs.gov/publication/ofr55117" TargetMode="External"/><Relationship Id="rId332" Type="http://schemas.openxmlformats.org/officeDocument/2006/relationships/hyperlink" Target="https://pubs.usgs.gov/publication/ha31" TargetMode="External"/><Relationship Id="rId453" Type="http://schemas.openxmlformats.org/officeDocument/2006/relationships/hyperlink" Target="https://pubs.usgs.gov/publication/i516" TargetMode="External"/><Relationship Id="rId210" Type="http://schemas.openxmlformats.org/officeDocument/2006/relationships/hyperlink" Target="https://pubs.usgs.gov/publication/ofr5521" TargetMode="External"/><Relationship Id="rId331" Type="http://schemas.openxmlformats.org/officeDocument/2006/relationships/hyperlink" Target="https://pubs.usgs.gov/publication/ofr62153" TargetMode="External"/><Relationship Id="rId452" Type="http://schemas.openxmlformats.org/officeDocument/2006/relationships/hyperlink" Target="https://pubs.usgs.gov/publication/i518" TargetMode="External"/><Relationship Id="rId370" Type="http://schemas.openxmlformats.org/officeDocument/2006/relationships/hyperlink" Target="https://pubs.usgs.gov/publication/ofr64108" TargetMode="External"/><Relationship Id="rId491" Type="http://schemas.openxmlformats.org/officeDocument/2006/relationships/hyperlink" Target="https://pubs.usgs.gov/publication/70209028" TargetMode="External"/><Relationship Id="rId490" Type="http://schemas.openxmlformats.org/officeDocument/2006/relationships/hyperlink" Target="https://pubs.usgs.gov/publication/70185809" TargetMode="External"/><Relationship Id="rId129" Type="http://schemas.openxmlformats.org/officeDocument/2006/relationships/hyperlink" Target="https://pubs.usgs.gov/publication/wsp967A" TargetMode="External"/><Relationship Id="rId128" Type="http://schemas.openxmlformats.org/officeDocument/2006/relationships/hyperlink" Target="https://pubs.usgs.gov/publication/wsp1011" TargetMode="External"/><Relationship Id="rId249" Type="http://schemas.openxmlformats.org/officeDocument/2006/relationships/hyperlink" Target="https://pubs.usgs.gov/publication/ofr5731" TargetMode="External"/><Relationship Id="rId127" Type="http://schemas.openxmlformats.org/officeDocument/2006/relationships/hyperlink" Target="https://pubs.usgs.gov/publication/70215116" TargetMode="External"/><Relationship Id="rId248" Type="http://schemas.openxmlformats.org/officeDocument/2006/relationships/hyperlink" Target="https://pubs.usgs.gov/publication/ofr57107" TargetMode="External"/><Relationship Id="rId369" Type="http://schemas.openxmlformats.org/officeDocument/2006/relationships/hyperlink" Target="https://pubs.usgs.gov/publication/ofr64117" TargetMode="External"/><Relationship Id="rId126" Type="http://schemas.openxmlformats.org/officeDocument/2006/relationships/hyperlink" Target="https://pubs.usgs.gov/publication/70215112" TargetMode="External"/><Relationship Id="rId247" Type="http://schemas.openxmlformats.org/officeDocument/2006/relationships/hyperlink" Target="https://pubs.usgs.gov/publication/ofr5748" TargetMode="External"/><Relationship Id="rId368" Type="http://schemas.openxmlformats.org/officeDocument/2006/relationships/hyperlink" Target="https://pubs.usgs.gov/publication/ofr6459" TargetMode="External"/><Relationship Id="rId489" Type="http://schemas.openxmlformats.org/officeDocument/2006/relationships/hyperlink" Target="https://pubs.usgs.gov/publication/wdrCA672" TargetMode="External"/><Relationship Id="rId121" Type="http://schemas.openxmlformats.org/officeDocument/2006/relationships/hyperlink" Target="https://pubs.usgs.gov/publication/ofr4331" TargetMode="External"/><Relationship Id="rId242" Type="http://schemas.openxmlformats.org/officeDocument/2006/relationships/hyperlink" Target="https://pubs.usgs.gov/publication/cir378" TargetMode="External"/><Relationship Id="rId363" Type="http://schemas.openxmlformats.org/officeDocument/2006/relationships/hyperlink" Target="https://pubs.usgs.gov/publication/wsp1656" TargetMode="External"/><Relationship Id="rId484" Type="http://schemas.openxmlformats.org/officeDocument/2006/relationships/hyperlink" Target="https://pubs.usgs.gov/publication/ofr68165" TargetMode="External"/><Relationship Id="rId120" Type="http://schemas.openxmlformats.org/officeDocument/2006/relationships/hyperlink" Target="https://pubs.usgs.gov/publication/ofr4338" TargetMode="External"/><Relationship Id="rId241" Type="http://schemas.openxmlformats.org/officeDocument/2006/relationships/hyperlink" Target="https://pubs.usgs.gov/publication/wsp1366" TargetMode="External"/><Relationship Id="rId362" Type="http://schemas.openxmlformats.org/officeDocument/2006/relationships/hyperlink" Target="https://pubs.usgs.gov/publication/wsp1758" TargetMode="External"/><Relationship Id="rId483" Type="http://schemas.openxmlformats.org/officeDocument/2006/relationships/hyperlink" Target="https://pubs.usgs.gov/publication/ofr68194" TargetMode="External"/><Relationship Id="rId240" Type="http://schemas.openxmlformats.org/officeDocument/2006/relationships/hyperlink" Target="https://pubs.usgs.gov/publication/wsp1360G" TargetMode="External"/><Relationship Id="rId361" Type="http://schemas.openxmlformats.org/officeDocument/2006/relationships/hyperlink" Target="https://pubs.usgs.gov/publication/wsp1779AA" TargetMode="External"/><Relationship Id="rId482" Type="http://schemas.openxmlformats.org/officeDocument/2006/relationships/hyperlink" Target="https://pubs.usgs.gov/publication/ofr68169" TargetMode="External"/><Relationship Id="rId360" Type="http://schemas.openxmlformats.org/officeDocument/2006/relationships/hyperlink" Target="https://pubs.usgs.gov/publication/wsp1779Y" TargetMode="External"/><Relationship Id="rId481" Type="http://schemas.openxmlformats.org/officeDocument/2006/relationships/hyperlink" Target="https://pubs.usgs.gov/publication/ofr68110" TargetMode="External"/><Relationship Id="rId125" Type="http://schemas.openxmlformats.org/officeDocument/2006/relationships/hyperlink" Target="https://pubs.usgs.gov/publication/oc6" TargetMode="External"/><Relationship Id="rId246" Type="http://schemas.openxmlformats.org/officeDocument/2006/relationships/hyperlink" Target="https://pubs.usgs.gov/publication/ofr5792" TargetMode="External"/><Relationship Id="rId367" Type="http://schemas.openxmlformats.org/officeDocument/2006/relationships/hyperlink" Target="https://pubs.usgs.gov/publication/ofr6444" TargetMode="External"/><Relationship Id="rId488" Type="http://schemas.openxmlformats.org/officeDocument/2006/relationships/hyperlink" Target="https://pubs.usgs.gov/publication/wdrCA6712" TargetMode="External"/><Relationship Id="rId124" Type="http://schemas.openxmlformats.org/officeDocument/2006/relationships/hyperlink" Target="https://pubs.usgs.gov/publication/wsp981" TargetMode="External"/><Relationship Id="rId245" Type="http://schemas.openxmlformats.org/officeDocument/2006/relationships/hyperlink" Target="https://pubs.usgs.gov/publication/ofr5778" TargetMode="External"/><Relationship Id="rId366" Type="http://schemas.openxmlformats.org/officeDocument/2006/relationships/hyperlink" Target="https://pubs.usgs.gov/publication/cir459" TargetMode="External"/><Relationship Id="rId487" Type="http://schemas.openxmlformats.org/officeDocument/2006/relationships/hyperlink" Target="https://pubs.usgs.gov/publication/wdrCA6711" TargetMode="External"/><Relationship Id="rId123" Type="http://schemas.openxmlformats.org/officeDocument/2006/relationships/hyperlink" Target="https://pubs.usgs.gov/publication/wsp918" TargetMode="External"/><Relationship Id="rId244" Type="http://schemas.openxmlformats.org/officeDocument/2006/relationships/hyperlink" Target="https://pubs.usgs.gov/publication/ofr5762" TargetMode="External"/><Relationship Id="rId365" Type="http://schemas.openxmlformats.org/officeDocument/2006/relationships/hyperlink" Target="https://pubs.usgs.gov/publication/wsp1591B" TargetMode="External"/><Relationship Id="rId486" Type="http://schemas.openxmlformats.org/officeDocument/2006/relationships/hyperlink" Target="https://pubs.usgs.gov/publication/ha298" TargetMode="External"/><Relationship Id="rId122" Type="http://schemas.openxmlformats.org/officeDocument/2006/relationships/hyperlink" Target="https://pubs.usgs.gov/publication/70047721" TargetMode="External"/><Relationship Id="rId243" Type="http://schemas.openxmlformats.org/officeDocument/2006/relationships/hyperlink" Target="https://pubs.usgs.gov/publication/cir399" TargetMode="External"/><Relationship Id="rId364" Type="http://schemas.openxmlformats.org/officeDocument/2006/relationships/hyperlink" Target="https://pubs.usgs.gov/publication/wsp1735" TargetMode="External"/><Relationship Id="rId485" Type="http://schemas.openxmlformats.org/officeDocument/2006/relationships/hyperlink" Target="https://pubs.usgs.gov/publication/i561" TargetMode="External"/><Relationship Id="rId95" Type="http://schemas.openxmlformats.org/officeDocument/2006/relationships/hyperlink" Target="https://pubs.usgs.gov/publication/wsp736" TargetMode="External"/><Relationship Id="rId94" Type="http://schemas.openxmlformats.org/officeDocument/2006/relationships/hyperlink" Target="https://pubs.usgs.gov/publication/70220411" TargetMode="External"/><Relationship Id="rId97" Type="http://schemas.openxmlformats.org/officeDocument/2006/relationships/hyperlink" Target="https://pubs.usgs.gov/publication/70220433" TargetMode="External"/><Relationship Id="rId96" Type="http://schemas.openxmlformats.org/officeDocument/2006/relationships/hyperlink" Target="https://pubs.usgs.gov/publication/70220412" TargetMode="External"/><Relationship Id="rId99" Type="http://schemas.openxmlformats.org/officeDocument/2006/relationships/hyperlink" Target="https://pubs.usgs.gov/publication/wsp751" TargetMode="External"/><Relationship Id="rId480" Type="http://schemas.openxmlformats.org/officeDocument/2006/relationships/hyperlink" Target="https://pubs.usgs.gov/publication/ofr6890" TargetMode="External"/><Relationship Id="rId98" Type="http://schemas.openxmlformats.org/officeDocument/2006/relationships/hyperlink" Target="https://pubs.usgs.gov/publication/70220434" TargetMode="External"/><Relationship Id="rId91" Type="http://schemas.openxmlformats.org/officeDocument/2006/relationships/hyperlink" Target="https://pubs.usgs.gov/publication/70220375" TargetMode="External"/><Relationship Id="rId90" Type="http://schemas.openxmlformats.org/officeDocument/2006/relationships/hyperlink" Target="https://pubs.usgs.gov/publication/wsp637A" TargetMode="External"/><Relationship Id="rId93" Type="http://schemas.openxmlformats.org/officeDocument/2006/relationships/hyperlink" Target="https://pubs.usgs.gov/publication/wsp721" TargetMode="External"/><Relationship Id="rId92" Type="http://schemas.openxmlformats.org/officeDocument/2006/relationships/hyperlink" Target="https://pubs.usgs.gov/publication/wsp706" TargetMode="External"/><Relationship Id="rId118" Type="http://schemas.openxmlformats.org/officeDocument/2006/relationships/hyperlink" Target="https://pubs.usgs.gov/publication/70213071" TargetMode="External"/><Relationship Id="rId239" Type="http://schemas.openxmlformats.org/officeDocument/2006/relationships/hyperlink" Target="https://pubs.usgs.gov/publication/wsp1254" TargetMode="External"/><Relationship Id="rId117" Type="http://schemas.openxmlformats.org/officeDocument/2006/relationships/hyperlink" Target="https://pubs.usgs.gov/publication/ofr426" TargetMode="External"/><Relationship Id="rId238" Type="http://schemas.openxmlformats.org/officeDocument/2006/relationships/hyperlink" Target="https://pubs.usgs.gov/publication/70047877" TargetMode="External"/><Relationship Id="rId359" Type="http://schemas.openxmlformats.org/officeDocument/2006/relationships/hyperlink" Target="https://pubs.usgs.gov/publication/wsp1664" TargetMode="External"/><Relationship Id="rId116" Type="http://schemas.openxmlformats.org/officeDocument/2006/relationships/hyperlink" Target="https://pubs.usgs.gov/publication/ofr425" TargetMode="External"/><Relationship Id="rId237" Type="http://schemas.openxmlformats.org/officeDocument/2006/relationships/hyperlink" Target="https://pubs.usgs.gov/publication/ofr56119" TargetMode="External"/><Relationship Id="rId358" Type="http://schemas.openxmlformats.org/officeDocument/2006/relationships/hyperlink" Target="https://pubs.usgs.gov/publication/wsp1535I" TargetMode="External"/><Relationship Id="rId479" Type="http://schemas.openxmlformats.org/officeDocument/2006/relationships/hyperlink" Target="https://pubs.usgs.gov/publication/ofr6813" TargetMode="External"/><Relationship Id="rId115" Type="http://schemas.openxmlformats.org/officeDocument/2006/relationships/hyperlink" Target="https://pubs.usgs.gov/publication/ofr4217" TargetMode="External"/><Relationship Id="rId236" Type="http://schemas.openxmlformats.org/officeDocument/2006/relationships/hyperlink" Target="https://pubs.usgs.gov/publication/ofr5685" TargetMode="External"/><Relationship Id="rId357" Type="http://schemas.openxmlformats.org/officeDocument/2006/relationships/hyperlink" Target="https://pubs.usgs.gov/publication/wsp1535J" TargetMode="External"/><Relationship Id="rId478" Type="http://schemas.openxmlformats.org/officeDocument/2006/relationships/hyperlink" Target="https://pubs.usgs.gov/publication/ofr68233" TargetMode="External"/><Relationship Id="rId119" Type="http://schemas.openxmlformats.org/officeDocument/2006/relationships/hyperlink" Target="https://pubs.usgs.gov/publication/wsp961" TargetMode="External"/><Relationship Id="rId110" Type="http://schemas.openxmlformats.org/officeDocument/2006/relationships/hyperlink" Target="https://pubs.usgs.gov/publication/wsp881" TargetMode="External"/><Relationship Id="rId231" Type="http://schemas.openxmlformats.org/officeDocument/2006/relationships/hyperlink" Target="https://pubs.usgs.gov/publication/ofr5673" TargetMode="External"/><Relationship Id="rId352" Type="http://schemas.openxmlformats.org/officeDocument/2006/relationships/hyperlink" Target="https://pubs.usgs.gov/publication/ofr63137" TargetMode="External"/><Relationship Id="rId473" Type="http://schemas.openxmlformats.org/officeDocument/2006/relationships/hyperlink" Target="https://pubs.usgs.gov/publication/ofr6810" TargetMode="External"/><Relationship Id="rId230" Type="http://schemas.openxmlformats.org/officeDocument/2006/relationships/hyperlink" Target="https://pubs.usgs.gov/publication/ofr5672" TargetMode="External"/><Relationship Id="rId351" Type="http://schemas.openxmlformats.org/officeDocument/2006/relationships/hyperlink" Target="https://pubs.usgs.gov/publication/ofr63136" TargetMode="External"/><Relationship Id="rId472" Type="http://schemas.openxmlformats.org/officeDocument/2006/relationships/hyperlink" Target="https://pubs.usgs.gov/publication/pp497A" TargetMode="External"/><Relationship Id="rId350" Type="http://schemas.openxmlformats.org/officeDocument/2006/relationships/hyperlink" Target="https://pubs.usgs.gov/publication/ofr63109" TargetMode="External"/><Relationship Id="rId471" Type="http://schemas.openxmlformats.org/officeDocument/2006/relationships/hyperlink" Target="https://pubs.usgs.gov/publication/rp50" TargetMode="External"/><Relationship Id="rId470" Type="http://schemas.openxmlformats.org/officeDocument/2006/relationships/hyperlink" Target="https://pubs.usgs.gov/publication/pp422M" TargetMode="External"/><Relationship Id="rId114" Type="http://schemas.openxmlformats.org/officeDocument/2006/relationships/hyperlink" Target="https://pubs.usgs.gov/publication/wsp931" TargetMode="External"/><Relationship Id="rId235" Type="http://schemas.openxmlformats.org/officeDocument/2006/relationships/hyperlink" Target="https://pubs.usgs.gov/publication/ofr5613" TargetMode="External"/><Relationship Id="rId356" Type="http://schemas.openxmlformats.org/officeDocument/2006/relationships/hyperlink" Target="https://pubs.usgs.gov/publication/wsp1618" TargetMode="External"/><Relationship Id="rId477" Type="http://schemas.openxmlformats.org/officeDocument/2006/relationships/hyperlink" Target="https://pubs.usgs.gov/publication/ofr689" TargetMode="External"/><Relationship Id="rId113" Type="http://schemas.openxmlformats.org/officeDocument/2006/relationships/hyperlink" Target="https://pubs.usgs.gov/publication/70213281" TargetMode="External"/><Relationship Id="rId234" Type="http://schemas.openxmlformats.org/officeDocument/2006/relationships/hyperlink" Target="https://pubs.usgs.gov/publication/ofr561" TargetMode="External"/><Relationship Id="rId355" Type="http://schemas.openxmlformats.org/officeDocument/2006/relationships/hyperlink" Target="https://pubs.usgs.gov/publication/70221115" TargetMode="External"/><Relationship Id="rId476" Type="http://schemas.openxmlformats.org/officeDocument/2006/relationships/hyperlink" Target="https://pubs.usgs.gov/publication/ofr6867" TargetMode="External"/><Relationship Id="rId112" Type="http://schemas.openxmlformats.org/officeDocument/2006/relationships/hyperlink" Target="https://pubs.usgs.gov/publication/wsp901" TargetMode="External"/><Relationship Id="rId233" Type="http://schemas.openxmlformats.org/officeDocument/2006/relationships/hyperlink" Target="https://pubs.usgs.gov/publication/ofr5619" TargetMode="External"/><Relationship Id="rId354" Type="http://schemas.openxmlformats.org/officeDocument/2006/relationships/hyperlink" Target="https://pubs.usgs.gov/publication/wdrCA621" TargetMode="External"/><Relationship Id="rId475" Type="http://schemas.openxmlformats.org/officeDocument/2006/relationships/hyperlink" Target="https://pubs.usgs.gov/publication/ofr68182" TargetMode="External"/><Relationship Id="rId111" Type="http://schemas.openxmlformats.org/officeDocument/2006/relationships/hyperlink" Target="https://pubs.usgs.gov/publication/wsp847" TargetMode="External"/><Relationship Id="rId232" Type="http://schemas.openxmlformats.org/officeDocument/2006/relationships/hyperlink" Target="https://pubs.usgs.gov/publication/ofr56100" TargetMode="External"/><Relationship Id="rId353" Type="http://schemas.openxmlformats.org/officeDocument/2006/relationships/hyperlink" Target="https://pubs.usgs.gov/publication/ofr63146" TargetMode="External"/><Relationship Id="rId474" Type="http://schemas.openxmlformats.org/officeDocument/2006/relationships/hyperlink" Target="https://pubs.usgs.gov/publication/ofr68163" TargetMode="External"/><Relationship Id="rId305" Type="http://schemas.openxmlformats.org/officeDocument/2006/relationships/hyperlink" Target="https://pubs.usgs.gov/publication/wsp1497" TargetMode="External"/><Relationship Id="rId426" Type="http://schemas.openxmlformats.org/officeDocument/2006/relationships/hyperlink" Target="https://pubs.usgs.gov/publication/ofr6674" TargetMode="External"/><Relationship Id="rId547" Type="http://schemas.openxmlformats.org/officeDocument/2006/relationships/hyperlink" Target="https://pubs.usgs.gov/publication/wdrCA6912" TargetMode="External"/><Relationship Id="rId304" Type="http://schemas.openxmlformats.org/officeDocument/2006/relationships/hyperlink" Target="https://pubs.usgs.gov/publication/wsp1535B" TargetMode="External"/><Relationship Id="rId425" Type="http://schemas.openxmlformats.org/officeDocument/2006/relationships/hyperlink" Target="https://pubs.usgs.gov/publication/ofr6651" TargetMode="External"/><Relationship Id="rId546" Type="http://schemas.openxmlformats.org/officeDocument/2006/relationships/hyperlink" Target="https://pubs.usgs.gov/publication/wdrCA6911" TargetMode="External"/><Relationship Id="rId303" Type="http://schemas.openxmlformats.org/officeDocument/2006/relationships/hyperlink" Target="https://pubs.usgs.gov/publication/wsp1715" TargetMode="External"/><Relationship Id="rId424" Type="http://schemas.openxmlformats.org/officeDocument/2006/relationships/hyperlink" Target="https://pubs.usgs.gov/publication/ofr6649" TargetMode="External"/><Relationship Id="rId545" Type="http://schemas.openxmlformats.org/officeDocument/2006/relationships/hyperlink" Target="https://pubs.usgs.gov/publication/wdrCA683" TargetMode="External"/><Relationship Id="rId302" Type="http://schemas.openxmlformats.org/officeDocument/2006/relationships/hyperlink" Target="https://pubs.usgs.gov/publication/258" TargetMode="External"/><Relationship Id="rId423" Type="http://schemas.openxmlformats.org/officeDocument/2006/relationships/hyperlink" Target="https://pubs.usgs.gov/publication/ofr6648" TargetMode="External"/><Relationship Id="rId544" Type="http://schemas.openxmlformats.org/officeDocument/2006/relationships/hyperlink" Target="https://pubs.usgs.gov/publication/wdrCA682" TargetMode="External"/><Relationship Id="rId309" Type="http://schemas.openxmlformats.org/officeDocument/2006/relationships/hyperlink" Target="https://pubs.usgs.gov/publication/ofr61123" TargetMode="External"/><Relationship Id="rId308" Type="http://schemas.openxmlformats.org/officeDocument/2006/relationships/hyperlink" Target="https://pubs.usgs.gov/publication/ofr6196" TargetMode="External"/><Relationship Id="rId429" Type="http://schemas.openxmlformats.org/officeDocument/2006/relationships/hyperlink" Target="https://pubs.usgs.gov/publication/wsp1535L" TargetMode="External"/><Relationship Id="rId307" Type="http://schemas.openxmlformats.org/officeDocument/2006/relationships/hyperlink" Target="https://pubs.usgs.gov/publication/wsp1535A" TargetMode="External"/><Relationship Id="rId428" Type="http://schemas.openxmlformats.org/officeDocument/2006/relationships/hyperlink" Target="https://pubs.usgs.gov/publication/wsp1851" TargetMode="External"/><Relationship Id="rId549" Type="http://schemas.openxmlformats.org/officeDocument/2006/relationships/hyperlink" Target="https://pubs.usgs.gov/publication/70046747" TargetMode="External"/><Relationship Id="rId306" Type="http://schemas.openxmlformats.org/officeDocument/2006/relationships/hyperlink" Target="https://pubs.usgs.gov/publication/wsp1576C" TargetMode="External"/><Relationship Id="rId427" Type="http://schemas.openxmlformats.org/officeDocument/2006/relationships/hyperlink" Target="https://pubs.usgs.gov/publication/ofr6675" TargetMode="External"/><Relationship Id="rId548" Type="http://schemas.openxmlformats.org/officeDocument/2006/relationships/hyperlink" Target="https://pubs.usgs.gov/publication/wdrCA692" TargetMode="External"/><Relationship Id="rId301" Type="http://schemas.openxmlformats.org/officeDocument/2006/relationships/hyperlink" Target="https://pubs.usgs.gov/publication/ofr60102" TargetMode="External"/><Relationship Id="rId422" Type="http://schemas.openxmlformats.org/officeDocument/2006/relationships/hyperlink" Target="https://pubs.usgs.gov/publication/ofr6644" TargetMode="External"/><Relationship Id="rId543" Type="http://schemas.openxmlformats.org/officeDocument/2006/relationships/hyperlink" Target="https://pubs.usgs.gov/publication/ha348" TargetMode="External"/><Relationship Id="rId300" Type="http://schemas.openxmlformats.org/officeDocument/2006/relationships/hyperlink" Target="https://pubs.usgs.gov/publication/ofr60101" TargetMode="External"/><Relationship Id="rId421" Type="http://schemas.openxmlformats.org/officeDocument/2006/relationships/hyperlink" Target="https://pubs.usgs.gov/publication/ofr6642" TargetMode="External"/><Relationship Id="rId542" Type="http://schemas.openxmlformats.org/officeDocument/2006/relationships/hyperlink" Target="https://pubs.usgs.gov/publication/i585" TargetMode="External"/><Relationship Id="rId420" Type="http://schemas.openxmlformats.org/officeDocument/2006/relationships/hyperlink" Target="https://pubs.usgs.gov/publication/ofr6626" TargetMode="External"/><Relationship Id="rId541" Type="http://schemas.openxmlformats.org/officeDocument/2006/relationships/hyperlink" Target="https://pubs.usgs.gov/publication/ofr70354" TargetMode="External"/><Relationship Id="rId540" Type="http://schemas.openxmlformats.org/officeDocument/2006/relationships/hyperlink" Target="https://pubs.usgs.gov/publication/ofr70268" TargetMode="External"/><Relationship Id="rId415" Type="http://schemas.openxmlformats.org/officeDocument/2006/relationships/hyperlink" Target="https://pubs.usgs.gov/publication/ofr66116" TargetMode="External"/><Relationship Id="rId536" Type="http://schemas.openxmlformats.org/officeDocument/2006/relationships/hyperlink" Target="https://pubs.usgs.gov/publication/ofr70193" TargetMode="External"/><Relationship Id="rId414" Type="http://schemas.openxmlformats.org/officeDocument/2006/relationships/hyperlink" Target="https://pubs.usgs.gov/publication/ofr66115" TargetMode="External"/><Relationship Id="rId535" Type="http://schemas.openxmlformats.org/officeDocument/2006/relationships/hyperlink" Target="https://pubs.usgs.gov/publication/ofr70192" TargetMode="External"/><Relationship Id="rId413" Type="http://schemas.openxmlformats.org/officeDocument/2006/relationships/hyperlink" Target="https://pubs.usgs.gov/publication/ofr66114" TargetMode="External"/><Relationship Id="rId534" Type="http://schemas.openxmlformats.org/officeDocument/2006/relationships/hyperlink" Target="https://pubs.usgs.gov/publication/ofr7030" TargetMode="External"/><Relationship Id="rId412" Type="http://schemas.openxmlformats.org/officeDocument/2006/relationships/hyperlink" Target="https://pubs.usgs.gov/publication/34360" TargetMode="External"/><Relationship Id="rId533" Type="http://schemas.openxmlformats.org/officeDocument/2006/relationships/hyperlink" Target="https://pubs.usgs.gov/publication/ofr70304" TargetMode="External"/><Relationship Id="rId419" Type="http://schemas.openxmlformats.org/officeDocument/2006/relationships/hyperlink" Target="https://pubs.usgs.gov/publication/ofr6620" TargetMode="External"/><Relationship Id="rId418" Type="http://schemas.openxmlformats.org/officeDocument/2006/relationships/hyperlink" Target="https://pubs.usgs.gov/publication/ofr6613" TargetMode="External"/><Relationship Id="rId539" Type="http://schemas.openxmlformats.org/officeDocument/2006/relationships/hyperlink" Target="https://pubs.usgs.gov/publication/ofr70264" TargetMode="External"/><Relationship Id="rId417" Type="http://schemas.openxmlformats.org/officeDocument/2006/relationships/hyperlink" Target="https://pubs.usgs.gov/publication/ofr661" TargetMode="External"/><Relationship Id="rId538" Type="http://schemas.openxmlformats.org/officeDocument/2006/relationships/hyperlink" Target="https://pubs.usgs.gov/publication/ofr70246" TargetMode="External"/><Relationship Id="rId416" Type="http://schemas.openxmlformats.org/officeDocument/2006/relationships/hyperlink" Target="https://pubs.usgs.gov/publication/ofr66151" TargetMode="External"/><Relationship Id="rId537" Type="http://schemas.openxmlformats.org/officeDocument/2006/relationships/hyperlink" Target="https://pubs.usgs.gov/publication/ofr70226" TargetMode="External"/><Relationship Id="rId411" Type="http://schemas.openxmlformats.org/officeDocument/2006/relationships/hyperlink" Target="https://pubs.usgs.gov/publication/pp524B" TargetMode="External"/><Relationship Id="rId532" Type="http://schemas.openxmlformats.org/officeDocument/2006/relationships/hyperlink" Target="https://pubs.usgs.gov/publication/ofr70228" TargetMode="External"/><Relationship Id="rId410" Type="http://schemas.openxmlformats.org/officeDocument/2006/relationships/hyperlink" Target="https://pubs.usgs.gov/publication/ofr6621" TargetMode="External"/><Relationship Id="rId531" Type="http://schemas.openxmlformats.org/officeDocument/2006/relationships/hyperlink" Target="https://pubs.usgs.gov/publication/ofr70190" TargetMode="External"/><Relationship Id="rId530" Type="http://schemas.openxmlformats.org/officeDocument/2006/relationships/hyperlink" Target="https://pubs.usgs.gov/publication/ofr7146" TargetMode="External"/><Relationship Id="rId206" Type="http://schemas.openxmlformats.org/officeDocument/2006/relationships/hyperlink" Target="https://pubs.usgs.gov/publication/wsp1285" TargetMode="External"/><Relationship Id="rId327" Type="http://schemas.openxmlformats.org/officeDocument/2006/relationships/hyperlink" Target="https://pubs.usgs.gov/publication/ofr6245" TargetMode="External"/><Relationship Id="rId448" Type="http://schemas.openxmlformats.org/officeDocument/2006/relationships/hyperlink" Target="https://pubs.usgs.gov/publication/ofr67223" TargetMode="External"/><Relationship Id="rId205" Type="http://schemas.openxmlformats.org/officeDocument/2006/relationships/hyperlink" Target="https://pubs.usgs.gov/publication/om154" TargetMode="External"/><Relationship Id="rId326" Type="http://schemas.openxmlformats.org/officeDocument/2006/relationships/hyperlink" Target="https://pubs.usgs.gov/publication/ofr6244" TargetMode="External"/><Relationship Id="rId447" Type="http://schemas.openxmlformats.org/officeDocument/2006/relationships/hyperlink" Target="https://pubs.usgs.gov/publication/ofr67208" TargetMode="External"/><Relationship Id="rId204" Type="http://schemas.openxmlformats.org/officeDocument/2006/relationships/hyperlink" Target="https://pubs.usgs.gov/publication/ofr5444" TargetMode="External"/><Relationship Id="rId325" Type="http://schemas.openxmlformats.org/officeDocument/2006/relationships/hyperlink" Target="https://pubs.usgs.gov/publication/ofr6218" TargetMode="External"/><Relationship Id="rId446" Type="http://schemas.openxmlformats.org/officeDocument/2006/relationships/hyperlink" Target="https://pubs.usgs.gov/publication/ofr67164" TargetMode="External"/><Relationship Id="rId203" Type="http://schemas.openxmlformats.org/officeDocument/2006/relationships/hyperlink" Target="https://pubs.usgs.gov/publication/ofr54336" TargetMode="External"/><Relationship Id="rId324" Type="http://schemas.openxmlformats.org/officeDocument/2006/relationships/hyperlink" Target="https://pubs.usgs.gov/publication/ofr6217" TargetMode="External"/><Relationship Id="rId445" Type="http://schemas.openxmlformats.org/officeDocument/2006/relationships/hyperlink" Target="https://pubs.usgs.gov/publication/ofr67149" TargetMode="External"/><Relationship Id="rId209" Type="http://schemas.openxmlformats.org/officeDocument/2006/relationships/hyperlink" Target="https://pubs.usgs.gov/publication/wsp1297" TargetMode="External"/><Relationship Id="rId208" Type="http://schemas.openxmlformats.org/officeDocument/2006/relationships/hyperlink" Target="https://pubs.usgs.gov/publication/wsp1329A" TargetMode="External"/><Relationship Id="rId329" Type="http://schemas.openxmlformats.org/officeDocument/2006/relationships/hyperlink" Target="https://pubs.usgs.gov/publication/ofr62151" TargetMode="External"/><Relationship Id="rId207" Type="http://schemas.openxmlformats.org/officeDocument/2006/relationships/hyperlink" Target="https://pubs.usgs.gov/publication/wsp1226" TargetMode="External"/><Relationship Id="rId328" Type="http://schemas.openxmlformats.org/officeDocument/2006/relationships/hyperlink" Target="https://pubs.usgs.gov/publication/ofr62106" TargetMode="External"/><Relationship Id="rId449" Type="http://schemas.openxmlformats.org/officeDocument/2006/relationships/hyperlink" Target="https://pubs.usgs.gov/publication/ofr67256" TargetMode="External"/><Relationship Id="rId440" Type="http://schemas.openxmlformats.org/officeDocument/2006/relationships/hyperlink" Target="https://pubs.usgs.gov/publication/ofr67254" TargetMode="External"/><Relationship Id="rId202" Type="http://schemas.openxmlformats.org/officeDocument/2006/relationships/hyperlink" Target="https://pubs.usgs.gov/publication/ofr54127" TargetMode="External"/><Relationship Id="rId323" Type="http://schemas.openxmlformats.org/officeDocument/2006/relationships/hyperlink" Target="https://pubs.usgs.gov/publication/ofr62128" TargetMode="External"/><Relationship Id="rId444" Type="http://schemas.openxmlformats.org/officeDocument/2006/relationships/hyperlink" Target="https://pubs.usgs.gov/publication/ofr67107" TargetMode="External"/><Relationship Id="rId201" Type="http://schemas.openxmlformats.org/officeDocument/2006/relationships/hyperlink" Target="https://pubs.usgs.gov/publication/ofr5493" TargetMode="External"/><Relationship Id="rId322" Type="http://schemas.openxmlformats.org/officeDocument/2006/relationships/hyperlink" Target="https://pubs.usgs.gov/publication/ofr6291" TargetMode="External"/><Relationship Id="rId443" Type="http://schemas.openxmlformats.org/officeDocument/2006/relationships/hyperlink" Target="https://pubs.usgs.gov/publication/ofr67106" TargetMode="External"/><Relationship Id="rId200" Type="http://schemas.openxmlformats.org/officeDocument/2006/relationships/hyperlink" Target="https://pubs.usgs.gov/publication/ofr5459" TargetMode="External"/><Relationship Id="rId321" Type="http://schemas.openxmlformats.org/officeDocument/2006/relationships/hyperlink" Target="https://pubs.usgs.gov/publication/wsp1619R" TargetMode="External"/><Relationship Id="rId442" Type="http://schemas.openxmlformats.org/officeDocument/2006/relationships/hyperlink" Target="https://pubs.usgs.gov/publication/ofr67230" TargetMode="External"/><Relationship Id="rId320" Type="http://schemas.openxmlformats.org/officeDocument/2006/relationships/hyperlink" Target="https://pubs.usgs.gov/publication/wsp1475K" TargetMode="External"/><Relationship Id="rId441" Type="http://schemas.openxmlformats.org/officeDocument/2006/relationships/hyperlink" Target="https://pubs.usgs.gov/publication/ofr67229" TargetMode="External"/><Relationship Id="rId316" Type="http://schemas.openxmlformats.org/officeDocument/2006/relationships/hyperlink" Target="https://pubs.usgs.gov/publication/ofr61128" TargetMode="External"/><Relationship Id="rId437" Type="http://schemas.openxmlformats.org/officeDocument/2006/relationships/hyperlink" Target="https://pubs.usgs.gov/publication/ofr6720" TargetMode="External"/><Relationship Id="rId315" Type="http://schemas.openxmlformats.org/officeDocument/2006/relationships/hyperlink" Target="https://pubs.usgs.gov/publication/ofr61117" TargetMode="External"/><Relationship Id="rId436" Type="http://schemas.openxmlformats.org/officeDocument/2006/relationships/hyperlink" Target="https://pubs.usgs.gov/publication/ofr6719" TargetMode="External"/><Relationship Id="rId314" Type="http://schemas.openxmlformats.org/officeDocument/2006/relationships/hyperlink" Target="https://pubs.usgs.gov/publication/ofr61116" TargetMode="External"/><Relationship Id="rId435" Type="http://schemas.openxmlformats.org/officeDocument/2006/relationships/hyperlink" Target="https://pubs.usgs.gov/publication/pp562A" TargetMode="External"/><Relationship Id="rId313" Type="http://schemas.openxmlformats.org/officeDocument/2006/relationships/hyperlink" Target="https://pubs.usgs.gov/publication/ofr61108" TargetMode="External"/><Relationship Id="rId434" Type="http://schemas.openxmlformats.org/officeDocument/2006/relationships/hyperlink" Target="https://pubs.usgs.gov/publication/pp579" TargetMode="External"/><Relationship Id="rId319" Type="http://schemas.openxmlformats.org/officeDocument/2006/relationships/hyperlink" Target="https://pubs.usgs.gov/publication/70220599" TargetMode="External"/><Relationship Id="rId318" Type="http://schemas.openxmlformats.org/officeDocument/2006/relationships/hyperlink" Target="https://pubs.usgs.gov/publication/wdrCA611" TargetMode="External"/><Relationship Id="rId439" Type="http://schemas.openxmlformats.org/officeDocument/2006/relationships/hyperlink" Target="https://pubs.usgs.gov/publication/ofr67228" TargetMode="External"/><Relationship Id="rId317" Type="http://schemas.openxmlformats.org/officeDocument/2006/relationships/hyperlink" Target="https://pubs.usgs.gov/publication/70010751" TargetMode="External"/><Relationship Id="rId438" Type="http://schemas.openxmlformats.org/officeDocument/2006/relationships/hyperlink" Target="https://pubs.usgs.gov/publication/ofr6721" TargetMode="External"/><Relationship Id="rId550" Type="http://schemas.openxmlformats.org/officeDocument/2006/relationships/hyperlink" Target="https://pubs.usgs.gov/publication/70211007" TargetMode="External"/><Relationship Id="rId312" Type="http://schemas.openxmlformats.org/officeDocument/2006/relationships/hyperlink" Target="https://pubs.usgs.gov/publication/ofr6148" TargetMode="External"/><Relationship Id="rId433" Type="http://schemas.openxmlformats.org/officeDocument/2006/relationships/hyperlink" Target="https://pubs.usgs.gov/publication/pp422K" TargetMode="External"/><Relationship Id="rId554" Type="http://schemas.openxmlformats.org/officeDocument/2006/relationships/vmlDrawing" Target="../drawings/vmlDrawing1.vml"/><Relationship Id="rId311" Type="http://schemas.openxmlformats.org/officeDocument/2006/relationships/hyperlink" Target="https://pubs.usgs.gov/publication/ofr6147" TargetMode="External"/><Relationship Id="rId432" Type="http://schemas.openxmlformats.org/officeDocument/2006/relationships/hyperlink" Target="https://pubs.usgs.gov/publication/pp549A" TargetMode="External"/><Relationship Id="rId553" Type="http://schemas.openxmlformats.org/officeDocument/2006/relationships/drawing" Target="../drawings/drawing1.xml"/><Relationship Id="rId310" Type="http://schemas.openxmlformats.org/officeDocument/2006/relationships/hyperlink" Target="https://pubs.usgs.gov/publication/ofr6143" TargetMode="External"/><Relationship Id="rId431" Type="http://schemas.openxmlformats.org/officeDocument/2006/relationships/hyperlink" Target="https://pubs.usgs.gov/publication/wsp1686" TargetMode="External"/><Relationship Id="rId552" Type="http://schemas.openxmlformats.org/officeDocument/2006/relationships/hyperlink" Target="https://pubs.usgs.gov/publication/70226580" TargetMode="External"/><Relationship Id="rId430" Type="http://schemas.openxmlformats.org/officeDocument/2006/relationships/hyperlink" Target="https://pubs.usgs.gov/publication/wsp1685" TargetMode="External"/><Relationship Id="rId551" Type="http://schemas.openxmlformats.org/officeDocument/2006/relationships/hyperlink" Target="https://pubs.usgs.gov/publication/70226505"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9.63"/>
    <col customWidth="1" min="5" max="5" width="14.75"/>
    <col customWidth="1" min="7" max="7" width="94.63"/>
    <col customWidth="1" min="8" max="8" width="10.38"/>
    <col customWidth="1" min="9" max="9" width="12.5"/>
    <col customWidth="1" min="10" max="12" width="46.63"/>
    <col customWidth="1" min="13" max="13" width="22.5"/>
    <col customWidth="1" min="14" max="14" width="11.75"/>
    <col customWidth="1" min="15" max="15" width="10.5"/>
    <col customWidth="1" min="16" max="16" width="7.88"/>
    <col customWidth="1" min="17" max="17" width="34.38"/>
    <col customWidth="1" min="18" max="18" width="37.88"/>
    <col customWidth="1" min="19" max="19" width="12.63"/>
    <col customWidth="1" min="20" max="20" width="20.88"/>
    <col customWidth="1" min="21" max="21" width="18.38"/>
    <col customWidth="1" min="22" max="22" width="9.25"/>
    <col customWidth="1" min="23" max="23" width="24.0"/>
    <col customWidth="1" min="24" max="24" width="35.0"/>
    <col customWidth="1" min="25" max="25" width="32.88"/>
    <col customWidth="1" min="26" max="26" width="9.5"/>
    <col customWidth="1" min="27" max="27" width="24.0"/>
    <col customWidth="1" min="28" max="28" width="17.25"/>
    <col customWidth="1" min="29" max="29" width="17.0"/>
    <col customWidth="1" min="30" max="30" width="24.0"/>
    <col customWidth="1" min="31" max="31" width="19.38"/>
    <col customWidth="1" min="32" max="32" width="12.0"/>
    <col customWidth="1" min="33" max="34" width="24.0"/>
    <col customWidth="1" min="35" max="35" width="48.0"/>
    <col customWidth="1" min="36" max="36" width="22.88"/>
    <col customWidth="1" min="37" max="37" width="21.75"/>
    <col customWidth="1" min="38" max="38" width="21.38"/>
  </cols>
  <sheetData>
    <row r="1">
      <c r="A1" s="1" t="s">
        <v>0</v>
      </c>
      <c r="B1" s="1" t="s">
        <v>1</v>
      </c>
      <c r="C1" s="1" t="s">
        <v>2</v>
      </c>
      <c r="D1" s="1" t="s">
        <v>3</v>
      </c>
      <c r="E1" s="1" t="s">
        <v>4</v>
      </c>
      <c r="F1" s="1" t="s">
        <v>5</v>
      </c>
      <c r="G1" s="1" t="s">
        <v>6</v>
      </c>
      <c r="H1" s="1" t="s">
        <v>7</v>
      </c>
      <c r="I1" s="1" t="s">
        <v>8</v>
      </c>
      <c r="J1" s="1" t="s">
        <v>9</v>
      </c>
      <c r="K1" s="1" t="s">
        <v>10</v>
      </c>
      <c r="L1" s="1" t="s">
        <v>11</v>
      </c>
      <c r="M1" s="2" t="s">
        <v>12</v>
      </c>
      <c r="N1" s="2" t="s">
        <v>9</v>
      </c>
      <c r="O1" s="2" t="s">
        <v>13</v>
      </c>
      <c r="P1" s="2" t="s">
        <v>14</v>
      </c>
      <c r="Q1" s="1" t="s">
        <v>15</v>
      </c>
      <c r="R1" s="1" t="s">
        <v>16</v>
      </c>
      <c r="S1" s="2" t="s">
        <v>17</v>
      </c>
      <c r="T1" s="2" t="s">
        <v>18</v>
      </c>
      <c r="U1" s="2" t="s">
        <v>19</v>
      </c>
      <c r="V1" s="2" t="s">
        <v>20</v>
      </c>
      <c r="W1" s="2" t="s">
        <v>21</v>
      </c>
      <c r="X1" s="1" t="s">
        <v>22</v>
      </c>
      <c r="Y1" s="1" t="s">
        <v>23</v>
      </c>
      <c r="Z1" s="2" t="s">
        <v>24</v>
      </c>
      <c r="AA1" s="1" t="s">
        <v>25</v>
      </c>
      <c r="AB1" s="2" t="s">
        <v>26</v>
      </c>
      <c r="AC1" s="2" t="s">
        <v>27</v>
      </c>
      <c r="AD1" s="2" t="s">
        <v>28</v>
      </c>
      <c r="AE1" s="2" t="s">
        <v>29</v>
      </c>
      <c r="AF1" s="2" t="s">
        <v>30</v>
      </c>
      <c r="AG1" s="1" t="s">
        <v>31</v>
      </c>
      <c r="AH1" s="2"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c r="BM1" s="1" t="s">
        <v>63</v>
      </c>
      <c r="BN1" s="1" t="s">
        <v>64</v>
      </c>
      <c r="BO1" s="1" t="s">
        <v>65</v>
      </c>
      <c r="BP1" s="1" t="s">
        <v>66</v>
      </c>
      <c r="BQ1" s="1" t="s">
        <v>67</v>
      </c>
      <c r="BR1" s="1" t="s">
        <v>68</v>
      </c>
      <c r="BS1" s="1" t="s">
        <v>69</v>
      </c>
      <c r="BT1" s="1" t="s">
        <v>70</v>
      </c>
      <c r="BU1" s="1" t="s">
        <v>71</v>
      </c>
      <c r="BV1" s="1" t="s">
        <v>72</v>
      </c>
      <c r="BW1" s="1" t="s">
        <v>73</v>
      </c>
      <c r="BX1" s="1" t="s">
        <v>74</v>
      </c>
      <c r="BY1" s="1" t="s">
        <v>75</v>
      </c>
      <c r="BZ1" s="1" t="s">
        <v>76</v>
      </c>
      <c r="CA1" s="1" t="s">
        <v>77</v>
      </c>
      <c r="CB1" s="1" t="s">
        <v>78</v>
      </c>
      <c r="CC1" s="1" t="s">
        <v>79</v>
      </c>
      <c r="CD1" s="1" t="s">
        <v>80</v>
      </c>
      <c r="CE1" s="1" t="s">
        <v>81</v>
      </c>
      <c r="CF1" s="1" t="s">
        <v>82</v>
      </c>
      <c r="CG1" s="1" t="s">
        <v>83</v>
      </c>
      <c r="CH1" s="1" t="s">
        <v>84</v>
      </c>
      <c r="CI1" s="1" t="s">
        <v>85</v>
      </c>
      <c r="CJ1" s="1" t="s">
        <v>86</v>
      </c>
      <c r="CK1" s="1" t="s">
        <v>87</v>
      </c>
      <c r="CL1" s="1" t="s">
        <v>88</v>
      </c>
      <c r="CM1" s="1" t="s">
        <v>89</v>
      </c>
      <c r="CN1" s="1" t="s">
        <v>90</v>
      </c>
      <c r="CO1" s="3"/>
      <c r="CP1" s="3"/>
    </row>
    <row r="2">
      <c r="A2" s="4" t="s">
        <v>91</v>
      </c>
      <c r="B2" s="5" t="s">
        <v>92</v>
      </c>
      <c r="C2" s="5" t="s">
        <v>93</v>
      </c>
      <c r="D2" s="5" t="s">
        <v>94</v>
      </c>
      <c r="E2" s="5" t="s">
        <v>95</v>
      </c>
      <c r="F2" s="6"/>
      <c r="G2" s="5" t="s">
        <v>96</v>
      </c>
      <c r="H2" s="5" t="s">
        <v>97</v>
      </c>
      <c r="I2" s="5" t="s">
        <v>98</v>
      </c>
      <c r="J2" s="5" t="s">
        <v>99</v>
      </c>
      <c r="K2" s="5" t="s">
        <v>100</v>
      </c>
      <c r="L2" s="5" t="s">
        <v>100</v>
      </c>
      <c r="M2" s="5"/>
      <c r="N2" s="5"/>
      <c r="O2" s="5"/>
      <c r="P2" s="5"/>
      <c r="Q2" s="5" t="s">
        <v>100</v>
      </c>
      <c r="R2" s="5" t="s">
        <v>100</v>
      </c>
      <c r="S2" s="5"/>
      <c r="T2" s="5"/>
      <c r="U2" s="5"/>
      <c r="V2" s="5"/>
      <c r="W2" s="5"/>
      <c r="X2" s="5" t="s">
        <v>100</v>
      </c>
      <c r="Y2" s="5" t="s">
        <v>100</v>
      </c>
      <c r="Z2" s="5"/>
      <c r="AA2" s="5" t="s">
        <v>101</v>
      </c>
      <c r="AB2" s="5"/>
      <c r="AC2" s="5"/>
      <c r="AD2" s="5"/>
      <c r="AE2" s="5"/>
      <c r="AF2" s="5"/>
      <c r="AG2" s="5" t="s">
        <v>100</v>
      </c>
      <c r="AH2" s="5" t="s">
        <v>100</v>
      </c>
      <c r="AI2" s="5"/>
      <c r="AJ2" s="5" t="s">
        <v>102</v>
      </c>
      <c r="AK2" s="5" t="s">
        <v>103</v>
      </c>
      <c r="AL2" s="5" t="s">
        <v>104</v>
      </c>
      <c r="AM2" s="5" t="s">
        <v>105</v>
      </c>
      <c r="AN2" s="5" t="s">
        <v>106</v>
      </c>
      <c r="AO2" s="6"/>
      <c r="AP2" s="6"/>
      <c r="AQ2" s="6"/>
      <c r="AR2" s="6"/>
      <c r="AS2" s="6"/>
      <c r="AT2" s="6"/>
      <c r="AU2" s="5" t="s">
        <v>107</v>
      </c>
      <c r="AV2" s="5" t="s">
        <v>108</v>
      </c>
      <c r="AW2" s="6"/>
      <c r="AX2" s="6"/>
      <c r="AY2" s="5" t="s">
        <v>109</v>
      </c>
      <c r="AZ2" s="5" t="b">
        <v>0</v>
      </c>
      <c r="BA2" s="5" t="s">
        <v>110</v>
      </c>
      <c r="BB2" s="5" t="s">
        <v>111</v>
      </c>
      <c r="BC2" s="6"/>
      <c r="BD2" s="5" t="s">
        <v>112</v>
      </c>
      <c r="BE2" s="5" t="s">
        <v>113</v>
      </c>
      <c r="BF2" s="6"/>
      <c r="BG2" s="6"/>
      <c r="BH2" s="6"/>
      <c r="BI2" s="6"/>
      <c r="BJ2" s="6"/>
      <c r="BK2" s="6"/>
      <c r="BL2" s="6"/>
      <c r="BM2" s="6"/>
      <c r="BN2" s="6"/>
      <c r="BO2" s="6"/>
      <c r="BP2" s="6"/>
      <c r="BQ2" s="6"/>
      <c r="BR2" s="6"/>
      <c r="BS2" s="6"/>
      <c r="BT2" s="6"/>
      <c r="BU2" s="6"/>
      <c r="BV2" s="6"/>
      <c r="BW2" s="6"/>
      <c r="BX2" s="6"/>
      <c r="BY2" s="6"/>
      <c r="BZ2" s="6"/>
      <c r="CA2" s="6"/>
      <c r="CB2" s="5" t="s">
        <v>114</v>
      </c>
      <c r="CC2" s="6"/>
      <c r="CD2" s="6"/>
      <c r="CE2" s="5" t="s">
        <v>115</v>
      </c>
      <c r="CF2" s="5" t="s">
        <v>116</v>
      </c>
      <c r="CG2" s="6"/>
      <c r="CH2" s="6"/>
      <c r="CI2" s="6"/>
      <c r="CJ2" s="6"/>
      <c r="CK2" s="6"/>
      <c r="CL2" s="6"/>
      <c r="CM2" s="6"/>
      <c r="CN2" s="6"/>
      <c r="CO2" s="6"/>
      <c r="CP2" s="6"/>
    </row>
    <row r="3">
      <c r="A3" s="4" t="s">
        <v>117</v>
      </c>
      <c r="B3" s="5" t="s">
        <v>118</v>
      </c>
      <c r="C3" s="5" t="s">
        <v>119</v>
      </c>
      <c r="D3" s="5" t="s">
        <v>94</v>
      </c>
      <c r="E3" s="5" t="s">
        <v>95</v>
      </c>
      <c r="F3" s="6"/>
      <c r="G3" s="5" t="s">
        <v>120</v>
      </c>
      <c r="H3" s="5" t="s">
        <v>97</v>
      </c>
      <c r="I3" s="5" t="s">
        <v>98</v>
      </c>
      <c r="J3" s="5" t="s">
        <v>121</v>
      </c>
      <c r="K3" s="5" t="s">
        <v>100</v>
      </c>
      <c r="L3" s="5" t="s">
        <v>122</v>
      </c>
      <c r="M3" s="5"/>
      <c r="N3" s="5"/>
      <c r="O3" s="5"/>
      <c r="P3" s="5"/>
      <c r="Q3" s="5" t="s">
        <v>100</v>
      </c>
      <c r="R3" s="5" t="s">
        <v>100</v>
      </c>
      <c r="S3" s="5"/>
      <c r="T3" s="5"/>
      <c r="U3" s="5"/>
      <c r="V3" s="5"/>
      <c r="W3" s="5"/>
      <c r="X3" s="5" t="s">
        <v>100</v>
      </c>
      <c r="Y3" s="5" t="s">
        <v>100</v>
      </c>
      <c r="Z3" s="5"/>
      <c r="AA3" s="5" t="s">
        <v>100</v>
      </c>
      <c r="AB3" s="5"/>
      <c r="AC3" s="5"/>
      <c r="AD3" s="5"/>
      <c r="AE3" s="5"/>
      <c r="AF3" s="5"/>
      <c r="AG3" s="5" t="s">
        <v>100</v>
      </c>
      <c r="AH3" s="5" t="s">
        <v>100</v>
      </c>
      <c r="AI3" s="5"/>
      <c r="AJ3" s="5" t="s">
        <v>123</v>
      </c>
      <c r="AK3" s="5" t="s">
        <v>103</v>
      </c>
      <c r="AL3" s="5" t="s">
        <v>124</v>
      </c>
      <c r="AM3" s="5" t="s">
        <v>105</v>
      </c>
      <c r="AN3" s="5" t="s">
        <v>125</v>
      </c>
      <c r="AO3" s="6"/>
      <c r="AP3" s="6"/>
      <c r="AQ3" s="6"/>
      <c r="AR3" s="6"/>
      <c r="AS3" s="6"/>
      <c r="AT3" s="6"/>
      <c r="AU3" s="5" t="s">
        <v>126</v>
      </c>
      <c r="AV3" s="5" t="s">
        <v>108</v>
      </c>
      <c r="AW3" s="6"/>
      <c r="AX3" s="6"/>
      <c r="AY3" s="5" t="s">
        <v>109</v>
      </c>
      <c r="AZ3" s="5" t="b">
        <v>0</v>
      </c>
      <c r="BA3" s="5" t="s">
        <v>110</v>
      </c>
      <c r="BB3" s="5" t="s">
        <v>111</v>
      </c>
      <c r="BC3" s="6"/>
      <c r="BD3" s="6"/>
      <c r="BE3" s="5" t="s">
        <v>127</v>
      </c>
      <c r="BF3" s="6"/>
      <c r="BG3" s="6"/>
      <c r="BH3" s="6"/>
      <c r="BI3" s="6"/>
      <c r="BJ3" s="6"/>
      <c r="BK3" s="6"/>
      <c r="BL3" s="6"/>
      <c r="BM3" s="6"/>
      <c r="BN3" s="6"/>
      <c r="BO3" s="6"/>
      <c r="BP3" s="6"/>
      <c r="BQ3" s="6"/>
      <c r="BR3" s="6"/>
      <c r="BS3" s="6"/>
      <c r="BT3" s="6"/>
      <c r="BU3" s="6"/>
      <c r="BV3" s="6"/>
      <c r="BW3" s="6"/>
      <c r="BX3" s="6"/>
      <c r="BY3" s="6"/>
      <c r="BZ3" s="6"/>
      <c r="CA3" s="6"/>
      <c r="CB3" s="5" t="s">
        <v>114</v>
      </c>
      <c r="CC3" s="6"/>
      <c r="CD3" s="6"/>
      <c r="CE3" s="5" t="s">
        <v>115</v>
      </c>
      <c r="CF3" s="5" t="s">
        <v>128</v>
      </c>
      <c r="CG3" s="6"/>
      <c r="CH3" s="6"/>
      <c r="CI3" s="6"/>
      <c r="CJ3" s="6"/>
      <c r="CK3" s="6"/>
      <c r="CL3" s="6"/>
      <c r="CM3" s="6"/>
      <c r="CN3" s="6"/>
      <c r="CO3" s="6"/>
      <c r="CP3" s="6"/>
    </row>
    <row r="4">
      <c r="A4" s="7" t="s">
        <v>129</v>
      </c>
      <c r="B4" s="8" t="s">
        <v>130</v>
      </c>
      <c r="C4" s="8" t="s">
        <v>131</v>
      </c>
      <c r="D4" s="8" t="s">
        <v>94</v>
      </c>
      <c r="E4" s="8" t="s">
        <v>95</v>
      </c>
      <c r="F4" s="9"/>
      <c r="G4" s="8" t="s">
        <v>132</v>
      </c>
      <c r="H4" s="8"/>
      <c r="I4" s="8"/>
      <c r="J4" s="8"/>
      <c r="K4" s="8"/>
      <c r="L4" s="8"/>
      <c r="M4" s="8"/>
      <c r="N4" s="8"/>
      <c r="O4" s="8"/>
      <c r="P4" s="8"/>
      <c r="Q4" s="8"/>
      <c r="R4" s="8"/>
      <c r="S4" s="8"/>
      <c r="T4" s="8"/>
      <c r="U4" s="8"/>
      <c r="V4" s="8"/>
      <c r="W4" s="8"/>
      <c r="X4" s="8"/>
      <c r="Y4" s="8"/>
      <c r="Z4" s="8"/>
      <c r="AA4" s="8"/>
      <c r="AB4" s="8"/>
      <c r="AC4" s="8"/>
      <c r="AD4" s="8"/>
      <c r="AE4" s="8"/>
      <c r="AF4" s="8"/>
      <c r="AG4" s="8"/>
      <c r="AH4" s="8"/>
      <c r="AI4" s="8"/>
      <c r="AJ4" s="8" t="str">
        <f>CONCATENATE(J4,K4,L4,Q4,R4,X4,Y4,AA4,AG4)</f>
        <v/>
      </c>
      <c r="AK4" s="8"/>
      <c r="AL4" s="8"/>
      <c r="AM4" s="8" t="s">
        <v>133</v>
      </c>
      <c r="AN4" s="8" t="s">
        <v>134</v>
      </c>
      <c r="AO4" s="9"/>
      <c r="AP4" s="9"/>
      <c r="AQ4" s="9"/>
      <c r="AR4" s="9"/>
      <c r="AS4" s="9"/>
      <c r="AT4" s="9"/>
      <c r="AU4" s="8" t="s">
        <v>135</v>
      </c>
      <c r="AV4" s="8" t="s">
        <v>108</v>
      </c>
      <c r="AW4" s="9"/>
      <c r="AX4" s="9"/>
      <c r="AY4" s="8" t="s">
        <v>109</v>
      </c>
      <c r="AZ4" s="8" t="b">
        <v>0</v>
      </c>
      <c r="BA4" s="8" t="s">
        <v>110</v>
      </c>
      <c r="BB4" s="8" t="s">
        <v>111</v>
      </c>
      <c r="BC4" s="9"/>
      <c r="BD4" s="9"/>
      <c r="BE4" s="8" t="s">
        <v>136</v>
      </c>
      <c r="BF4" s="9"/>
      <c r="BG4" s="9"/>
      <c r="BH4" s="9"/>
      <c r="BI4" s="9"/>
      <c r="BJ4" s="9"/>
      <c r="BK4" s="9"/>
      <c r="BL4" s="9"/>
      <c r="BM4" s="9"/>
      <c r="BN4" s="9"/>
      <c r="BO4" s="9"/>
      <c r="BP4" s="9"/>
      <c r="BQ4" s="9"/>
      <c r="BR4" s="9"/>
      <c r="BS4" s="9"/>
      <c r="BT4" s="9"/>
      <c r="BU4" s="9"/>
      <c r="BV4" s="9"/>
      <c r="BW4" s="9"/>
      <c r="BX4" s="9"/>
      <c r="BY4" s="9"/>
      <c r="BZ4" s="9"/>
      <c r="CA4" s="9"/>
      <c r="CB4" s="8" t="s">
        <v>137</v>
      </c>
      <c r="CC4" s="9"/>
      <c r="CD4" s="9"/>
      <c r="CE4" s="8" t="s">
        <v>115</v>
      </c>
      <c r="CF4" s="8" t="s">
        <v>138</v>
      </c>
      <c r="CG4" s="9"/>
      <c r="CH4" s="9"/>
      <c r="CI4" s="9"/>
      <c r="CJ4" s="9"/>
      <c r="CK4" s="9"/>
      <c r="CL4" s="9"/>
      <c r="CM4" s="9"/>
      <c r="CN4" s="9"/>
      <c r="CO4" s="9"/>
      <c r="CP4" s="9"/>
    </row>
    <row r="5">
      <c r="A5" s="4" t="s">
        <v>139</v>
      </c>
      <c r="B5" s="5" t="s">
        <v>140</v>
      </c>
      <c r="C5" s="5" t="s">
        <v>141</v>
      </c>
      <c r="D5" s="5" t="s">
        <v>94</v>
      </c>
      <c r="E5" s="5" t="s">
        <v>95</v>
      </c>
      <c r="F5" s="6"/>
      <c r="G5" s="5" t="s">
        <v>142</v>
      </c>
      <c r="H5" s="5" t="s">
        <v>97</v>
      </c>
      <c r="I5" s="5" t="s">
        <v>98</v>
      </c>
      <c r="J5" s="5" t="s">
        <v>143</v>
      </c>
      <c r="K5" s="5" t="s">
        <v>100</v>
      </c>
      <c r="L5" s="5" t="s">
        <v>100</v>
      </c>
      <c r="M5" s="5"/>
      <c r="N5" s="5"/>
      <c r="O5" s="5"/>
      <c r="P5" s="5"/>
      <c r="Q5" s="5" t="s">
        <v>100</v>
      </c>
      <c r="R5" s="5" t="s">
        <v>100</v>
      </c>
      <c r="S5" s="5"/>
      <c r="T5" s="5"/>
      <c r="U5" s="5"/>
      <c r="V5" s="5"/>
      <c r="W5" s="5"/>
      <c r="X5" s="5" t="s">
        <v>100</v>
      </c>
      <c r="Y5" s="5" t="s">
        <v>100</v>
      </c>
      <c r="Z5" s="5"/>
      <c r="AA5" s="5" t="s">
        <v>100</v>
      </c>
      <c r="AB5" s="5"/>
      <c r="AC5" s="5"/>
      <c r="AD5" s="5"/>
      <c r="AE5" s="5"/>
      <c r="AF5" s="5"/>
      <c r="AG5" s="5" t="s">
        <v>100</v>
      </c>
      <c r="AH5" s="5" t="s">
        <v>100</v>
      </c>
      <c r="AI5" s="5"/>
      <c r="AJ5" s="10" t="s">
        <v>143</v>
      </c>
      <c r="AK5" s="5" t="s">
        <v>103</v>
      </c>
      <c r="AL5" s="5" t="s">
        <v>103</v>
      </c>
      <c r="AM5" s="5" t="s">
        <v>105</v>
      </c>
      <c r="AN5" s="5" t="s">
        <v>144</v>
      </c>
      <c r="AO5" s="6"/>
      <c r="AP5" s="6"/>
      <c r="AQ5" s="6"/>
      <c r="AR5" s="6"/>
      <c r="AS5" s="6"/>
      <c r="AT5" s="6"/>
      <c r="AU5" s="5" t="s">
        <v>145</v>
      </c>
      <c r="AV5" s="5" t="s">
        <v>108</v>
      </c>
      <c r="AW5" s="6"/>
      <c r="AX5" s="6"/>
      <c r="AY5" s="5" t="s">
        <v>146</v>
      </c>
      <c r="AZ5" s="5" t="b">
        <v>0</v>
      </c>
      <c r="BA5" s="5" t="s">
        <v>110</v>
      </c>
      <c r="BB5" s="5" t="s">
        <v>111</v>
      </c>
      <c r="BC5" s="6"/>
      <c r="BD5" s="6"/>
      <c r="BE5" s="5" t="s">
        <v>147</v>
      </c>
      <c r="BF5" s="6"/>
      <c r="BG5" s="6"/>
      <c r="BH5" s="6"/>
      <c r="BI5" s="6"/>
      <c r="BJ5" s="6"/>
      <c r="BK5" s="6"/>
      <c r="BL5" s="6"/>
      <c r="BM5" s="6"/>
      <c r="BN5" s="6"/>
      <c r="BO5" s="6"/>
      <c r="BP5" s="6"/>
      <c r="BQ5" s="6"/>
      <c r="BR5" s="6"/>
      <c r="BS5" s="6"/>
      <c r="BT5" s="6"/>
      <c r="BU5" s="6"/>
      <c r="BV5" s="6"/>
      <c r="BW5" s="6"/>
      <c r="BX5" s="6"/>
      <c r="BY5" s="6"/>
      <c r="BZ5" s="6"/>
      <c r="CA5" s="6"/>
      <c r="CB5" s="5" t="s">
        <v>114</v>
      </c>
      <c r="CC5" s="6"/>
      <c r="CD5" s="6"/>
      <c r="CE5" s="5" t="s">
        <v>115</v>
      </c>
      <c r="CF5" s="5" t="s">
        <v>148</v>
      </c>
      <c r="CG5" s="6"/>
      <c r="CH5" s="6"/>
      <c r="CI5" s="6"/>
      <c r="CJ5" s="6"/>
      <c r="CK5" s="6"/>
      <c r="CL5" s="6"/>
      <c r="CM5" s="6"/>
      <c r="CN5" s="6"/>
      <c r="CO5" s="6"/>
      <c r="CP5" s="6"/>
    </row>
    <row r="6">
      <c r="A6" s="4" t="s">
        <v>149</v>
      </c>
      <c r="B6" s="5" t="s">
        <v>150</v>
      </c>
      <c r="C6" s="5" t="s">
        <v>151</v>
      </c>
      <c r="D6" s="5" t="s">
        <v>94</v>
      </c>
      <c r="E6" s="5" t="s">
        <v>95</v>
      </c>
      <c r="F6" s="6"/>
      <c r="G6" s="5" t="s">
        <v>152</v>
      </c>
      <c r="H6" s="5" t="s">
        <v>97</v>
      </c>
      <c r="I6" s="5" t="s">
        <v>98</v>
      </c>
      <c r="J6" s="5"/>
      <c r="K6" s="5"/>
      <c r="L6" s="5"/>
      <c r="M6" s="5" t="s">
        <v>153</v>
      </c>
      <c r="N6" s="5" t="s">
        <v>154</v>
      </c>
      <c r="O6" s="5" t="s">
        <v>100</v>
      </c>
      <c r="P6" s="5" t="s">
        <v>100</v>
      </c>
      <c r="Q6" s="5"/>
      <c r="R6" s="5"/>
      <c r="S6" s="5" t="s">
        <v>100</v>
      </c>
      <c r="T6" s="5" t="s">
        <v>155</v>
      </c>
      <c r="U6" s="5" t="s">
        <v>156</v>
      </c>
      <c r="V6" s="5" t="s">
        <v>100</v>
      </c>
      <c r="W6" s="5"/>
      <c r="X6" s="5" t="s">
        <v>157</v>
      </c>
      <c r="Y6" s="5" t="s">
        <v>100</v>
      </c>
      <c r="Z6" s="5" t="s">
        <v>100</v>
      </c>
      <c r="AA6" s="5"/>
      <c r="AB6" s="5" t="s">
        <v>100</v>
      </c>
      <c r="AC6" s="5" t="s">
        <v>158</v>
      </c>
      <c r="AD6" s="5" t="s">
        <v>100</v>
      </c>
      <c r="AE6" s="5" t="s">
        <v>158</v>
      </c>
      <c r="AF6" s="5" t="s">
        <v>100</v>
      </c>
      <c r="AG6" s="5" t="s">
        <v>100</v>
      </c>
      <c r="AH6" s="5" t="s">
        <v>100</v>
      </c>
      <c r="AI6" s="5" t="s">
        <v>159</v>
      </c>
      <c r="AJ6" s="5" t="s">
        <v>160</v>
      </c>
      <c r="AK6" s="5" t="s">
        <v>103</v>
      </c>
      <c r="AL6" s="5" t="s">
        <v>103</v>
      </c>
      <c r="AM6" s="5" t="s">
        <v>105</v>
      </c>
      <c r="AN6" s="5" t="s">
        <v>161</v>
      </c>
      <c r="AO6" s="6"/>
      <c r="AP6" s="6"/>
      <c r="AQ6" s="6"/>
      <c r="AR6" s="6"/>
      <c r="AS6" s="6"/>
      <c r="AT6" s="6"/>
      <c r="AU6" s="5" t="s">
        <v>162</v>
      </c>
      <c r="AV6" s="5" t="s">
        <v>108</v>
      </c>
      <c r="AW6" s="6"/>
      <c r="AX6" s="6"/>
      <c r="AY6" s="5" t="s">
        <v>163</v>
      </c>
      <c r="AZ6" s="5" t="b">
        <v>0</v>
      </c>
      <c r="BA6" s="5" t="s">
        <v>110</v>
      </c>
      <c r="BB6" s="5" t="s">
        <v>164</v>
      </c>
      <c r="BC6" s="6"/>
      <c r="BD6" s="6"/>
      <c r="BE6" s="5" t="s">
        <v>165</v>
      </c>
      <c r="BF6" s="6"/>
      <c r="BG6" s="6"/>
      <c r="BH6" s="6"/>
      <c r="BI6" s="6"/>
      <c r="BJ6" s="6"/>
      <c r="BK6" s="6"/>
      <c r="BL6" s="6"/>
      <c r="BM6" s="6"/>
      <c r="BN6" s="6"/>
      <c r="BO6" s="6"/>
      <c r="BP6" s="6"/>
      <c r="BQ6" s="6"/>
      <c r="BR6" s="6"/>
      <c r="BS6" s="6"/>
      <c r="BT6" s="6"/>
      <c r="BU6" s="6"/>
      <c r="BV6" s="6"/>
      <c r="BW6" s="6"/>
      <c r="BX6" s="6"/>
      <c r="BY6" s="6"/>
      <c r="BZ6" s="6"/>
      <c r="CA6" s="6"/>
      <c r="CB6" s="5" t="s">
        <v>166</v>
      </c>
      <c r="CC6" s="6"/>
      <c r="CD6" s="6"/>
      <c r="CE6" s="5" t="s">
        <v>115</v>
      </c>
      <c r="CF6" s="5" t="s">
        <v>167</v>
      </c>
      <c r="CG6" s="6"/>
      <c r="CH6" s="6"/>
      <c r="CI6" s="6"/>
      <c r="CJ6" s="6"/>
      <c r="CK6" s="6"/>
      <c r="CL6" s="6"/>
      <c r="CM6" s="6"/>
      <c r="CN6" s="6"/>
      <c r="CO6" s="6"/>
      <c r="CP6" s="6"/>
    </row>
    <row r="7">
      <c r="A7" s="7" t="s">
        <v>168</v>
      </c>
      <c r="B7" s="8" t="s">
        <v>169</v>
      </c>
      <c r="C7" s="8" t="s">
        <v>170</v>
      </c>
      <c r="D7" s="8" t="s">
        <v>94</v>
      </c>
      <c r="E7" s="8" t="s">
        <v>95</v>
      </c>
      <c r="F7" s="9"/>
      <c r="G7" s="8" t="s">
        <v>171</v>
      </c>
      <c r="H7" s="8"/>
      <c r="I7" s="8"/>
      <c r="J7" s="8"/>
      <c r="K7" s="8"/>
      <c r="L7" s="8"/>
      <c r="M7" s="8"/>
      <c r="N7" s="8"/>
      <c r="O7" s="8"/>
      <c r="P7" s="8"/>
      <c r="Q7" s="8"/>
      <c r="R7" s="8"/>
      <c r="S7" s="8"/>
      <c r="T7" s="8"/>
      <c r="U7" s="8"/>
      <c r="V7" s="8"/>
      <c r="W7" s="8"/>
      <c r="X7" s="8"/>
      <c r="Y7" s="8"/>
      <c r="Z7" s="8"/>
      <c r="AA7" s="8"/>
      <c r="AB7" s="8"/>
      <c r="AC7" s="8"/>
      <c r="AD7" s="8"/>
      <c r="AE7" s="8"/>
      <c r="AF7" s="8"/>
      <c r="AG7" s="8"/>
      <c r="AH7" s="8"/>
      <c r="AI7" s="8"/>
      <c r="AJ7" s="8" t="str">
        <f t="shared" ref="AJ7:AJ8" si="1">CONCATENATE(J7,K7,L7,Q7,R7,X7,Y7,AA7,AG7)</f>
        <v/>
      </c>
      <c r="AK7" s="8"/>
      <c r="AL7" s="8"/>
      <c r="AM7" s="8" t="s">
        <v>105</v>
      </c>
      <c r="AN7" s="8" t="s">
        <v>172</v>
      </c>
      <c r="AO7" s="9"/>
      <c r="AP7" s="9"/>
      <c r="AQ7" s="9"/>
      <c r="AR7" s="9"/>
      <c r="AS7" s="9"/>
      <c r="AT7" s="9"/>
      <c r="AU7" s="8" t="s">
        <v>173</v>
      </c>
      <c r="AV7" s="8" t="s">
        <v>108</v>
      </c>
      <c r="AW7" s="9"/>
      <c r="AX7" s="9"/>
      <c r="AY7" s="8" t="s">
        <v>163</v>
      </c>
      <c r="AZ7" s="8" t="b">
        <v>0</v>
      </c>
      <c r="BA7" s="8" t="s">
        <v>110</v>
      </c>
      <c r="BB7" s="8" t="s">
        <v>164</v>
      </c>
      <c r="BC7" s="9"/>
      <c r="BD7" s="9"/>
      <c r="BE7" s="8" t="s">
        <v>174</v>
      </c>
      <c r="BF7" s="9"/>
      <c r="BG7" s="9"/>
      <c r="BH7" s="9"/>
      <c r="BI7" s="9"/>
      <c r="BJ7" s="9"/>
      <c r="BK7" s="9"/>
      <c r="BL7" s="9"/>
      <c r="BM7" s="9"/>
      <c r="BN7" s="9"/>
      <c r="BO7" s="9"/>
      <c r="BP7" s="9"/>
      <c r="BQ7" s="9"/>
      <c r="BR7" s="9"/>
      <c r="BS7" s="9"/>
      <c r="BT7" s="9"/>
      <c r="BU7" s="9"/>
      <c r="BV7" s="9"/>
      <c r="BW7" s="9"/>
      <c r="BX7" s="9"/>
      <c r="BY7" s="9"/>
      <c r="BZ7" s="9"/>
      <c r="CA7" s="9"/>
      <c r="CB7" s="8" t="s">
        <v>175</v>
      </c>
      <c r="CC7" s="9"/>
      <c r="CD7" s="9"/>
      <c r="CE7" s="8" t="s">
        <v>115</v>
      </c>
      <c r="CF7" s="8" t="s">
        <v>176</v>
      </c>
      <c r="CG7" s="9"/>
      <c r="CH7" s="9"/>
      <c r="CI7" s="9"/>
      <c r="CJ7" s="9"/>
      <c r="CK7" s="9"/>
      <c r="CL7" s="9"/>
      <c r="CM7" s="9"/>
      <c r="CN7" s="9"/>
      <c r="CO7" s="9"/>
      <c r="CP7" s="9"/>
    </row>
    <row r="8">
      <c r="A8" s="4" t="s">
        <v>177</v>
      </c>
      <c r="B8" s="5" t="s">
        <v>178</v>
      </c>
      <c r="C8" s="5" t="s">
        <v>179</v>
      </c>
      <c r="D8" s="5" t="s">
        <v>94</v>
      </c>
      <c r="E8" s="5" t="s">
        <v>95</v>
      </c>
      <c r="F8" s="6"/>
      <c r="G8" s="5" t="s">
        <v>180</v>
      </c>
      <c r="H8" s="5" t="s">
        <v>97</v>
      </c>
      <c r="I8" s="5" t="s">
        <v>98</v>
      </c>
      <c r="J8" s="5" t="s">
        <v>181</v>
      </c>
      <c r="K8" s="5"/>
      <c r="L8" s="5" t="s">
        <v>182</v>
      </c>
      <c r="M8" s="5"/>
      <c r="N8" s="5"/>
      <c r="O8" s="5"/>
      <c r="P8" s="5"/>
      <c r="Q8" s="5"/>
      <c r="R8" s="5" t="s">
        <v>183</v>
      </c>
      <c r="S8" s="5"/>
      <c r="T8" s="5"/>
      <c r="U8" s="5"/>
      <c r="V8" s="5"/>
      <c r="W8" s="5"/>
      <c r="X8" s="5" t="s">
        <v>184</v>
      </c>
      <c r="Y8" s="5" t="s">
        <v>185</v>
      </c>
      <c r="Z8" s="5"/>
      <c r="AA8" s="5" t="s">
        <v>186</v>
      </c>
      <c r="AB8" s="5"/>
      <c r="AC8" s="5"/>
      <c r="AD8" s="5"/>
      <c r="AE8" s="5"/>
      <c r="AF8" s="5"/>
      <c r="AG8" s="5"/>
      <c r="AH8" s="5"/>
      <c r="AI8" s="5"/>
      <c r="AJ8" s="5" t="str">
        <f t="shared" si="1"/>
        <v>52, 53, 54, 55, 56, 57, 62, 63, 64, 100, 28, 31, 40, 41, 53, 55, 56, 64, 79, 81, 82, 85, 87, 88, 92, 93, 97, 98, 26, 85, 87, 88, 89, 92, 93, 16, 17, 26, 100, </v>
      </c>
      <c r="AK8" s="5" t="s">
        <v>103</v>
      </c>
      <c r="AL8" s="5" t="s">
        <v>103</v>
      </c>
      <c r="AM8" s="5" t="s">
        <v>105</v>
      </c>
      <c r="AN8" s="5" t="s">
        <v>187</v>
      </c>
      <c r="AO8" s="6"/>
      <c r="AP8" s="6"/>
      <c r="AQ8" s="6"/>
      <c r="AR8" s="6"/>
      <c r="AS8" s="6"/>
      <c r="AT8" s="6"/>
      <c r="AU8" s="5" t="s">
        <v>188</v>
      </c>
      <c r="AV8" s="6"/>
      <c r="AW8" s="6"/>
      <c r="AX8" s="6"/>
      <c r="AY8" s="5" t="s">
        <v>189</v>
      </c>
      <c r="AZ8" s="5" t="b">
        <v>0</v>
      </c>
      <c r="BA8" s="5" t="s">
        <v>190</v>
      </c>
      <c r="BB8" s="5" t="s">
        <v>191</v>
      </c>
      <c r="BC8" s="6"/>
      <c r="BD8" s="6"/>
      <c r="BE8" s="5" t="s">
        <v>192</v>
      </c>
      <c r="BF8" s="6"/>
      <c r="BG8" s="6"/>
      <c r="BH8" s="6"/>
      <c r="BI8" s="6"/>
      <c r="BJ8" s="6"/>
      <c r="BK8" s="6"/>
      <c r="BL8" s="6"/>
      <c r="BM8" s="6"/>
      <c r="BN8" s="6"/>
      <c r="BO8" s="6"/>
      <c r="BP8" s="6"/>
      <c r="BQ8" s="6"/>
      <c r="BR8" s="5" t="s">
        <v>193</v>
      </c>
      <c r="BS8" s="5" t="s">
        <v>194</v>
      </c>
      <c r="BT8" s="6"/>
      <c r="BU8" s="5" t="s">
        <v>195</v>
      </c>
      <c r="BV8" s="6"/>
      <c r="BW8" s="6"/>
      <c r="BX8" s="6"/>
      <c r="BY8" s="6"/>
      <c r="BZ8" s="6"/>
      <c r="CA8" s="6"/>
      <c r="CB8" s="5" t="s">
        <v>196</v>
      </c>
      <c r="CC8" s="6"/>
      <c r="CD8" s="6"/>
      <c r="CE8" s="5" t="s">
        <v>197</v>
      </c>
      <c r="CF8" s="5" t="s">
        <v>198</v>
      </c>
      <c r="CG8" s="6"/>
      <c r="CH8" s="6"/>
      <c r="CI8" s="6"/>
      <c r="CJ8" s="6"/>
      <c r="CK8" s="6"/>
      <c r="CL8" s="6"/>
      <c r="CM8" s="6"/>
      <c r="CN8" s="6"/>
      <c r="CO8" s="6"/>
      <c r="CP8" s="6"/>
    </row>
    <row r="9">
      <c r="A9" s="4" t="s">
        <v>199</v>
      </c>
      <c r="B9" s="5" t="s">
        <v>200</v>
      </c>
      <c r="C9" s="5" t="s">
        <v>201</v>
      </c>
      <c r="D9" s="5" t="s">
        <v>94</v>
      </c>
      <c r="E9" s="5" t="s">
        <v>95</v>
      </c>
      <c r="F9" s="6"/>
      <c r="G9" s="5" t="s">
        <v>202</v>
      </c>
      <c r="H9" s="5" t="s">
        <v>97</v>
      </c>
      <c r="I9" s="5" t="s">
        <v>98</v>
      </c>
      <c r="J9" s="11"/>
      <c r="K9" s="5"/>
      <c r="L9" s="5" t="s">
        <v>203</v>
      </c>
      <c r="M9" s="5"/>
      <c r="N9" s="5"/>
      <c r="O9" s="5"/>
      <c r="P9" s="5"/>
      <c r="Q9" s="5" t="s">
        <v>204</v>
      </c>
      <c r="R9" s="5" t="s">
        <v>205</v>
      </c>
      <c r="S9" s="5"/>
      <c r="T9" s="5"/>
      <c r="U9" s="5"/>
      <c r="V9" s="5"/>
      <c r="W9" s="5"/>
      <c r="X9" s="5" t="s">
        <v>206</v>
      </c>
      <c r="Y9" s="5" t="s">
        <v>207</v>
      </c>
      <c r="Z9" s="5"/>
      <c r="AA9" s="5" t="s">
        <v>207</v>
      </c>
      <c r="AB9" s="5"/>
      <c r="AC9" s="5"/>
      <c r="AD9" s="5"/>
      <c r="AE9" s="5"/>
      <c r="AF9" s="5"/>
      <c r="AG9" s="5"/>
      <c r="AH9" s="5"/>
      <c r="AI9" s="5" t="s">
        <v>208</v>
      </c>
      <c r="AJ9" s="5" t="str">
        <f>CONCATENATE(J10,K9,L9,Q9,R9,X9,Y9,AA9,AG9, "30")</f>
        <v>106, 131, 41, 46, 55, 56, 101, 103, 81, 83, 85, 87, 89, 91, 95, 97, 21, 23, 100, 102, 104, 82, 84, 86, 88, 90, 92, 94, 96, 98, 100, 102, 104, 82, 84, 86, 88, 90, 92, 94, 96, 98, 30</v>
      </c>
      <c r="AK9" s="5" t="s">
        <v>103</v>
      </c>
      <c r="AL9" s="5" t="s">
        <v>104</v>
      </c>
      <c r="AM9" s="5" t="s">
        <v>105</v>
      </c>
      <c r="AN9" s="5" t="s">
        <v>209</v>
      </c>
      <c r="AO9" s="6"/>
      <c r="AP9" s="6"/>
      <c r="AQ9" s="6"/>
      <c r="AR9" s="6"/>
      <c r="AS9" s="6"/>
      <c r="AT9" s="6"/>
      <c r="AU9" s="5" t="s">
        <v>210</v>
      </c>
      <c r="AV9" s="5" t="s">
        <v>108</v>
      </c>
      <c r="AW9" s="6"/>
      <c r="AX9" s="6"/>
      <c r="AY9" s="5" t="s">
        <v>189</v>
      </c>
      <c r="AZ9" s="5" t="b">
        <v>0</v>
      </c>
      <c r="BA9" s="5" t="s">
        <v>110</v>
      </c>
      <c r="BB9" s="5" t="s">
        <v>111</v>
      </c>
      <c r="BC9" s="6"/>
      <c r="BD9" s="6"/>
      <c r="BE9" s="5" t="s">
        <v>211</v>
      </c>
      <c r="BF9" s="6"/>
      <c r="BG9" s="6"/>
      <c r="BH9" s="6"/>
      <c r="BI9" s="6"/>
      <c r="BJ9" s="6"/>
      <c r="BK9" s="6"/>
      <c r="BL9" s="6"/>
      <c r="BM9" s="6"/>
      <c r="BN9" s="6"/>
      <c r="BO9" s="6"/>
      <c r="BP9" s="6"/>
      <c r="BQ9" s="6"/>
      <c r="BR9" s="6"/>
      <c r="BS9" s="6"/>
      <c r="BT9" s="6"/>
      <c r="BU9" s="6"/>
      <c r="BV9" s="6"/>
      <c r="BW9" s="6"/>
      <c r="BX9" s="6"/>
      <c r="BY9" s="6"/>
      <c r="BZ9" s="6"/>
      <c r="CA9" s="6"/>
      <c r="CB9" s="5" t="s">
        <v>196</v>
      </c>
      <c r="CC9" s="6"/>
      <c r="CD9" s="6"/>
      <c r="CE9" s="5" t="s">
        <v>115</v>
      </c>
      <c r="CF9" s="5" t="s">
        <v>212</v>
      </c>
      <c r="CG9" s="6"/>
      <c r="CH9" s="6"/>
      <c r="CI9" s="6"/>
      <c r="CJ9" s="6"/>
      <c r="CK9" s="6"/>
      <c r="CL9" s="6"/>
      <c r="CM9" s="6"/>
      <c r="CN9" s="6"/>
      <c r="CO9" s="6"/>
      <c r="CP9" s="6"/>
    </row>
    <row r="10">
      <c r="A10" s="7" t="s">
        <v>213</v>
      </c>
      <c r="B10" s="8" t="s">
        <v>214</v>
      </c>
      <c r="C10" s="8" t="s">
        <v>215</v>
      </c>
      <c r="D10" s="8" t="s">
        <v>94</v>
      </c>
      <c r="E10" s="8" t="s">
        <v>95</v>
      </c>
      <c r="F10" s="9"/>
      <c r="G10" s="8" t="s">
        <v>216</v>
      </c>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t="str">
        <f t="shared" ref="AJ10:AJ11" si="2">CONCATENATE(J10,K10,L10,Q10,R10,X10,Y10,AA10,AG10)</f>
        <v/>
      </c>
      <c r="AK10" s="8"/>
      <c r="AL10" s="8"/>
      <c r="AM10" s="8" t="s">
        <v>105</v>
      </c>
      <c r="AN10" s="8" t="s">
        <v>217</v>
      </c>
      <c r="AO10" s="9"/>
      <c r="AP10" s="9"/>
      <c r="AQ10" s="9"/>
      <c r="AR10" s="9"/>
      <c r="AS10" s="9"/>
      <c r="AT10" s="9"/>
      <c r="AU10" s="8" t="s">
        <v>218</v>
      </c>
      <c r="AV10" s="8" t="s">
        <v>108</v>
      </c>
      <c r="AW10" s="9"/>
      <c r="AX10" s="9"/>
      <c r="AY10" s="8" t="s">
        <v>189</v>
      </c>
      <c r="AZ10" s="8" t="b">
        <v>0</v>
      </c>
      <c r="BA10" s="8" t="s">
        <v>110</v>
      </c>
      <c r="BB10" s="8" t="s">
        <v>111</v>
      </c>
      <c r="BC10" s="9"/>
      <c r="BD10" s="9"/>
      <c r="BE10" s="8" t="s">
        <v>219</v>
      </c>
      <c r="BF10" s="9"/>
      <c r="BG10" s="9"/>
      <c r="BH10" s="9"/>
      <c r="BI10" s="9"/>
      <c r="BJ10" s="9"/>
      <c r="BK10" s="9"/>
      <c r="BL10" s="9"/>
      <c r="BM10" s="9"/>
      <c r="BN10" s="9"/>
      <c r="BO10" s="9"/>
      <c r="BP10" s="9"/>
      <c r="BQ10" s="9"/>
      <c r="BR10" s="9"/>
      <c r="BS10" s="9"/>
      <c r="BT10" s="9"/>
      <c r="BU10" s="9"/>
      <c r="BV10" s="9"/>
      <c r="BW10" s="9"/>
      <c r="BX10" s="9"/>
      <c r="BY10" s="9"/>
      <c r="BZ10" s="9"/>
      <c r="CA10" s="9"/>
      <c r="CB10" s="8" t="s">
        <v>220</v>
      </c>
      <c r="CC10" s="9"/>
      <c r="CD10" s="9"/>
      <c r="CE10" s="8" t="s">
        <v>115</v>
      </c>
      <c r="CF10" s="8" t="s">
        <v>221</v>
      </c>
      <c r="CG10" s="9"/>
      <c r="CH10" s="9"/>
      <c r="CI10" s="9"/>
      <c r="CJ10" s="9"/>
      <c r="CK10" s="9"/>
      <c r="CL10" s="9"/>
      <c r="CM10" s="9"/>
      <c r="CN10" s="9"/>
      <c r="CO10" s="9"/>
      <c r="CP10" s="9"/>
    </row>
    <row r="11">
      <c r="A11" s="7" t="s">
        <v>222</v>
      </c>
      <c r="B11" s="8" t="s">
        <v>223</v>
      </c>
      <c r="C11" s="8" t="s">
        <v>224</v>
      </c>
      <c r="D11" s="8" t="s">
        <v>94</v>
      </c>
      <c r="E11" s="8" t="s">
        <v>95</v>
      </c>
      <c r="F11" s="9"/>
      <c r="G11" s="8" t="s">
        <v>225</v>
      </c>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t="str">
        <f t="shared" si="2"/>
        <v/>
      </c>
      <c r="AK11" s="8"/>
      <c r="AL11" s="8"/>
      <c r="AM11" s="8" t="s">
        <v>105</v>
      </c>
      <c r="AN11" s="8" t="s">
        <v>226</v>
      </c>
      <c r="AO11" s="9"/>
      <c r="AP11" s="9"/>
      <c r="AQ11" s="9"/>
      <c r="AR11" s="9"/>
      <c r="AS11" s="9"/>
      <c r="AT11" s="9"/>
      <c r="AU11" s="8" t="s">
        <v>227</v>
      </c>
      <c r="AV11" s="8" t="s">
        <v>108</v>
      </c>
      <c r="AW11" s="9"/>
      <c r="AX11" s="9"/>
      <c r="AY11" s="8" t="s">
        <v>189</v>
      </c>
      <c r="AZ11" s="8" t="b">
        <v>0</v>
      </c>
      <c r="BA11" s="8" t="s">
        <v>110</v>
      </c>
      <c r="BB11" s="8" t="s">
        <v>111</v>
      </c>
      <c r="BC11" s="9"/>
      <c r="BD11" s="9"/>
      <c r="BE11" s="8" t="s">
        <v>228</v>
      </c>
      <c r="BF11" s="9"/>
      <c r="BG11" s="9"/>
      <c r="BH11" s="9"/>
      <c r="BI11" s="9"/>
      <c r="BJ11" s="9"/>
      <c r="BK11" s="9"/>
      <c r="BL11" s="9"/>
      <c r="BM11" s="9"/>
      <c r="BN11" s="9"/>
      <c r="BO11" s="9"/>
      <c r="BP11" s="9"/>
      <c r="BQ11" s="9"/>
      <c r="BR11" s="9"/>
      <c r="BS11" s="9"/>
      <c r="BT11" s="9"/>
      <c r="BU11" s="9"/>
      <c r="BV11" s="9"/>
      <c r="BW11" s="9"/>
      <c r="BX11" s="9"/>
      <c r="BY11" s="9"/>
      <c r="BZ11" s="9"/>
      <c r="CA11" s="9"/>
      <c r="CB11" s="8" t="s">
        <v>196</v>
      </c>
      <c r="CC11" s="9"/>
      <c r="CD11" s="9"/>
      <c r="CE11" s="8" t="s">
        <v>115</v>
      </c>
      <c r="CF11" s="8" t="s">
        <v>229</v>
      </c>
      <c r="CG11" s="9"/>
      <c r="CH11" s="9"/>
      <c r="CI11" s="9"/>
      <c r="CJ11" s="9"/>
      <c r="CK11" s="9"/>
      <c r="CL11" s="9"/>
      <c r="CM11" s="9"/>
      <c r="CN11" s="9"/>
      <c r="CO11" s="9"/>
      <c r="CP11" s="9"/>
    </row>
    <row r="12">
      <c r="A12" s="4" t="s">
        <v>230</v>
      </c>
      <c r="B12" s="5" t="s">
        <v>231</v>
      </c>
      <c r="C12" s="5" t="s">
        <v>232</v>
      </c>
      <c r="D12" s="5" t="s">
        <v>94</v>
      </c>
      <c r="E12" s="5" t="s">
        <v>95</v>
      </c>
      <c r="F12" s="6"/>
      <c r="G12" s="5" t="s">
        <v>233</v>
      </c>
      <c r="H12" s="5" t="s">
        <v>97</v>
      </c>
      <c r="I12" s="5" t="s">
        <v>98</v>
      </c>
      <c r="J12" s="5"/>
      <c r="K12" s="5"/>
      <c r="L12" s="5"/>
      <c r="M12" s="5" t="s">
        <v>234</v>
      </c>
      <c r="N12" s="5" t="s">
        <v>100</v>
      </c>
      <c r="O12" s="5" t="s">
        <v>100</v>
      </c>
      <c r="P12" s="5" t="s">
        <v>235</v>
      </c>
      <c r="Q12" s="5" t="s">
        <v>236</v>
      </c>
      <c r="R12" s="5"/>
      <c r="S12" s="5" t="s">
        <v>100</v>
      </c>
      <c r="T12" s="5" t="s">
        <v>100</v>
      </c>
      <c r="U12" s="5" t="s">
        <v>100</v>
      </c>
      <c r="V12" s="5" t="s">
        <v>100</v>
      </c>
      <c r="W12" s="5" t="s">
        <v>100</v>
      </c>
      <c r="X12" s="5" t="s">
        <v>237</v>
      </c>
      <c r="Y12" s="5"/>
      <c r="Z12" s="5" t="s">
        <v>100</v>
      </c>
      <c r="AA12" s="5"/>
      <c r="AB12" s="5" t="s">
        <v>100</v>
      </c>
      <c r="AC12" s="5" t="s">
        <v>100</v>
      </c>
      <c r="AD12" s="5" t="s">
        <v>100</v>
      </c>
      <c r="AE12" s="5" t="s">
        <v>100</v>
      </c>
      <c r="AF12" s="5" t="s">
        <v>100</v>
      </c>
      <c r="AG12" s="5" t="s">
        <v>100</v>
      </c>
      <c r="AH12" s="5" t="s">
        <v>100</v>
      </c>
      <c r="AI12" s="5" t="s">
        <v>238</v>
      </c>
      <c r="AJ12" s="5" t="s">
        <v>239</v>
      </c>
      <c r="AK12" s="5" t="s">
        <v>103</v>
      </c>
      <c r="AL12" s="5" t="s">
        <v>124</v>
      </c>
      <c r="AM12" s="5" t="s">
        <v>105</v>
      </c>
      <c r="AN12" s="5" t="s">
        <v>240</v>
      </c>
      <c r="AO12" s="6"/>
      <c r="AP12" s="6"/>
      <c r="AQ12" s="6"/>
      <c r="AR12" s="6"/>
      <c r="AS12" s="6"/>
      <c r="AT12" s="6"/>
      <c r="AU12" s="5" t="s">
        <v>241</v>
      </c>
      <c r="AV12" s="5" t="s">
        <v>108</v>
      </c>
      <c r="AW12" s="6"/>
      <c r="AX12" s="6"/>
      <c r="AY12" s="5" t="s">
        <v>242</v>
      </c>
      <c r="AZ12" s="5" t="b">
        <v>0</v>
      </c>
      <c r="BA12" s="5" t="s">
        <v>110</v>
      </c>
      <c r="BB12" s="5" t="s">
        <v>111</v>
      </c>
      <c r="BC12" s="6"/>
      <c r="BD12" s="6"/>
      <c r="BE12" s="5" t="s">
        <v>243</v>
      </c>
      <c r="BF12" s="6"/>
      <c r="BG12" s="6"/>
      <c r="BH12" s="6"/>
      <c r="BI12" s="6"/>
      <c r="BJ12" s="6"/>
      <c r="BK12" s="6"/>
      <c r="BL12" s="6"/>
      <c r="BM12" s="6"/>
      <c r="BN12" s="6"/>
      <c r="BO12" s="6"/>
      <c r="BP12" s="6"/>
      <c r="BQ12" s="6"/>
      <c r="BR12" s="6"/>
      <c r="BS12" s="6"/>
      <c r="BT12" s="6"/>
      <c r="BU12" s="6"/>
      <c r="BV12" s="6"/>
      <c r="BW12" s="6"/>
      <c r="BX12" s="6"/>
      <c r="BY12" s="6"/>
      <c r="BZ12" s="6"/>
      <c r="CA12" s="6"/>
      <c r="CB12" s="5" t="s">
        <v>244</v>
      </c>
      <c r="CC12" s="6"/>
      <c r="CD12" s="6"/>
      <c r="CE12" s="5" t="s">
        <v>115</v>
      </c>
      <c r="CF12" s="5" t="s">
        <v>245</v>
      </c>
      <c r="CG12" s="6"/>
      <c r="CH12" s="6"/>
      <c r="CI12" s="6"/>
      <c r="CJ12" s="6"/>
      <c r="CK12" s="6"/>
      <c r="CL12" s="6"/>
      <c r="CM12" s="6"/>
      <c r="CN12" s="6"/>
      <c r="CO12" s="6"/>
      <c r="CP12" s="6"/>
    </row>
    <row r="13">
      <c r="A13" s="4" t="s">
        <v>246</v>
      </c>
      <c r="B13" s="5" t="s">
        <v>247</v>
      </c>
      <c r="C13" s="5" t="s">
        <v>248</v>
      </c>
      <c r="D13" s="5" t="s">
        <v>94</v>
      </c>
      <c r="E13" s="5" t="s">
        <v>95</v>
      </c>
      <c r="F13" s="6"/>
      <c r="G13" s="5" t="s">
        <v>249</v>
      </c>
      <c r="H13" s="5" t="s">
        <v>97</v>
      </c>
      <c r="I13" s="5" t="s">
        <v>250</v>
      </c>
      <c r="J13" s="5" t="s">
        <v>251</v>
      </c>
      <c r="K13" s="5" t="s">
        <v>100</v>
      </c>
      <c r="L13" s="5" t="s">
        <v>100</v>
      </c>
      <c r="M13" s="5"/>
      <c r="N13" s="5"/>
      <c r="O13" s="5"/>
      <c r="P13" s="5"/>
      <c r="Q13" s="5" t="s">
        <v>252</v>
      </c>
      <c r="R13" s="5" t="s">
        <v>253</v>
      </c>
      <c r="S13" s="5"/>
      <c r="T13" s="5"/>
      <c r="U13" s="5"/>
      <c r="V13" s="5"/>
      <c r="W13" s="5"/>
      <c r="X13" s="5" t="s">
        <v>254</v>
      </c>
      <c r="Y13" s="5" t="s">
        <v>255</v>
      </c>
      <c r="Z13" s="5"/>
      <c r="AA13" s="5" t="s">
        <v>256</v>
      </c>
      <c r="AB13" s="5"/>
      <c r="AC13" s="5"/>
      <c r="AD13" s="5"/>
      <c r="AE13" s="5"/>
      <c r="AF13" s="5"/>
      <c r="AG13" s="5" t="s">
        <v>100</v>
      </c>
      <c r="AH13" s="5" t="s">
        <v>100</v>
      </c>
      <c r="AI13" s="5"/>
      <c r="AJ13" s="5" t="s">
        <v>257</v>
      </c>
      <c r="AK13" s="5" t="s">
        <v>103</v>
      </c>
      <c r="AL13" s="5" t="s">
        <v>104</v>
      </c>
      <c r="AM13" s="5" t="s">
        <v>105</v>
      </c>
      <c r="AN13" s="5" t="s">
        <v>134</v>
      </c>
      <c r="AO13" s="6"/>
      <c r="AP13" s="6"/>
      <c r="AQ13" s="6"/>
      <c r="AR13" s="6"/>
      <c r="AS13" s="6"/>
      <c r="AT13" s="6"/>
      <c r="AU13" s="5" t="s">
        <v>258</v>
      </c>
      <c r="AV13" s="5" t="s">
        <v>108</v>
      </c>
      <c r="AW13" s="6"/>
      <c r="AX13" s="6"/>
      <c r="AY13" s="5" t="s">
        <v>259</v>
      </c>
      <c r="AZ13" s="5" t="b">
        <v>0</v>
      </c>
      <c r="BA13" s="5" t="s">
        <v>110</v>
      </c>
      <c r="BB13" s="5" t="s">
        <v>111</v>
      </c>
      <c r="BC13" s="6"/>
      <c r="BD13" s="6"/>
      <c r="BE13" s="5" t="s">
        <v>260</v>
      </c>
      <c r="BF13" s="6"/>
      <c r="BG13" s="6"/>
      <c r="BH13" s="6"/>
      <c r="BI13" s="6"/>
      <c r="BJ13" s="6"/>
      <c r="BK13" s="6"/>
      <c r="BL13" s="6"/>
      <c r="BM13" s="6"/>
      <c r="BN13" s="6"/>
      <c r="BO13" s="6"/>
      <c r="BP13" s="6"/>
      <c r="BQ13" s="6"/>
      <c r="BR13" s="6"/>
      <c r="BS13" s="6"/>
      <c r="BT13" s="6"/>
      <c r="BU13" s="6"/>
      <c r="BV13" s="6"/>
      <c r="BW13" s="6"/>
      <c r="BX13" s="6"/>
      <c r="BY13" s="6"/>
      <c r="BZ13" s="6"/>
      <c r="CA13" s="6"/>
      <c r="CB13" s="5" t="s">
        <v>261</v>
      </c>
      <c r="CC13" s="6"/>
      <c r="CD13" s="6"/>
      <c r="CE13" s="5" t="s">
        <v>115</v>
      </c>
      <c r="CF13" s="5" t="s">
        <v>262</v>
      </c>
      <c r="CG13" s="6"/>
      <c r="CH13" s="6"/>
      <c r="CI13" s="6"/>
      <c r="CJ13" s="6"/>
      <c r="CK13" s="6"/>
      <c r="CL13" s="6"/>
      <c r="CM13" s="6"/>
      <c r="CN13" s="6"/>
      <c r="CO13" s="6"/>
      <c r="CP13" s="6"/>
    </row>
    <row r="14">
      <c r="A14" s="4" t="s">
        <v>263</v>
      </c>
      <c r="B14" s="5" t="s">
        <v>264</v>
      </c>
      <c r="C14" s="5" t="s">
        <v>265</v>
      </c>
      <c r="D14" s="5" t="s">
        <v>94</v>
      </c>
      <c r="E14" s="5" t="s">
        <v>95</v>
      </c>
      <c r="F14" s="6"/>
      <c r="G14" s="5" t="s">
        <v>266</v>
      </c>
      <c r="H14" s="5" t="s">
        <v>97</v>
      </c>
      <c r="I14" s="5" t="s">
        <v>98</v>
      </c>
      <c r="J14" s="5"/>
      <c r="K14" s="5"/>
      <c r="L14" s="5"/>
      <c r="M14" s="5" t="s">
        <v>267</v>
      </c>
      <c r="N14" s="5" t="s">
        <v>268</v>
      </c>
      <c r="O14" s="5" t="s">
        <v>269</v>
      </c>
      <c r="P14" s="5" t="s">
        <v>270</v>
      </c>
      <c r="Q14" s="5"/>
      <c r="R14" s="5"/>
      <c r="S14" s="5" t="s">
        <v>100</v>
      </c>
      <c r="T14" s="5" t="s">
        <v>100</v>
      </c>
      <c r="U14" s="5" t="s">
        <v>100</v>
      </c>
      <c r="V14" s="5" t="s">
        <v>100</v>
      </c>
      <c r="W14" s="5"/>
      <c r="X14" s="5" t="s">
        <v>100</v>
      </c>
      <c r="Y14" s="5" t="s">
        <v>100</v>
      </c>
      <c r="Z14" s="5" t="s">
        <v>172</v>
      </c>
      <c r="AA14" s="5"/>
      <c r="AB14" s="5" t="s">
        <v>100</v>
      </c>
      <c r="AC14" s="5" t="s">
        <v>271</v>
      </c>
      <c r="AD14" s="5" t="s">
        <v>100</v>
      </c>
      <c r="AE14" s="5" t="s">
        <v>100</v>
      </c>
      <c r="AF14" s="5" t="s">
        <v>271</v>
      </c>
      <c r="AG14" s="5" t="s">
        <v>100</v>
      </c>
      <c r="AH14" s="5" t="s">
        <v>100</v>
      </c>
      <c r="AI14" s="5" t="s">
        <v>272</v>
      </c>
      <c r="AJ14" s="5" t="s">
        <v>273</v>
      </c>
      <c r="AK14" s="5" t="s">
        <v>124</v>
      </c>
      <c r="AL14" s="5" t="s">
        <v>124</v>
      </c>
      <c r="AM14" s="5" t="s">
        <v>105</v>
      </c>
      <c r="AN14" s="5" t="s">
        <v>274</v>
      </c>
      <c r="AO14" s="6"/>
      <c r="AP14" s="6"/>
      <c r="AQ14" s="6"/>
      <c r="AR14" s="6"/>
      <c r="AS14" s="6"/>
      <c r="AT14" s="6"/>
      <c r="AU14" s="5" t="s">
        <v>275</v>
      </c>
      <c r="AV14" s="5" t="s">
        <v>108</v>
      </c>
      <c r="AW14" s="6"/>
      <c r="AX14" s="6"/>
      <c r="AY14" s="5" t="s">
        <v>276</v>
      </c>
      <c r="AZ14" s="5" t="b">
        <v>0</v>
      </c>
      <c r="BA14" s="5" t="s">
        <v>110</v>
      </c>
      <c r="BB14" s="5" t="s">
        <v>277</v>
      </c>
      <c r="BC14" s="6"/>
      <c r="BD14" s="6"/>
      <c r="BE14" s="5" t="s">
        <v>278</v>
      </c>
      <c r="BF14" s="6"/>
      <c r="BG14" s="6"/>
      <c r="BH14" s="6"/>
      <c r="BI14" s="6"/>
      <c r="BJ14" s="6"/>
      <c r="BK14" s="6"/>
      <c r="BL14" s="6"/>
      <c r="BM14" s="6"/>
      <c r="BN14" s="6"/>
      <c r="BO14" s="6"/>
      <c r="BP14" s="6"/>
      <c r="BQ14" s="6"/>
      <c r="BR14" s="6"/>
      <c r="BS14" s="6"/>
      <c r="BT14" s="6"/>
      <c r="BU14" s="6"/>
      <c r="BV14" s="6"/>
      <c r="BW14" s="6"/>
      <c r="BX14" s="6"/>
      <c r="BY14" s="6"/>
      <c r="BZ14" s="6"/>
      <c r="CA14" s="6"/>
      <c r="CB14" s="5" t="s">
        <v>279</v>
      </c>
      <c r="CC14" s="6"/>
      <c r="CD14" s="6"/>
      <c r="CE14" s="5" t="s">
        <v>115</v>
      </c>
      <c r="CF14" s="5" t="s">
        <v>280</v>
      </c>
      <c r="CG14" s="6"/>
      <c r="CH14" s="6"/>
      <c r="CI14" s="6"/>
      <c r="CJ14" s="6"/>
      <c r="CK14" s="6"/>
      <c r="CL14" s="6"/>
      <c r="CM14" s="6"/>
      <c r="CN14" s="6"/>
      <c r="CO14" s="6"/>
      <c r="CP14" s="6"/>
    </row>
    <row r="15">
      <c r="A15" s="4" t="s">
        <v>281</v>
      </c>
      <c r="B15" s="5" t="s">
        <v>282</v>
      </c>
      <c r="C15" s="5" t="s">
        <v>283</v>
      </c>
      <c r="D15" s="5" t="s">
        <v>94</v>
      </c>
      <c r="E15" s="5" t="s">
        <v>95</v>
      </c>
      <c r="F15" s="6"/>
      <c r="G15" s="5" t="s">
        <v>284</v>
      </c>
      <c r="H15" s="5" t="s">
        <v>97</v>
      </c>
      <c r="I15" s="5" t="s">
        <v>98</v>
      </c>
      <c r="J15" s="5" t="s">
        <v>285</v>
      </c>
      <c r="K15" s="5"/>
      <c r="L15" s="5" t="s">
        <v>286</v>
      </c>
      <c r="M15" s="5"/>
      <c r="N15" s="5"/>
      <c r="O15" s="5"/>
      <c r="P15" s="5"/>
      <c r="Q15" s="5" t="s">
        <v>287</v>
      </c>
      <c r="R15" s="5"/>
      <c r="S15" s="5"/>
      <c r="T15" s="5"/>
      <c r="U15" s="5"/>
      <c r="V15" s="5"/>
      <c r="W15" s="5"/>
      <c r="X15" s="5" t="s">
        <v>288</v>
      </c>
      <c r="Y15" s="5" t="s">
        <v>289</v>
      </c>
      <c r="Z15" s="5"/>
      <c r="AA15" s="5"/>
      <c r="AB15" s="5"/>
      <c r="AC15" s="5"/>
      <c r="AD15" s="5"/>
      <c r="AE15" s="5"/>
      <c r="AF15" s="5"/>
      <c r="AG15" s="5"/>
      <c r="AH15" s="5"/>
      <c r="AI15" s="5"/>
      <c r="AJ15" s="5" t="str">
        <f>CONCATENATE(J16,K15,L15,Q15,R15,X15,Y15,AA15,AG15)</f>
        <v>41, 42, 43, 44, 16, 23, 60, 72, 87, 90, 56, 61, 63, 64, 65, 66, 69, </v>
      </c>
      <c r="AK15" s="5" t="s">
        <v>103</v>
      </c>
      <c r="AL15" s="5" t="s">
        <v>104</v>
      </c>
      <c r="AM15" s="5" t="s">
        <v>105</v>
      </c>
      <c r="AN15" s="5" t="s">
        <v>290</v>
      </c>
      <c r="AO15" s="6"/>
      <c r="AP15" s="6"/>
      <c r="AQ15" s="6"/>
      <c r="AR15" s="6"/>
      <c r="AS15" s="6"/>
      <c r="AT15" s="6"/>
      <c r="AU15" s="5" t="s">
        <v>291</v>
      </c>
      <c r="AV15" s="5" t="s">
        <v>108</v>
      </c>
      <c r="AW15" s="6"/>
      <c r="AX15" s="6"/>
      <c r="AY15" s="5" t="s">
        <v>276</v>
      </c>
      <c r="AZ15" s="5" t="b">
        <v>0</v>
      </c>
      <c r="BA15" s="5" t="s">
        <v>110</v>
      </c>
      <c r="BB15" s="5" t="s">
        <v>111</v>
      </c>
      <c r="BC15" s="6"/>
      <c r="BD15" s="6"/>
      <c r="BE15" s="5" t="s">
        <v>292</v>
      </c>
      <c r="BF15" s="6"/>
      <c r="BG15" s="6"/>
      <c r="BH15" s="6"/>
      <c r="BI15" s="6"/>
      <c r="BJ15" s="6"/>
      <c r="BK15" s="6"/>
      <c r="BL15" s="6"/>
      <c r="BM15" s="6"/>
      <c r="BN15" s="6"/>
      <c r="BO15" s="6"/>
      <c r="BP15" s="6"/>
      <c r="BQ15" s="6"/>
      <c r="BR15" s="6"/>
      <c r="BS15" s="6"/>
      <c r="BT15" s="6"/>
      <c r="BU15" s="6"/>
      <c r="BV15" s="6"/>
      <c r="BW15" s="6"/>
      <c r="BX15" s="6"/>
      <c r="BY15" s="6"/>
      <c r="BZ15" s="6"/>
      <c r="CA15" s="6"/>
      <c r="CB15" s="5" t="s">
        <v>196</v>
      </c>
      <c r="CC15" s="6"/>
      <c r="CD15" s="6"/>
      <c r="CE15" s="5" t="s">
        <v>115</v>
      </c>
      <c r="CF15" s="5" t="s">
        <v>293</v>
      </c>
      <c r="CG15" s="6"/>
      <c r="CH15" s="6"/>
      <c r="CI15" s="6"/>
      <c r="CJ15" s="6"/>
      <c r="CK15" s="6"/>
      <c r="CL15" s="6"/>
      <c r="CM15" s="6"/>
      <c r="CN15" s="6"/>
      <c r="CO15" s="6"/>
      <c r="CP15" s="6"/>
    </row>
    <row r="16">
      <c r="A16" s="7" t="s">
        <v>294</v>
      </c>
      <c r="B16" s="8" t="s">
        <v>295</v>
      </c>
      <c r="C16" s="8" t="s">
        <v>296</v>
      </c>
      <c r="D16" s="8" t="s">
        <v>94</v>
      </c>
      <c r="E16" s="8" t="s">
        <v>95</v>
      </c>
      <c r="F16" s="9"/>
      <c r="G16" s="8" t="s">
        <v>297</v>
      </c>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t="str">
        <f t="shared" ref="AJ16:AJ18" si="3">CONCATENATE(J16,K16,L16,Q16,R16,X16,Y16,AA16,AG16)</f>
        <v/>
      </c>
      <c r="AK16" s="8"/>
      <c r="AL16" s="8"/>
      <c r="AM16" s="8" t="s">
        <v>105</v>
      </c>
      <c r="AN16" s="8" t="s">
        <v>298</v>
      </c>
      <c r="AO16" s="9"/>
      <c r="AP16" s="9"/>
      <c r="AQ16" s="9"/>
      <c r="AR16" s="9"/>
      <c r="AS16" s="9"/>
      <c r="AT16" s="9"/>
      <c r="AU16" s="8" t="s">
        <v>299</v>
      </c>
      <c r="AV16" s="9"/>
      <c r="AW16" s="9"/>
      <c r="AX16" s="9"/>
      <c r="AY16" s="8" t="s">
        <v>276</v>
      </c>
      <c r="AZ16" s="8" t="b">
        <v>0</v>
      </c>
      <c r="BA16" s="8" t="s">
        <v>190</v>
      </c>
      <c r="BB16" s="8" t="s">
        <v>191</v>
      </c>
      <c r="BC16" s="9"/>
      <c r="BD16" s="9"/>
      <c r="BE16" s="8" t="s">
        <v>300</v>
      </c>
      <c r="BF16" s="9"/>
      <c r="BG16" s="9"/>
      <c r="BH16" s="9"/>
      <c r="BI16" s="9"/>
      <c r="BJ16" s="9"/>
      <c r="BK16" s="9"/>
      <c r="BL16" s="9"/>
      <c r="BM16" s="9"/>
      <c r="BN16" s="9"/>
      <c r="BO16" s="9"/>
      <c r="BP16" s="9"/>
      <c r="BQ16" s="9"/>
      <c r="BR16" s="8" t="s">
        <v>193</v>
      </c>
      <c r="BS16" s="8" t="s">
        <v>194</v>
      </c>
      <c r="BT16" s="9"/>
      <c r="BU16" s="9"/>
      <c r="BV16" s="9"/>
      <c r="BW16" s="9"/>
      <c r="BX16" s="9"/>
      <c r="BY16" s="9"/>
      <c r="BZ16" s="9"/>
      <c r="CA16" s="9"/>
      <c r="CB16" s="8" t="s">
        <v>301</v>
      </c>
      <c r="CC16" s="9"/>
      <c r="CD16" s="9"/>
      <c r="CE16" s="8" t="s">
        <v>302</v>
      </c>
      <c r="CF16" s="8" t="s">
        <v>303</v>
      </c>
      <c r="CG16" s="9"/>
      <c r="CH16" s="9"/>
      <c r="CI16" s="9"/>
      <c r="CJ16" s="9"/>
      <c r="CK16" s="9"/>
      <c r="CL16" s="9"/>
      <c r="CM16" s="9"/>
      <c r="CN16" s="9"/>
      <c r="CO16" s="9"/>
      <c r="CP16" s="9"/>
    </row>
    <row r="17">
      <c r="A17" s="7" t="s">
        <v>304</v>
      </c>
      <c r="B17" s="8" t="s">
        <v>305</v>
      </c>
      <c r="C17" s="8" t="s">
        <v>306</v>
      </c>
      <c r="D17" s="8" t="s">
        <v>94</v>
      </c>
      <c r="E17" s="8" t="s">
        <v>95</v>
      </c>
      <c r="F17" s="9"/>
      <c r="G17" s="8" t="s">
        <v>307</v>
      </c>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t="str">
        <f t="shared" si="3"/>
        <v/>
      </c>
      <c r="AK17" s="8"/>
      <c r="AL17" s="8"/>
      <c r="AM17" s="8" t="s">
        <v>105</v>
      </c>
      <c r="AN17" s="8" t="s">
        <v>308</v>
      </c>
      <c r="AO17" s="9"/>
      <c r="AP17" s="9"/>
      <c r="AQ17" s="9"/>
      <c r="AR17" s="9"/>
      <c r="AS17" s="9"/>
      <c r="AT17" s="9"/>
      <c r="AU17" s="8" t="s">
        <v>309</v>
      </c>
      <c r="AV17" s="9"/>
      <c r="AW17" s="9"/>
      <c r="AX17" s="9"/>
      <c r="AY17" s="8" t="s">
        <v>276</v>
      </c>
      <c r="AZ17" s="8" t="b">
        <v>0</v>
      </c>
      <c r="BA17" s="8" t="s">
        <v>190</v>
      </c>
      <c r="BB17" s="8" t="s">
        <v>191</v>
      </c>
      <c r="BC17" s="9"/>
      <c r="BD17" s="9"/>
      <c r="BE17" s="8" t="s">
        <v>310</v>
      </c>
      <c r="BF17" s="9"/>
      <c r="BG17" s="9"/>
      <c r="BH17" s="9"/>
      <c r="BI17" s="9"/>
      <c r="BJ17" s="9"/>
      <c r="BK17" s="9"/>
      <c r="BL17" s="9"/>
      <c r="BM17" s="9"/>
      <c r="BN17" s="9"/>
      <c r="BO17" s="9"/>
      <c r="BP17" s="9"/>
      <c r="BQ17" s="9"/>
      <c r="BR17" s="8" t="s">
        <v>193</v>
      </c>
      <c r="BS17" s="8" t="s">
        <v>194</v>
      </c>
      <c r="BT17" s="9"/>
      <c r="BU17" s="9"/>
      <c r="BV17" s="9"/>
      <c r="BW17" s="9"/>
      <c r="BX17" s="9"/>
      <c r="BY17" s="9"/>
      <c r="BZ17" s="9"/>
      <c r="CA17" s="9"/>
      <c r="CB17" s="8" t="s">
        <v>301</v>
      </c>
      <c r="CC17" s="9"/>
      <c r="CD17" s="9"/>
      <c r="CE17" s="8" t="s">
        <v>311</v>
      </c>
      <c r="CF17" s="8" t="s">
        <v>312</v>
      </c>
      <c r="CG17" s="9"/>
      <c r="CH17" s="9"/>
      <c r="CI17" s="9"/>
      <c r="CJ17" s="9"/>
      <c r="CK17" s="9"/>
      <c r="CL17" s="9"/>
      <c r="CM17" s="9"/>
      <c r="CN17" s="9"/>
      <c r="CO17" s="9"/>
      <c r="CP17" s="9"/>
    </row>
    <row r="18">
      <c r="A18" s="7" t="s">
        <v>313</v>
      </c>
      <c r="B18" s="8" t="s">
        <v>314</v>
      </c>
      <c r="C18" s="8" t="s">
        <v>315</v>
      </c>
      <c r="D18" s="8" t="s">
        <v>94</v>
      </c>
      <c r="E18" s="8" t="s">
        <v>95</v>
      </c>
      <c r="F18" s="9"/>
      <c r="G18" s="8" t="s">
        <v>316</v>
      </c>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t="str">
        <f t="shared" si="3"/>
        <v/>
      </c>
      <c r="AK18" s="8"/>
      <c r="AL18" s="8"/>
      <c r="AM18" s="8" t="s">
        <v>105</v>
      </c>
      <c r="AN18" s="8" t="s">
        <v>317</v>
      </c>
      <c r="AO18" s="9"/>
      <c r="AP18" s="9"/>
      <c r="AQ18" s="9"/>
      <c r="AR18" s="9"/>
      <c r="AS18" s="9"/>
      <c r="AT18" s="9"/>
      <c r="AU18" s="8" t="s">
        <v>318</v>
      </c>
      <c r="AV18" s="9"/>
      <c r="AW18" s="9"/>
      <c r="AX18" s="9"/>
      <c r="AY18" s="8" t="s">
        <v>276</v>
      </c>
      <c r="AZ18" s="8" t="b">
        <v>0</v>
      </c>
      <c r="BA18" s="8" t="s">
        <v>190</v>
      </c>
      <c r="BB18" s="8" t="s">
        <v>191</v>
      </c>
      <c r="BC18" s="9"/>
      <c r="BD18" s="9"/>
      <c r="BE18" s="8" t="s">
        <v>319</v>
      </c>
      <c r="BF18" s="9"/>
      <c r="BG18" s="9"/>
      <c r="BH18" s="9"/>
      <c r="BI18" s="9"/>
      <c r="BJ18" s="9"/>
      <c r="BK18" s="9"/>
      <c r="BL18" s="9"/>
      <c r="BM18" s="9"/>
      <c r="BN18" s="9"/>
      <c r="BO18" s="9"/>
      <c r="BP18" s="9"/>
      <c r="BQ18" s="9"/>
      <c r="BR18" s="8" t="s">
        <v>193</v>
      </c>
      <c r="BS18" s="8" t="s">
        <v>194</v>
      </c>
      <c r="BT18" s="9"/>
      <c r="BU18" s="9"/>
      <c r="BV18" s="9"/>
      <c r="BW18" s="9"/>
      <c r="BX18" s="9"/>
      <c r="BY18" s="9"/>
      <c r="BZ18" s="9"/>
      <c r="CA18" s="9"/>
      <c r="CB18" s="8" t="s">
        <v>301</v>
      </c>
      <c r="CC18" s="9"/>
      <c r="CD18" s="9"/>
      <c r="CE18" s="8" t="s">
        <v>311</v>
      </c>
      <c r="CF18" s="8" t="s">
        <v>320</v>
      </c>
      <c r="CG18" s="9"/>
      <c r="CH18" s="9"/>
      <c r="CI18" s="9"/>
      <c r="CJ18" s="9"/>
      <c r="CK18" s="9"/>
      <c r="CL18" s="9"/>
      <c r="CM18" s="9"/>
      <c r="CN18" s="9"/>
      <c r="CO18" s="9"/>
      <c r="CP18" s="9"/>
    </row>
    <row r="19">
      <c r="A19" s="4" t="s">
        <v>321</v>
      </c>
      <c r="B19" s="5" t="s">
        <v>322</v>
      </c>
      <c r="C19" s="5" t="s">
        <v>323</v>
      </c>
      <c r="D19" s="5" t="s">
        <v>94</v>
      </c>
      <c r="E19" s="5" t="s">
        <v>95</v>
      </c>
      <c r="F19" s="6"/>
      <c r="G19" s="5" t="s">
        <v>324</v>
      </c>
      <c r="H19" s="5" t="s">
        <v>97</v>
      </c>
      <c r="I19" s="5" t="s">
        <v>98</v>
      </c>
      <c r="J19" s="5"/>
      <c r="K19" s="5"/>
      <c r="L19" s="5"/>
      <c r="M19" s="5" t="s">
        <v>325</v>
      </c>
      <c r="N19" s="5" t="s">
        <v>326</v>
      </c>
      <c r="O19" s="5" t="s">
        <v>327</v>
      </c>
      <c r="P19" s="5" t="s">
        <v>328</v>
      </c>
      <c r="Q19" s="5"/>
      <c r="R19" s="5"/>
      <c r="S19" s="5" t="s">
        <v>100</v>
      </c>
      <c r="T19" s="5" t="s">
        <v>100</v>
      </c>
      <c r="U19" s="5" t="s">
        <v>100</v>
      </c>
      <c r="V19" s="5" t="s">
        <v>100</v>
      </c>
      <c r="W19" s="5"/>
      <c r="X19" s="5" t="s">
        <v>329</v>
      </c>
      <c r="Y19" s="5" t="s">
        <v>100</v>
      </c>
      <c r="Z19" s="5" t="s">
        <v>100</v>
      </c>
      <c r="AA19" s="5"/>
      <c r="AB19" s="5" t="s">
        <v>100</v>
      </c>
      <c r="AC19" s="5" t="s">
        <v>330</v>
      </c>
      <c r="AD19" s="5" t="s">
        <v>100</v>
      </c>
      <c r="AE19" s="5" t="s">
        <v>100</v>
      </c>
      <c r="AF19" s="5" t="s">
        <v>330</v>
      </c>
      <c r="AG19" s="5" t="s">
        <v>100</v>
      </c>
      <c r="AH19" s="5" t="s">
        <v>100</v>
      </c>
      <c r="AI19" s="5" t="s">
        <v>331</v>
      </c>
      <c r="AJ19" s="5" t="s">
        <v>332</v>
      </c>
      <c r="AK19" s="5" t="s">
        <v>124</v>
      </c>
      <c r="AL19" s="5" t="s">
        <v>124</v>
      </c>
      <c r="AM19" s="5" t="s">
        <v>105</v>
      </c>
      <c r="AN19" s="5" t="s">
        <v>333</v>
      </c>
      <c r="AO19" s="6"/>
      <c r="AP19" s="6"/>
      <c r="AQ19" s="6"/>
      <c r="AR19" s="6"/>
      <c r="AS19" s="6"/>
      <c r="AT19" s="6"/>
      <c r="AU19" s="5" t="s">
        <v>334</v>
      </c>
      <c r="AV19" s="5" t="s">
        <v>108</v>
      </c>
      <c r="AW19" s="6"/>
      <c r="AX19" s="6"/>
      <c r="AY19" s="5" t="s">
        <v>335</v>
      </c>
      <c r="AZ19" s="5" t="b">
        <v>0</v>
      </c>
      <c r="BA19" s="5" t="s">
        <v>110</v>
      </c>
      <c r="BB19" s="5" t="s">
        <v>277</v>
      </c>
      <c r="BC19" s="6"/>
      <c r="BD19" s="6"/>
      <c r="BE19" s="5" t="s">
        <v>336</v>
      </c>
      <c r="BF19" s="6"/>
      <c r="BG19" s="6"/>
      <c r="BH19" s="6"/>
      <c r="BI19" s="6"/>
      <c r="BJ19" s="6"/>
      <c r="BK19" s="6"/>
      <c r="BL19" s="6"/>
      <c r="BM19" s="6"/>
      <c r="BN19" s="6"/>
      <c r="BO19" s="6"/>
      <c r="BP19" s="6"/>
      <c r="BQ19" s="6"/>
      <c r="BR19" s="6"/>
      <c r="BS19" s="6"/>
      <c r="BT19" s="6"/>
      <c r="BU19" s="6"/>
      <c r="BV19" s="6"/>
      <c r="BW19" s="6"/>
      <c r="BX19" s="6"/>
      <c r="BY19" s="6"/>
      <c r="BZ19" s="6"/>
      <c r="CA19" s="6"/>
      <c r="CB19" s="5" t="s">
        <v>337</v>
      </c>
      <c r="CC19" s="6"/>
      <c r="CD19" s="6"/>
      <c r="CE19" s="5" t="s">
        <v>115</v>
      </c>
      <c r="CF19" s="5" t="s">
        <v>338</v>
      </c>
      <c r="CG19" s="6"/>
      <c r="CH19" s="6"/>
      <c r="CI19" s="6"/>
      <c r="CJ19" s="6"/>
      <c r="CK19" s="6"/>
      <c r="CL19" s="6"/>
      <c r="CM19" s="6"/>
      <c r="CN19" s="6"/>
      <c r="CO19" s="6"/>
      <c r="CP19" s="6"/>
    </row>
    <row r="20">
      <c r="A20" s="4" t="s">
        <v>339</v>
      </c>
      <c r="B20" s="5" t="s">
        <v>340</v>
      </c>
      <c r="C20" s="5" t="s">
        <v>341</v>
      </c>
      <c r="D20" s="5" t="s">
        <v>94</v>
      </c>
      <c r="E20" s="5" t="s">
        <v>95</v>
      </c>
      <c r="F20" s="6"/>
      <c r="G20" s="5" t="s">
        <v>342</v>
      </c>
      <c r="H20" s="5" t="s">
        <v>97</v>
      </c>
      <c r="I20" s="5" t="s">
        <v>343</v>
      </c>
      <c r="J20" s="5"/>
      <c r="K20" s="5"/>
      <c r="L20" s="5"/>
      <c r="M20" s="5"/>
      <c r="N20" s="5"/>
      <c r="O20" s="5"/>
      <c r="P20" s="5"/>
      <c r="Q20" s="5" t="s">
        <v>344</v>
      </c>
      <c r="R20" s="5"/>
      <c r="S20" s="5"/>
      <c r="T20" s="5"/>
      <c r="U20" s="5"/>
      <c r="V20" s="5"/>
      <c r="W20" s="5"/>
      <c r="X20" s="5" t="s">
        <v>345</v>
      </c>
      <c r="Y20" s="5" t="s">
        <v>344</v>
      </c>
      <c r="Z20" s="5"/>
      <c r="AA20" s="5"/>
      <c r="AB20" s="5"/>
      <c r="AC20" s="5"/>
      <c r="AD20" s="5"/>
      <c r="AE20" s="5"/>
      <c r="AF20" s="5"/>
      <c r="AG20" s="5"/>
      <c r="AH20" s="5"/>
      <c r="AI20" s="5" t="s">
        <v>346</v>
      </c>
      <c r="AJ20" s="5" t="str">
        <f>CONCATENATE(J20,K20,L20,Q20,R20,X20,Y20,AA20,AG20, "24")</f>
        <v>26, 27, 23, 26, 27, 24</v>
      </c>
      <c r="AK20" s="5" t="s">
        <v>103</v>
      </c>
      <c r="AL20" s="5" t="s">
        <v>103</v>
      </c>
      <c r="AM20" s="5" t="s">
        <v>105</v>
      </c>
      <c r="AN20" s="5" t="s">
        <v>347</v>
      </c>
      <c r="AO20" s="6"/>
      <c r="AP20" s="6"/>
      <c r="AQ20" s="6"/>
      <c r="AR20" s="6"/>
      <c r="AS20" s="6"/>
      <c r="AT20" s="6"/>
      <c r="AU20" s="5" t="s">
        <v>348</v>
      </c>
      <c r="AV20" s="5" t="s">
        <v>108</v>
      </c>
      <c r="AW20" s="6"/>
      <c r="AX20" s="6"/>
      <c r="AY20" s="5" t="s">
        <v>335</v>
      </c>
      <c r="AZ20" s="5" t="b">
        <v>0</v>
      </c>
      <c r="BA20" s="5" t="s">
        <v>110</v>
      </c>
      <c r="BB20" s="5" t="s">
        <v>111</v>
      </c>
      <c r="BC20" s="6"/>
      <c r="BD20" s="6"/>
      <c r="BE20" s="5" t="s">
        <v>349</v>
      </c>
      <c r="BF20" s="6"/>
      <c r="BG20" s="6"/>
      <c r="BH20" s="6"/>
      <c r="BI20" s="6"/>
      <c r="BJ20" s="6"/>
      <c r="BK20" s="6"/>
      <c r="BL20" s="6"/>
      <c r="BM20" s="6"/>
      <c r="BN20" s="6"/>
      <c r="BO20" s="6"/>
      <c r="BP20" s="6"/>
      <c r="BQ20" s="6"/>
      <c r="BR20" s="6"/>
      <c r="BS20" s="6"/>
      <c r="BT20" s="6"/>
      <c r="BU20" s="6"/>
      <c r="BV20" s="6"/>
      <c r="BW20" s="6"/>
      <c r="BX20" s="6"/>
      <c r="BY20" s="6"/>
      <c r="BZ20" s="6"/>
      <c r="CA20" s="6"/>
      <c r="CB20" s="5" t="s">
        <v>350</v>
      </c>
      <c r="CC20" s="6"/>
      <c r="CD20" s="6"/>
      <c r="CE20" s="5" t="s">
        <v>115</v>
      </c>
      <c r="CF20" s="5" t="s">
        <v>351</v>
      </c>
      <c r="CG20" s="6"/>
      <c r="CH20" s="6"/>
      <c r="CI20" s="6"/>
      <c r="CJ20" s="6"/>
      <c r="CK20" s="6"/>
      <c r="CL20" s="6"/>
      <c r="CM20" s="6"/>
      <c r="CN20" s="6"/>
      <c r="CO20" s="6"/>
      <c r="CP20" s="6"/>
    </row>
    <row r="21">
      <c r="A21" s="7" t="s">
        <v>352</v>
      </c>
      <c r="B21" s="8" t="s">
        <v>353</v>
      </c>
      <c r="C21" s="8" t="s">
        <v>353</v>
      </c>
      <c r="D21" s="8" t="s">
        <v>354</v>
      </c>
      <c r="E21" s="8" t="s">
        <v>355</v>
      </c>
      <c r="F21" s="9"/>
      <c r="G21" s="8" t="s">
        <v>356</v>
      </c>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t="str">
        <f>CONCATENATE(J21,K21,L21,Q21,R21,X21,Y21,AA21,AG21)</f>
        <v/>
      </c>
      <c r="AK21" s="8"/>
      <c r="AL21" s="8"/>
      <c r="AM21" s="8" t="s">
        <v>357</v>
      </c>
      <c r="AN21" s="9"/>
      <c r="AO21" s="9"/>
      <c r="AP21" s="9"/>
      <c r="AQ21" s="9"/>
      <c r="AR21" s="9"/>
      <c r="AS21" s="9"/>
      <c r="AT21" s="9"/>
      <c r="AU21" s="8" t="s">
        <v>358</v>
      </c>
      <c r="AV21" s="9"/>
      <c r="AW21" s="8" t="s">
        <v>330</v>
      </c>
      <c r="AX21" s="8" t="s">
        <v>359</v>
      </c>
      <c r="AY21" s="8" t="s">
        <v>335</v>
      </c>
      <c r="AZ21" s="8" t="b">
        <v>0</v>
      </c>
      <c r="BA21" s="8" t="s">
        <v>190</v>
      </c>
      <c r="BB21" s="8" t="s">
        <v>360</v>
      </c>
      <c r="BC21" s="9"/>
      <c r="BD21" s="8" t="s">
        <v>112</v>
      </c>
      <c r="BE21" s="8" t="s">
        <v>361</v>
      </c>
      <c r="BF21" s="9"/>
      <c r="BG21" s="9"/>
      <c r="BH21" s="9"/>
      <c r="BI21" s="8" t="s">
        <v>362</v>
      </c>
      <c r="BJ21" s="8" t="s">
        <v>363</v>
      </c>
      <c r="BK21" s="8" t="s">
        <v>311</v>
      </c>
      <c r="BL21" s="9"/>
      <c r="BM21" s="9"/>
      <c r="BN21" s="9"/>
      <c r="BO21" s="9"/>
      <c r="BP21" s="9"/>
      <c r="BQ21" s="9"/>
      <c r="BR21" s="8" t="s">
        <v>193</v>
      </c>
      <c r="BS21" s="8" t="s">
        <v>194</v>
      </c>
      <c r="BT21" s="9"/>
      <c r="BU21" s="9"/>
      <c r="BV21" s="8" t="s">
        <v>364</v>
      </c>
      <c r="BW21" s="9"/>
      <c r="BX21" s="9"/>
      <c r="BY21" s="9"/>
      <c r="BZ21" s="9"/>
      <c r="CA21" s="9"/>
      <c r="CB21" s="8" t="s">
        <v>365</v>
      </c>
      <c r="CC21" s="9"/>
      <c r="CD21" s="9"/>
      <c r="CE21" s="8" t="s">
        <v>366</v>
      </c>
      <c r="CF21" s="8" t="s">
        <v>367</v>
      </c>
      <c r="CG21" s="9"/>
      <c r="CH21" s="9"/>
      <c r="CI21" s="9"/>
      <c r="CJ21" s="9"/>
      <c r="CK21" s="9"/>
      <c r="CL21" s="9"/>
      <c r="CM21" s="9"/>
      <c r="CN21" s="9"/>
      <c r="CO21" s="9"/>
      <c r="CP21" s="9"/>
    </row>
    <row r="22">
      <c r="A22" s="4" t="s">
        <v>368</v>
      </c>
      <c r="B22" s="5" t="s">
        <v>369</v>
      </c>
      <c r="C22" s="5" t="s">
        <v>370</v>
      </c>
      <c r="D22" s="5" t="s">
        <v>94</v>
      </c>
      <c r="E22" s="5" t="s">
        <v>95</v>
      </c>
      <c r="F22" s="6"/>
      <c r="G22" s="5" t="s">
        <v>371</v>
      </c>
      <c r="H22" s="5" t="s">
        <v>97</v>
      </c>
      <c r="I22" s="5" t="s">
        <v>98</v>
      </c>
      <c r="J22" s="5"/>
      <c r="K22" s="5"/>
      <c r="L22" s="5"/>
      <c r="M22" s="5" t="s">
        <v>372</v>
      </c>
      <c r="N22" s="5" t="s">
        <v>373</v>
      </c>
      <c r="O22" s="5" t="s">
        <v>374</v>
      </c>
      <c r="P22" s="5" t="s">
        <v>375</v>
      </c>
      <c r="Q22" s="5"/>
      <c r="R22" s="5"/>
      <c r="S22" s="5" t="s">
        <v>100</v>
      </c>
      <c r="T22" s="5" t="s">
        <v>376</v>
      </c>
      <c r="U22" s="5" t="s">
        <v>100</v>
      </c>
      <c r="V22" s="5" t="s">
        <v>100</v>
      </c>
      <c r="W22" s="5"/>
      <c r="X22" s="5" t="s">
        <v>377</v>
      </c>
      <c r="Y22" s="5" t="s">
        <v>100</v>
      </c>
      <c r="Z22" s="5" t="s">
        <v>100</v>
      </c>
      <c r="AA22" s="5"/>
      <c r="AB22" s="5" t="s">
        <v>100</v>
      </c>
      <c r="AC22" s="5" t="s">
        <v>100</v>
      </c>
      <c r="AD22" s="5" t="s">
        <v>100</v>
      </c>
      <c r="AE22" s="5" t="s">
        <v>100</v>
      </c>
      <c r="AF22" s="5" t="s">
        <v>100</v>
      </c>
      <c r="AG22" s="5" t="s">
        <v>100</v>
      </c>
      <c r="AH22" s="5" t="s">
        <v>100</v>
      </c>
      <c r="AI22" s="5" t="s">
        <v>378</v>
      </c>
      <c r="AJ22" s="5" t="s">
        <v>379</v>
      </c>
      <c r="AK22" s="5" t="s">
        <v>124</v>
      </c>
      <c r="AL22" s="5" t="s">
        <v>124</v>
      </c>
      <c r="AM22" s="5" t="s">
        <v>105</v>
      </c>
      <c r="AN22" s="5" t="s">
        <v>380</v>
      </c>
      <c r="AO22" s="6"/>
      <c r="AP22" s="6"/>
      <c r="AQ22" s="6"/>
      <c r="AR22" s="6"/>
      <c r="AS22" s="6"/>
      <c r="AT22" s="6"/>
      <c r="AU22" s="5" t="s">
        <v>381</v>
      </c>
      <c r="AV22" s="5" t="s">
        <v>108</v>
      </c>
      <c r="AW22" s="6"/>
      <c r="AX22" s="6"/>
      <c r="AY22" s="5" t="s">
        <v>382</v>
      </c>
      <c r="AZ22" s="5" t="b">
        <v>0</v>
      </c>
      <c r="BA22" s="5" t="s">
        <v>110</v>
      </c>
      <c r="BB22" s="5" t="s">
        <v>111</v>
      </c>
      <c r="BC22" s="6"/>
      <c r="BD22" s="6"/>
      <c r="BE22" s="5" t="s">
        <v>383</v>
      </c>
      <c r="BF22" s="6"/>
      <c r="BG22" s="6"/>
      <c r="BH22" s="6"/>
      <c r="BI22" s="6"/>
      <c r="BJ22" s="6"/>
      <c r="BK22" s="6"/>
      <c r="BL22" s="6"/>
      <c r="BM22" s="6"/>
      <c r="BN22" s="6"/>
      <c r="BO22" s="6"/>
      <c r="BP22" s="6"/>
      <c r="BQ22" s="6"/>
      <c r="BR22" s="6"/>
      <c r="BS22" s="6"/>
      <c r="BT22" s="6"/>
      <c r="BU22" s="6"/>
      <c r="BV22" s="6"/>
      <c r="BW22" s="6"/>
      <c r="BX22" s="6"/>
      <c r="BY22" s="6"/>
      <c r="BZ22" s="6"/>
      <c r="CA22" s="6"/>
      <c r="CB22" s="5" t="s">
        <v>279</v>
      </c>
      <c r="CC22" s="6"/>
      <c r="CD22" s="6"/>
      <c r="CE22" s="5" t="s">
        <v>197</v>
      </c>
      <c r="CF22" s="5" t="s">
        <v>384</v>
      </c>
      <c r="CG22" s="6"/>
      <c r="CH22" s="6"/>
      <c r="CI22" s="6"/>
      <c r="CJ22" s="6"/>
      <c r="CK22" s="6"/>
      <c r="CL22" s="6"/>
      <c r="CM22" s="6"/>
      <c r="CN22" s="6"/>
      <c r="CO22" s="6"/>
      <c r="CP22" s="6"/>
    </row>
    <row r="23">
      <c r="A23" s="7" t="s">
        <v>385</v>
      </c>
      <c r="B23" s="8" t="s">
        <v>386</v>
      </c>
      <c r="C23" s="8" t="s">
        <v>387</v>
      </c>
      <c r="D23" s="8" t="s">
        <v>94</v>
      </c>
      <c r="E23" s="8" t="s">
        <v>95</v>
      </c>
      <c r="F23" s="9"/>
      <c r="G23" s="8" t="s">
        <v>388</v>
      </c>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t="str">
        <f t="shared" ref="AJ23:AJ26" si="4">CONCATENATE(J23,K23,L23,Q23,R23,X23,Y23,AA23,AG23)</f>
        <v/>
      </c>
      <c r="AK23" s="8"/>
      <c r="AL23" s="8"/>
      <c r="AM23" s="8" t="s">
        <v>105</v>
      </c>
      <c r="AN23" s="8" t="s">
        <v>389</v>
      </c>
      <c r="AO23" s="9"/>
      <c r="AP23" s="9"/>
      <c r="AQ23" s="9"/>
      <c r="AR23" s="9"/>
      <c r="AS23" s="9"/>
      <c r="AT23" s="9"/>
      <c r="AU23" s="8" t="s">
        <v>390</v>
      </c>
      <c r="AV23" s="8" t="s">
        <v>108</v>
      </c>
      <c r="AW23" s="9"/>
      <c r="AX23" s="9"/>
      <c r="AY23" s="8" t="s">
        <v>391</v>
      </c>
      <c r="AZ23" s="8" t="b">
        <v>0</v>
      </c>
      <c r="BA23" s="8" t="s">
        <v>110</v>
      </c>
      <c r="BB23" s="8" t="s">
        <v>111</v>
      </c>
      <c r="BC23" s="9"/>
      <c r="BD23" s="8" t="s">
        <v>112</v>
      </c>
      <c r="BE23" s="8" t="s">
        <v>392</v>
      </c>
      <c r="BF23" s="9"/>
      <c r="BG23" s="9"/>
      <c r="BH23" s="9"/>
      <c r="BI23" s="9"/>
      <c r="BJ23" s="9"/>
      <c r="BK23" s="9"/>
      <c r="BL23" s="9"/>
      <c r="BM23" s="9"/>
      <c r="BN23" s="9"/>
      <c r="BO23" s="9"/>
      <c r="BP23" s="9"/>
      <c r="BQ23" s="9"/>
      <c r="BR23" s="9"/>
      <c r="BS23" s="9"/>
      <c r="BT23" s="9"/>
      <c r="BU23" s="9"/>
      <c r="BV23" s="9"/>
      <c r="BW23" s="9"/>
      <c r="BX23" s="9"/>
      <c r="BY23" s="9"/>
      <c r="BZ23" s="9"/>
      <c r="CA23" s="9"/>
      <c r="CB23" s="8" t="s">
        <v>301</v>
      </c>
      <c r="CC23" s="9"/>
      <c r="CD23" s="9"/>
      <c r="CE23" s="8" t="s">
        <v>393</v>
      </c>
      <c r="CF23" s="8" t="s">
        <v>394</v>
      </c>
      <c r="CG23" s="9"/>
      <c r="CH23" s="9"/>
      <c r="CI23" s="9"/>
      <c r="CJ23" s="9"/>
      <c r="CK23" s="9"/>
      <c r="CL23" s="9"/>
      <c r="CM23" s="9"/>
      <c r="CN23" s="9"/>
      <c r="CO23" s="9"/>
      <c r="CP23" s="9"/>
    </row>
    <row r="24">
      <c r="A24" s="7" t="s">
        <v>395</v>
      </c>
      <c r="B24" s="8" t="s">
        <v>396</v>
      </c>
      <c r="C24" s="8" t="s">
        <v>397</v>
      </c>
      <c r="D24" s="8" t="s">
        <v>94</v>
      </c>
      <c r="E24" s="8" t="s">
        <v>95</v>
      </c>
      <c r="F24" s="9"/>
      <c r="G24" s="8" t="s">
        <v>398</v>
      </c>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t="str">
        <f t="shared" si="4"/>
        <v/>
      </c>
      <c r="AK24" s="8"/>
      <c r="AL24" s="8"/>
      <c r="AM24" s="8" t="s">
        <v>105</v>
      </c>
      <c r="AN24" s="8" t="s">
        <v>399</v>
      </c>
      <c r="AO24" s="9"/>
      <c r="AP24" s="9"/>
      <c r="AQ24" s="9"/>
      <c r="AR24" s="9"/>
      <c r="AS24" s="9"/>
      <c r="AT24" s="9"/>
      <c r="AU24" s="8" t="s">
        <v>400</v>
      </c>
      <c r="AV24" s="8" t="s">
        <v>108</v>
      </c>
      <c r="AW24" s="9"/>
      <c r="AX24" s="9"/>
      <c r="AY24" s="8" t="s">
        <v>391</v>
      </c>
      <c r="AZ24" s="8" t="b">
        <v>0</v>
      </c>
      <c r="BA24" s="8" t="s">
        <v>110</v>
      </c>
      <c r="BB24" s="8" t="s">
        <v>111</v>
      </c>
      <c r="BC24" s="9"/>
      <c r="BD24" s="8" t="s">
        <v>112</v>
      </c>
      <c r="BE24" s="8" t="s">
        <v>401</v>
      </c>
      <c r="BF24" s="9"/>
      <c r="BG24" s="9"/>
      <c r="BH24" s="9"/>
      <c r="BI24" s="9"/>
      <c r="BJ24" s="9"/>
      <c r="BK24" s="9"/>
      <c r="BL24" s="9"/>
      <c r="BM24" s="9"/>
      <c r="BN24" s="9"/>
      <c r="BO24" s="9"/>
      <c r="BP24" s="9"/>
      <c r="BQ24" s="9"/>
      <c r="BR24" s="9"/>
      <c r="BS24" s="9"/>
      <c r="BT24" s="9"/>
      <c r="BU24" s="9"/>
      <c r="BV24" s="9"/>
      <c r="BW24" s="9"/>
      <c r="BX24" s="9"/>
      <c r="BY24" s="9"/>
      <c r="BZ24" s="9"/>
      <c r="CA24" s="9"/>
      <c r="CB24" s="8" t="s">
        <v>301</v>
      </c>
      <c r="CC24" s="9"/>
      <c r="CD24" s="9"/>
      <c r="CE24" s="8" t="s">
        <v>197</v>
      </c>
      <c r="CF24" s="8" t="s">
        <v>402</v>
      </c>
      <c r="CG24" s="9"/>
      <c r="CH24" s="9"/>
      <c r="CI24" s="9"/>
      <c r="CJ24" s="9"/>
      <c r="CK24" s="9"/>
      <c r="CL24" s="9"/>
      <c r="CM24" s="9"/>
      <c r="CN24" s="9"/>
      <c r="CO24" s="9"/>
      <c r="CP24" s="9"/>
    </row>
    <row r="25">
      <c r="A25" s="7" t="s">
        <v>403</v>
      </c>
      <c r="B25" s="8" t="s">
        <v>404</v>
      </c>
      <c r="C25" s="8" t="s">
        <v>405</v>
      </c>
      <c r="D25" s="8" t="s">
        <v>94</v>
      </c>
      <c r="E25" s="8" t="s">
        <v>95</v>
      </c>
      <c r="F25" s="9"/>
      <c r="G25" s="8" t="s">
        <v>406</v>
      </c>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t="str">
        <f t="shared" si="4"/>
        <v/>
      </c>
      <c r="AK25" s="8"/>
      <c r="AL25" s="8"/>
      <c r="AM25" s="8" t="s">
        <v>105</v>
      </c>
      <c r="AN25" s="8" t="s">
        <v>407</v>
      </c>
      <c r="AO25" s="9"/>
      <c r="AP25" s="9"/>
      <c r="AQ25" s="9"/>
      <c r="AR25" s="9"/>
      <c r="AS25" s="9"/>
      <c r="AT25" s="9"/>
      <c r="AU25" s="8" t="s">
        <v>408</v>
      </c>
      <c r="AV25" s="9"/>
      <c r="AW25" s="9"/>
      <c r="AX25" s="9"/>
      <c r="AY25" s="8" t="s">
        <v>409</v>
      </c>
      <c r="AZ25" s="8" t="b">
        <v>0</v>
      </c>
      <c r="BA25" s="8" t="s">
        <v>190</v>
      </c>
      <c r="BB25" s="8" t="s">
        <v>191</v>
      </c>
      <c r="BC25" s="9"/>
      <c r="BD25" s="8" t="s">
        <v>112</v>
      </c>
      <c r="BE25" s="8" t="s">
        <v>410</v>
      </c>
      <c r="BF25" s="9"/>
      <c r="BG25" s="9"/>
      <c r="BH25" s="9"/>
      <c r="BI25" s="9"/>
      <c r="BJ25" s="9"/>
      <c r="BK25" s="9"/>
      <c r="BL25" s="9"/>
      <c r="BM25" s="9"/>
      <c r="BN25" s="9"/>
      <c r="BO25" s="9"/>
      <c r="BP25" s="9"/>
      <c r="BQ25" s="9"/>
      <c r="BR25" s="8" t="s">
        <v>193</v>
      </c>
      <c r="BS25" s="8" t="s">
        <v>194</v>
      </c>
      <c r="BT25" s="9"/>
      <c r="BU25" s="8" t="s">
        <v>411</v>
      </c>
      <c r="BV25" s="9"/>
      <c r="BW25" s="9"/>
      <c r="BX25" s="9"/>
      <c r="BY25" s="9"/>
      <c r="BZ25" s="9"/>
      <c r="CA25" s="9"/>
      <c r="CB25" s="8" t="s">
        <v>301</v>
      </c>
      <c r="CC25" s="9"/>
      <c r="CD25" s="9"/>
      <c r="CE25" s="8" t="s">
        <v>412</v>
      </c>
      <c r="CF25" s="8" t="s">
        <v>413</v>
      </c>
      <c r="CG25" s="9"/>
      <c r="CH25" s="9"/>
      <c r="CI25" s="9"/>
      <c r="CJ25" s="9"/>
      <c r="CK25" s="9"/>
      <c r="CL25" s="9"/>
      <c r="CM25" s="9"/>
      <c r="CN25" s="9"/>
      <c r="CO25" s="9"/>
      <c r="CP25" s="9"/>
    </row>
    <row r="26">
      <c r="A26" s="7" t="s">
        <v>414</v>
      </c>
      <c r="B26" s="8" t="s">
        <v>415</v>
      </c>
      <c r="C26" s="8" t="s">
        <v>416</v>
      </c>
      <c r="D26" s="8" t="s">
        <v>94</v>
      </c>
      <c r="E26" s="8" t="s">
        <v>95</v>
      </c>
      <c r="F26" s="9"/>
      <c r="G26" s="8" t="s">
        <v>417</v>
      </c>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t="str">
        <f t="shared" si="4"/>
        <v/>
      </c>
      <c r="AK26" s="8"/>
      <c r="AL26" s="8"/>
      <c r="AM26" s="8" t="s">
        <v>105</v>
      </c>
      <c r="AN26" s="8" t="s">
        <v>418</v>
      </c>
      <c r="AO26" s="9"/>
      <c r="AP26" s="9"/>
      <c r="AQ26" s="9"/>
      <c r="AR26" s="9"/>
      <c r="AS26" s="9"/>
      <c r="AT26" s="9"/>
      <c r="AU26" s="8" t="s">
        <v>419</v>
      </c>
      <c r="AV26" s="8" t="s">
        <v>108</v>
      </c>
      <c r="AW26" s="9"/>
      <c r="AX26" s="9"/>
      <c r="AY26" s="8" t="s">
        <v>409</v>
      </c>
      <c r="AZ26" s="8" t="b">
        <v>0</v>
      </c>
      <c r="BA26" s="8" t="s">
        <v>110</v>
      </c>
      <c r="BB26" s="8" t="s">
        <v>111</v>
      </c>
      <c r="BC26" s="9"/>
      <c r="BD26" s="8" t="s">
        <v>112</v>
      </c>
      <c r="BE26" s="8" t="s">
        <v>420</v>
      </c>
      <c r="BF26" s="9"/>
      <c r="BG26" s="9"/>
      <c r="BH26" s="9"/>
      <c r="BI26" s="9"/>
      <c r="BJ26" s="9"/>
      <c r="BK26" s="9"/>
      <c r="BL26" s="9"/>
      <c r="BM26" s="9"/>
      <c r="BN26" s="9"/>
      <c r="BO26" s="9"/>
      <c r="BP26" s="9"/>
      <c r="BQ26" s="9"/>
      <c r="BR26" s="9"/>
      <c r="BS26" s="9"/>
      <c r="BT26" s="9"/>
      <c r="BU26" s="9"/>
      <c r="BV26" s="9"/>
      <c r="BW26" s="9"/>
      <c r="BX26" s="9"/>
      <c r="BY26" s="9"/>
      <c r="BZ26" s="9"/>
      <c r="CA26" s="9"/>
      <c r="CB26" s="8" t="s">
        <v>301</v>
      </c>
      <c r="CC26" s="9"/>
      <c r="CD26" s="9"/>
      <c r="CE26" s="8" t="s">
        <v>197</v>
      </c>
      <c r="CF26" s="8" t="s">
        <v>421</v>
      </c>
      <c r="CG26" s="9"/>
      <c r="CH26" s="9"/>
      <c r="CI26" s="9"/>
      <c r="CJ26" s="9"/>
      <c r="CK26" s="9"/>
      <c r="CL26" s="9"/>
      <c r="CM26" s="9"/>
      <c r="CN26" s="9"/>
      <c r="CO26" s="9"/>
      <c r="CP26" s="9"/>
    </row>
    <row r="27">
      <c r="A27" s="4" t="s">
        <v>422</v>
      </c>
      <c r="B27" s="5" t="s">
        <v>423</v>
      </c>
      <c r="C27" s="5" t="s">
        <v>424</v>
      </c>
      <c r="D27" s="5" t="s">
        <v>94</v>
      </c>
      <c r="E27" s="5" t="s">
        <v>95</v>
      </c>
      <c r="F27" s="6"/>
      <c r="G27" s="5" t="s">
        <v>425</v>
      </c>
      <c r="H27" s="5" t="s">
        <v>97</v>
      </c>
      <c r="I27" s="5" t="s">
        <v>426</v>
      </c>
      <c r="J27" s="5"/>
      <c r="K27" s="5"/>
      <c r="L27" s="5"/>
      <c r="M27" s="5" t="s">
        <v>427</v>
      </c>
      <c r="N27" s="5" t="s">
        <v>428</v>
      </c>
      <c r="O27" s="5" t="s">
        <v>429</v>
      </c>
      <c r="P27" s="5" t="s">
        <v>430</v>
      </c>
      <c r="Q27" s="5"/>
      <c r="R27" s="5"/>
      <c r="S27" s="5" t="s">
        <v>100</v>
      </c>
      <c r="T27" s="5" t="s">
        <v>431</v>
      </c>
      <c r="U27" s="5" t="s">
        <v>100</v>
      </c>
      <c r="V27" s="5" t="s">
        <v>100</v>
      </c>
      <c r="W27" s="5"/>
      <c r="X27" s="5" t="s">
        <v>432</v>
      </c>
      <c r="Y27" s="5" t="s">
        <v>100</v>
      </c>
      <c r="Z27" s="5" t="s">
        <v>100</v>
      </c>
      <c r="AA27" s="5"/>
      <c r="AB27" s="5" t="s">
        <v>100</v>
      </c>
      <c r="AC27" s="5" t="s">
        <v>100</v>
      </c>
      <c r="AD27" s="5" t="s">
        <v>100</v>
      </c>
      <c r="AE27" s="5" t="s">
        <v>100</v>
      </c>
      <c r="AF27" s="5" t="s">
        <v>100</v>
      </c>
      <c r="AG27" s="5" t="s">
        <v>100</v>
      </c>
      <c r="AH27" s="5" t="s">
        <v>100</v>
      </c>
      <c r="AI27" s="5" t="s">
        <v>433</v>
      </c>
      <c r="AJ27" s="5" t="s">
        <v>434</v>
      </c>
      <c r="AK27" s="5" t="s">
        <v>124</v>
      </c>
      <c r="AL27" s="5" t="s">
        <v>104</v>
      </c>
      <c r="AM27" s="5" t="s">
        <v>105</v>
      </c>
      <c r="AN27" s="5" t="s">
        <v>435</v>
      </c>
      <c r="AO27" s="6"/>
      <c r="AP27" s="6"/>
      <c r="AQ27" s="6"/>
      <c r="AR27" s="6"/>
      <c r="AS27" s="6"/>
      <c r="AT27" s="6"/>
      <c r="AU27" s="5" t="s">
        <v>436</v>
      </c>
      <c r="AV27" s="5" t="s">
        <v>108</v>
      </c>
      <c r="AW27" s="6"/>
      <c r="AX27" s="6"/>
      <c r="AY27" s="5" t="s">
        <v>437</v>
      </c>
      <c r="AZ27" s="5" t="b">
        <v>0</v>
      </c>
      <c r="BA27" s="5" t="s">
        <v>110</v>
      </c>
      <c r="BB27" s="5" t="s">
        <v>438</v>
      </c>
      <c r="BC27" s="6"/>
      <c r="BD27" s="6"/>
      <c r="BE27" s="5" t="s">
        <v>439</v>
      </c>
      <c r="BF27" s="6"/>
      <c r="BG27" s="6"/>
      <c r="BH27" s="6"/>
      <c r="BI27" s="6"/>
      <c r="BJ27" s="6"/>
      <c r="BK27" s="6"/>
      <c r="BL27" s="6"/>
      <c r="BM27" s="6"/>
      <c r="BN27" s="6"/>
      <c r="BO27" s="6"/>
      <c r="BP27" s="6"/>
      <c r="BQ27" s="6"/>
      <c r="BR27" s="6"/>
      <c r="BS27" s="6"/>
      <c r="BT27" s="6"/>
      <c r="BU27" s="6"/>
      <c r="BV27" s="6"/>
      <c r="BW27" s="6"/>
      <c r="BX27" s="6"/>
      <c r="BY27" s="6"/>
      <c r="BZ27" s="6"/>
      <c r="CA27" s="6"/>
      <c r="CB27" s="5" t="s">
        <v>440</v>
      </c>
      <c r="CC27" s="6"/>
      <c r="CD27" s="6"/>
      <c r="CE27" s="5" t="s">
        <v>115</v>
      </c>
      <c r="CF27" s="5" t="s">
        <v>441</v>
      </c>
      <c r="CG27" s="6"/>
      <c r="CH27" s="6"/>
      <c r="CI27" s="6"/>
      <c r="CJ27" s="6"/>
      <c r="CK27" s="6"/>
      <c r="CL27" s="6"/>
      <c r="CM27" s="6"/>
      <c r="CN27" s="6"/>
      <c r="CO27" s="6"/>
      <c r="CP27" s="6"/>
    </row>
    <row r="28">
      <c r="A28" s="7" t="s">
        <v>442</v>
      </c>
      <c r="B28" s="8" t="s">
        <v>443</v>
      </c>
      <c r="C28" s="8" t="s">
        <v>444</v>
      </c>
      <c r="D28" s="8" t="s">
        <v>94</v>
      </c>
      <c r="E28" s="8" t="s">
        <v>95</v>
      </c>
      <c r="F28" s="9"/>
      <c r="G28" s="8" t="s">
        <v>445</v>
      </c>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t="str">
        <f>CONCATENATE(J28,K28,L28,Q28,R28,X28,Y28,AA28,AG28)</f>
        <v/>
      </c>
      <c r="AK28" s="8"/>
      <c r="AL28" s="8"/>
      <c r="AM28" s="8" t="s">
        <v>105</v>
      </c>
      <c r="AN28" s="8" t="s">
        <v>446</v>
      </c>
      <c r="AO28" s="9"/>
      <c r="AP28" s="9"/>
      <c r="AQ28" s="9"/>
      <c r="AR28" s="9"/>
      <c r="AS28" s="9"/>
      <c r="AT28" s="9"/>
      <c r="AU28" s="8" t="s">
        <v>447</v>
      </c>
      <c r="AV28" s="9"/>
      <c r="AW28" s="9"/>
      <c r="AX28" s="9"/>
      <c r="AY28" s="8" t="s">
        <v>437</v>
      </c>
      <c r="AZ28" s="8" t="b">
        <v>0</v>
      </c>
      <c r="BA28" s="8" t="s">
        <v>190</v>
      </c>
      <c r="BB28" s="8" t="s">
        <v>191</v>
      </c>
      <c r="BC28" s="9"/>
      <c r="BD28" s="8" t="s">
        <v>112</v>
      </c>
      <c r="BE28" s="8" t="s">
        <v>448</v>
      </c>
      <c r="BF28" s="9"/>
      <c r="BG28" s="9"/>
      <c r="BH28" s="9"/>
      <c r="BI28" s="9"/>
      <c r="BJ28" s="9"/>
      <c r="BK28" s="9"/>
      <c r="BL28" s="9"/>
      <c r="BM28" s="9"/>
      <c r="BN28" s="9"/>
      <c r="BO28" s="9"/>
      <c r="BP28" s="9"/>
      <c r="BQ28" s="9"/>
      <c r="BR28" s="8" t="s">
        <v>193</v>
      </c>
      <c r="BS28" s="8" t="s">
        <v>194</v>
      </c>
      <c r="BT28" s="9"/>
      <c r="BU28" s="9"/>
      <c r="BV28" s="9"/>
      <c r="BW28" s="9"/>
      <c r="BX28" s="9"/>
      <c r="BY28" s="9"/>
      <c r="BZ28" s="9"/>
      <c r="CA28" s="9"/>
      <c r="CB28" s="8" t="s">
        <v>449</v>
      </c>
      <c r="CC28" s="9"/>
      <c r="CD28" s="9"/>
      <c r="CE28" s="8" t="s">
        <v>450</v>
      </c>
      <c r="CF28" s="8" t="s">
        <v>451</v>
      </c>
      <c r="CG28" s="9"/>
      <c r="CH28" s="9"/>
      <c r="CI28" s="9"/>
      <c r="CJ28" s="9"/>
      <c r="CK28" s="9"/>
      <c r="CL28" s="9"/>
      <c r="CM28" s="9"/>
      <c r="CN28" s="9"/>
      <c r="CO28" s="9"/>
      <c r="CP28" s="9"/>
    </row>
    <row r="29">
      <c r="A29" s="4" t="s">
        <v>452</v>
      </c>
      <c r="B29" s="5" t="s">
        <v>453</v>
      </c>
      <c r="C29" s="5" t="s">
        <v>454</v>
      </c>
      <c r="D29" s="5" t="s">
        <v>94</v>
      </c>
      <c r="E29" s="5" t="s">
        <v>95</v>
      </c>
      <c r="F29" s="6"/>
      <c r="G29" s="5" t="s">
        <v>455</v>
      </c>
      <c r="H29" s="5" t="s">
        <v>97</v>
      </c>
      <c r="I29" s="5" t="s">
        <v>98</v>
      </c>
      <c r="J29" s="5"/>
      <c r="K29" s="5"/>
      <c r="L29" s="5"/>
      <c r="M29" s="5" t="s">
        <v>456</v>
      </c>
      <c r="N29" s="5" t="s">
        <v>457</v>
      </c>
      <c r="O29" s="5" t="s">
        <v>458</v>
      </c>
      <c r="P29" s="5" t="s">
        <v>459</v>
      </c>
      <c r="Q29" s="5"/>
      <c r="R29" s="5"/>
      <c r="S29" s="5" t="s">
        <v>100</v>
      </c>
      <c r="T29" s="5" t="s">
        <v>100</v>
      </c>
      <c r="U29" s="5" t="s">
        <v>100</v>
      </c>
      <c r="V29" s="5" t="s">
        <v>100</v>
      </c>
      <c r="W29" s="5"/>
      <c r="X29" s="5" t="s">
        <v>100</v>
      </c>
      <c r="Y29" s="5" t="s">
        <v>100</v>
      </c>
      <c r="Z29" s="5" t="s">
        <v>100</v>
      </c>
      <c r="AA29" s="5"/>
      <c r="AB29" s="5" t="s">
        <v>100</v>
      </c>
      <c r="AC29" s="5" t="s">
        <v>100</v>
      </c>
      <c r="AD29" s="5" t="s">
        <v>100</v>
      </c>
      <c r="AE29" s="5" t="s">
        <v>100</v>
      </c>
      <c r="AF29" s="5" t="s">
        <v>100</v>
      </c>
      <c r="AG29" s="5" t="s">
        <v>100</v>
      </c>
      <c r="AH29" s="5" t="s">
        <v>100</v>
      </c>
      <c r="AI29" s="5" t="s">
        <v>460</v>
      </c>
      <c r="AJ29" s="5" t="s">
        <v>461</v>
      </c>
      <c r="AK29" s="5" t="s">
        <v>124</v>
      </c>
      <c r="AL29" s="5" t="s">
        <v>103</v>
      </c>
      <c r="AM29" s="5" t="s">
        <v>105</v>
      </c>
      <c r="AN29" s="5" t="s">
        <v>462</v>
      </c>
      <c r="AO29" s="6"/>
      <c r="AP29" s="6"/>
      <c r="AQ29" s="6"/>
      <c r="AR29" s="6"/>
      <c r="AS29" s="6"/>
      <c r="AT29" s="6"/>
      <c r="AU29" s="5" t="s">
        <v>463</v>
      </c>
      <c r="AV29" s="5" t="s">
        <v>108</v>
      </c>
      <c r="AW29" s="6"/>
      <c r="AX29" s="6"/>
      <c r="AY29" s="5" t="s">
        <v>464</v>
      </c>
      <c r="AZ29" s="5" t="b">
        <v>0</v>
      </c>
      <c r="BA29" s="5" t="s">
        <v>110</v>
      </c>
      <c r="BB29" s="5" t="s">
        <v>277</v>
      </c>
      <c r="BC29" s="6"/>
      <c r="BD29" s="6"/>
      <c r="BE29" s="5" t="s">
        <v>465</v>
      </c>
      <c r="BF29" s="6"/>
      <c r="BG29" s="6"/>
      <c r="BH29" s="6"/>
      <c r="BI29" s="6"/>
      <c r="BJ29" s="6"/>
      <c r="BK29" s="6"/>
      <c r="BL29" s="6"/>
      <c r="BM29" s="6"/>
      <c r="BN29" s="6"/>
      <c r="BO29" s="6"/>
      <c r="BP29" s="6"/>
      <c r="BQ29" s="6"/>
      <c r="BR29" s="6"/>
      <c r="BS29" s="6"/>
      <c r="BT29" s="6"/>
      <c r="BU29" s="6"/>
      <c r="BV29" s="6"/>
      <c r="BW29" s="6"/>
      <c r="BX29" s="6"/>
      <c r="BY29" s="6"/>
      <c r="BZ29" s="6"/>
      <c r="CA29" s="6"/>
      <c r="CB29" s="5" t="s">
        <v>466</v>
      </c>
      <c r="CC29" s="6"/>
      <c r="CD29" s="6"/>
      <c r="CE29" s="5" t="s">
        <v>115</v>
      </c>
      <c r="CF29" s="5" t="s">
        <v>467</v>
      </c>
      <c r="CG29" s="6"/>
      <c r="CH29" s="6"/>
      <c r="CI29" s="6"/>
      <c r="CJ29" s="6"/>
      <c r="CK29" s="6"/>
      <c r="CL29" s="6"/>
      <c r="CM29" s="6"/>
      <c r="CN29" s="6"/>
      <c r="CO29" s="6"/>
      <c r="CP29" s="6"/>
    </row>
    <row r="30">
      <c r="A30" s="4" t="s">
        <v>468</v>
      </c>
      <c r="B30" s="5" t="s">
        <v>469</v>
      </c>
      <c r="C30" s="5" t="s">
        <v>470</v>
      </c>
      <c r="D30" s="5" t="s">
        <v>94</v>
      </c>
      <c r="E30" s="5" t="s">
        <v>95</v>
      </c>
      <c r="F30" s="6"/>
      <c r="G30" s="5" t="s">
        <v>471</v>
      </c>
      <c r="H30" s="5" t="s">
        <v>97</v>
      </c>
      <c r="I30" s="5" t="s">
        <v>472</v>
      </c>
      <c r="J30" s="5" t="s">
        <v>473</v>
      </c>
      <c r="K30" s="5" t="s">
        <v>100</v>
      </c>
      <c r="L30" s="5" t="s">
        <v>100</v>
      </c>
      <c r="M30" s="5"/>
      <c r="N30" s="5"/>
      <c r="O30" s="5"/>
      <c r="P30" s="5"/>
      <c r="Q30" s="5" t="s">
        <v>100</v>
      </c>
      <c r="R30" s="5" t="s">
        <v>474</v>
      </c>
      <c r="S30" s="5"/>
      <c r="T30" s="5"/>
      <c r="U30" s="5"/>
      <c r="V30" s="5"/>
      <c r="W30" s="5"/>
      <c r="X30" s="5" t="s">
        <v>475</v>
      </c>
      <c r="Y30" s="5" t="s">
        <v>476</v>
      </c>
      <c r="Z30" s="5"/>
      <c r="AA30" s="5" t="s">
        <v>100</v>
      </c>
      <c r="AB30" s="5"/>
      <c r="AC30" s="5"/>
      <c r="AD30" s="5"/>
      <c r="AE30" s="5"/>
      <c r="AF30" s="5"/>
      <c r="AG30" s="5" t="s">
        <v>100</v>
      </c>
      <c r="AH30" s="5" t="s">
        <v>100</v>
      </c>
      <c r="AI30" s="5"/>
      <c r="AJ30" s="5" t="s">
        <v>477</v>
      </c>
      <c r="AK30" s="5" t="s">
        <v>103</v>
      </c>
      <c r="AL30" s="5" t="s">
        <v>124</v>
      </c>
      <c r="AM30" s="5" t="s">
        <v>105</v>
      </c>
      <c r="AN30" s="5" t="s">
        <v>478</v>
      </c>
      <c r="AO30" s="6"/>
      <c r="AP30" s="6"/>
      <c r="AQ30" s="6"/>
      <c r="AR30" s="6"/>
      <c r="AS30" s="6"/>
      <c r="AT30" s="6"/>
      <c r="AU30" s="5" t="s">
        <v>479</v>
      </c>
      <c r="AV30" s="5" t="s">
        <v>108</v>
      </c>
      <c r="AW30" s="6"/>
      <c r="AX30" s="6"/>
      <c r="AY30" s="5" t="s">
        <v>464</v>
      </c>
      <c r="AZ30" s="5" t="b">
        <v>0</v>
      </c>
      <c r="BA30" s="5" t="s">
        <v>110</v>
      </c>
      <c r="BB30" s="5" t="s">
        <v>480</v>
      </c>
      <c r="BC30" s="6"/>
      <c r="BD30" s="5" t="s">
        <v>481</v>
      </c>
      <c r="BE30" s="5" t="s">
        <v>482</v>
      </c>
      <c r="BF30" s="6"/>
      <c r="BG30" s="6"/>
      <c r="BH30" s="6"/>
      <c r="BI30" s="6"/>
      <c r="BJ30" s="6"/>
      <c r="BK30" s="6"/>
      <c r="BL30" s="6"/>
      <c r="BM30" s="6"/>
      <c r="BN30" s="6"/>
      <c r="BO30" s="6"/>
      <c r="BP30" s="6"/>
      <c r="BQ30" s="6"/>
      <c r="BR30" s="6"/>
      <c r="BS30" s="6"/>
      <c r="BT30" s="6"/>
      <c r="BU30" s="6"/>
      <c r="BV30" s="6"/>
      <c r="BW30" s="6"/>
      <c r="BX30" s="6"/>
      <c r="BY30" s="6"/>
      <c r="BZ30" s="6"/>
      <c r="CA30" s="6"/>
      <c r="CB30" s="5" t="s">
        <v>483</v>
      </c>
      <c r="CC30" s="6"/>
      <c r="CD30" s="6"/>
      <c r="CE30" s="5" t="s">
        <v>197</v>
      </c>
      <c r="CF30" s="5" t="s">
        <v>484</v>
      </c>
      <c r="CG30" s="6"/>
      <c r="CH30" s="6"/>
      <c r="CI30" s="6"/>
      <c r="CJ30" s="6"/>
      <c r="CK30" s="6"/>
      <c r="CL30" s="6"/>
      <c r="CM30" s="6"/>
      <c r="CN30" s="6"/>
      <c r="CO30" s="6"/>
      <c r="CP30" s="6"/>
    </row>
    <row r="31">
      <c r="A31" s="4" t="s">
        <v>485</v>
      </c>
      <c r="B31" s="5" t="s">
        <v>486</v>
      </c>
      <c r="C31" s="5" t="s">
        <v>487</v>
      </c>
      <c r="D31" s="5" t="s">
        <v>94</v>
      </c>
      <c r="E31" s="5" t="s">
        <v>95</v>
      </c>
      <c r="F31" s="6"/>
      <c r="G31" s="5" t="s">
        <v>488</v>
      </c>
      <c r="H31" s="5" t="s">
        <v>97</v>
      </c>
      <c r="I31" s="5" t="s">
        <v>98</v>
      </c>
      <c r="J31" s="5"/>
      <c r="K31" s="5"/>
      <c r="L31" s="5"/>
      <c r="M31" s="5" t="s">
        <v>489</v>
      </c>
      <c r="N31" s="5" t="s">
        <v>490</v>
      </c>
      <c r="O31" s="5" t="s">
        <v>491</v>
      </c>
      <c r="P31" s="5" t="s">
        <v>492</v>
      </c>
      <c r="Q31" s="5"/>
      <c r="R31" s="5"/>
      <c r="S31" s="5" t="s">
        <v>100</v>
      </c>
      <c r="T31" s="5" t="s">
        <v>100</v>
      </c>
      <c r="U31" s="5" t="s">
        <v>100</v>
      </c>
      <c r="V31" s="5" t="s">
        <v>100</v>
      </c>
      <c r="W31" s="5"/>
      <c r="X31" s="5" t="s">
        <v>100</v>
      </c>
      <c r="Y31" s="5" t="s">
        <v>100</v>
      </c>
      <c r="Z31" s="5" t="s">
        <v>100</v>
      </c>
      <c r="AA31" s="5"/>
      <c r="AB31" s="5" t="s">
        <v>100</v>
      </c>
      <c r="AC31" s="5" t="s">
        <v>100</v>
      </c>
      <c r="AD31" s="5" t="s">
        <v>100</v>
      </c>
      <c r="AE31" s="5" t="s">
        <v>100</v>
      </c>
      <c r="AF31" s="5" t="s">
        <v>100</v>
      </c>
      <c r="AG31" s="5" t="s">
        <v>100</v>
      </c>
      <c r="AH31" s="5" t="s">
        <v>100</v>
      </c>
      <c r="AI31" s="5" t="s">
        <v>493</v>
      </c>
      <c r="AJ31" s="5" t="s">
        <v>494</v>
      </c>
      <c r="AK31" s="5" t="s">
        <v>124</v>
      </c>
      <c r="AL31" s="5" t="s">
        <v>104</v>
      </c>
      <c r="AM31" s="5" t="s">
        <v>105</v>
      </c>
      <c r="AN31" s="5" t="s">
        <v>495</v>
      </c>
      <c r="AO31" s="6"/>
      <c r="AP31" s="6"/>
      <c r="AQ31" s="6"/>
      <c r="AR31" s="6"/>
      <c r="AS31" s="6"/>
      <c r="AT31" s="6"/>
      <c r="AU31" s="5" t="s">
        <v>496</v>
      </c>
      <c r="AV31" s="5" t="s">
        <v>108</v>
      </c>
      <c r="AW31" s="6"/>
      <c r="AX31" s="6"/>
      <c r="AY31" s="5" t="s">
        <v>497</v>
      </c>
      <c r="AZ31" s="5" t="b">
        <v>0</v>
      </c>
      <c r="BA31" s="5" t="s">
        <v>110</v>
      </c>
      <c r="BB31" s="5" t="s">
        <v>277</v>
      </c>
      <c r="BC31" s="6"/>
      <c r="BD31" s="6"/>
      <c r="BE31" s="5" t="s">
        <v>498</v>
      </c>
      <c r="BF31" s="6"/>
      <c r="BG31" s="6"/>
      <c r="BH31" s="6"/>
      <c r="BI31" s="6"/>
      <c r="BJ31" s="6"/>
      <c r="BK31" s="6"/>
      <c r="BL31" s="6"/>
      <c r="BM31" s="6"/>
      <c r="BN31" s="6"/>
      <c r="BO31" s="6"/>
      <c r="BP31" s="6"/>
      <c r="BQ31" s="6"/>
      <c r="BR31" s="6"/>
      <c r="BS31" s="6"/>
      <c r="BT31" s="6"/>
      <c r="BU31" s="6"/>
      <c r="BV31" s="6"/>
      <c r="BW31" s="6"/>
      <c r="BX31" s="6"/>
      <c r="BY31" s="6"/>
      <c r="BZ31" s="6"/>
      <c r="CA31" s="6"/>
      <c r="CB31" s="5" t="s">
        <v>499</v>
      </c>
      <c r="CC31" s="6"/>
      <c r="CD31" s="6"/>
      <c r="CE31" s="5" t="s">
        <v>115</v>
      </c>
      <c r="CF31" s="5" t="s">
        <v>500</v>
      </c>
      <c r="CG31" s="6"/>
      <c r="CH31" s="6"/>
      <c r="CI31" s="6"/>
      <c r="CJ31" s="6"/>
      <c r="CK31" s="6"/>
      <c r="CL31" s="6"/>
      <c r="CM31" s="6"/>
      <c r="CN31" s="6"/>
      <c r="CO31" s="6"/>
      <c r="CP31" s="6"/>
    </row>
    <row r="32">
      <c r="A32" s="4" t="s">
        <v>501</v>
      </c>
      <c r="B32" s="5" t="s">
        <v>502</v>
      </c>
      <c r="C32" s="5" t="s">
        <v>503</v>
      </c>
      <c r="D32" s="5" t="s">
        <v>94</v>
      </c>
      <c r="E32" s="5" t="s">
        <v>95</v>
      </c>
      <c r="F32" s="6"/>
      <c r="G32" s="5" t="s">
        <v>504</v>
      </c>
      <c r="H32" s="5" t="s">
        <v>97</v>
      </c>
      <c r="I32" s="5" t="s">
        <v>505</v>
      </c>
      <c r="J32" s="5" t="s">
        <v>506</v>
      </c>
      <c r="K32" s="5"/>
      <c r="L32" s="5"/>
      <c r="M32" s="5"/>
      <c r="N32" s="5"/>
      <c r="O32" s="5"/>
      <c r="P32" s="5"/>
      <c r="Q32" s="5"/>
      <c r="R32" s="5" t="s">
        <v>507</v>
      </c>
      <c r="S32" s="5"/>
      <c r="T32" s="5"/>
      <c r="U32" s="5"/>
      <c r="V32" s="5"/>
      <c r="W32" s="5"/>
      <c r="X32" s="5" t="s">
        <v>508</v>
      </c>
      <c r="Y32" s="5"/>
      <c r="Z32" s="5"/>
      <c r="AA32" s="5"/>
      <c r="AB32" s="5"/>
      <c r="AC32" s="5"/>
      <c r="AD32" s="5"/>
      <c r="AE32" s="5"/>
      <c r="AF32" s="5"/>
      <c r="AG32" s="5"/>
      <c r="AH32" s="5"/>
      <c r="AI32" s="5" t="s">
        <v>509</v>
      </c>
      <c r="AJ32" s="5" t="str">
        <f>CONCATENATE(J32,K32,L32,Q32,R32,X32,Y32,AA32,AG32, "156, 157, 158, 159, 169")</f>
        <v>138, 139, 140, 141, 142, 144, 145, 146, 147, 148, 149, 150, 154, 155, 161, 127, 128, 129, 130, 131, 132, 133, 134, 135, 136, 161, 156, 156, 157, 158, 159, 169</v>
      </c>
      <c r="AK32" s="5" t="s">
        <v>103</v>
      </c>
      <c r="AL32" s="5" t="s">
        <v>124</v>
      </c>
      <c r="AM32" s="5" t="s">
        <v>105</v>
      </c>
      <c r="AN32" s="5" t="s">
        <v>510</v>
      </c>
      <c r="AO32" s="6"/>
      <c r="AP32" s="6"/>
      <c r="AQ32" s="6"/>
      <c r="AR32" s="6"/>
      <c r="AS32" s="6"/>
      <c r="AT32" s="6"/>
      <c r="AU32" s="5" t="s">
        <v>511</v>
      </c>
      <c r="AV32" s="5" t="s">
        <v>108</v>
      </c>
      <c r="AW32" s="6"/>
      <c r="AX32" s="6"/>
      <c r="AY32" s="5" t="s">
        <v>497</v>
      </c>
      <c r="AZ32" s="5" t="b">
        <v>0</v>
      </c>
      <c r="BA32" s="5" t="s">
        <v>110</v>
      </c>
      <c r="BB32" s="5" t="s">
        <v>111</v>
      </c>
      <c r="BC32" s="6"/>
      <c r="BD32" s="5" t="s">
        <v>112</v>
      </c>
      <c r="BE32" s="5" t="s">
        <v>512</v>
      </c>
      <c r="BF32" s="6"/>
      <c r="BG32" s="6"/>
      <c r="BH32" s="6"/>
      <c r="BI32" s="6"/>
      <c r="BJ32" s="6"/>
      <c r="BK32" s="6"/>
      <c r="BL32" s="6"/>
      <c r="BM32" s="6"/>
      <c r="BN32" s="6"/>
      <c r="BO32" s="6"/>
      <c r="BP32" s="6"/>
      <c r="BQ32" s="6"/>
      <c r="BR32" s="6"/>
      <c r="BS32" s="6"/>
      <c r="BT32" s="6"/>
      <c r="BU32" s="6"/>
      <c r="BV32" s="6"/>
      <c r="BW32" s="6"/>
      <c r="BX32" s="6"/>
      <c r="BY32" s="6"/>
      <c r="BZ32" s="6"/>
      <c r="CA32" s="6"/>
      <c r="CB32" s="5" t="s">
        <v>513</v>
      </c>
      <c r="CC32" s="6"/>
      <c r="CD32" s="6"/>
      <c r="CE32" s="5" t="s">
        <v>115</v>
      </c>
      <c r="CF32" s="5" t="s">
        <v>514</v>
      </c>
      <c r="CG32" s="6"/>
      <c r="CH32" s="6"/>
      <c r="CI32" s="6"/>
      <c r="CJ32" s="6"/>
      <c r="CK32" s="6"/>
      <c r="CL32" s="6"/>
      <c r="CM32" s="6"/>
      <c r="CN32" s="6"/>
      <c r="CO32" s="6"/>
      <c r="CP32" s="6"/>
    </row>
    <row r="33">
      <c r="A33" s="7" t="s">
        <v>515</v>
      </c>
      <c r="B33" s="8" t="s">
        <v>516</v>
      </c>
      <c r="C33" s="8" t="s">
        <v>517</v>
      </c>
      <c r="D33" s="8" t="s">
        <v>94</v>
      </c>
      <c r="E33" s="8" t="s">
        <v>95</v>
      </c>
      <c r="F33" s="9"/>
      <c r="G33" s="8" t="s">
        <v>518</v>
      </c>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t="s">
        <v>519</v>
      </c>
      <c r="AJ33" s="8" t="str">
        <f t="shared" ref="AJ33:AJ45" si="5">CONCATENATE(J33,K33,L33,Q33,R33,X33,Y33,AA33,AG33)</f>
        <v/>
      </c>
      <c r="AK33" s="8"/>
      <c r="AL33" s="8"/>
      <c r="AM33" s="8" t="s">
        <v>105</v>
      </c>
      <c r="AN33" s="8" t="s">
        <v>520</v>
      </c>
      <c r="AO33" s="9"/>
      <c r="AP33" s="9"/>
      <c r="AQ33" s="9"/>
      <c r="AR33" s="9"/>
      <c r="AS33" s="9"/>
      <c r="AT33" s="9"/>
      <c r="AU33" s="8" t="s">
        <v>521</v>
      </c>
      <c r="AV33" s="8" t="s">
        <v>108</v>
      </c>
      <c r="AW33" s="9"/>
      <c r="AX33" s="9"/>
      <c r="AY33" s="8" t="s">
        <v>497</v>
      </c>
      <c r="AZ33" s="8" t="b">
        <v>0</v>
      </c>
      <c r="BA33" s="8" t="s">
        <v>110</v>
      </c>
      <c r="BB33" s="8" t="s">
        <v>277</v>
      </c>
      <c r="BC33" s="9"/>
      <c r="BD33" s="8" t="s">
        <v>112</v>
      </c>
      <c r="BE33" s="8" t="s">
        <v>522</v>
      </c>
      <c r="BF33" s="9"/>
      <c r="BG33" s="9"/>
      <c r="BH33" s="9"/>
      <c r="BI33" s="9"/>
      <c r="BJ33" s="9"/>
      <c r="BK33" s="9"/>
      <c r="BL33" s="9"/>
      <c r="BM33" s="9"/>
      <c r="BN33" s="9"/>
      <c r="BO33" s="9"/>
      <c r="BP33" s="9"/>
      <c r="BQ33" s="9"/>
      <c r="BR33" s="9"/>
      <c r="BS33" s="9"/>
      <c r="BT33" s="9"/>
      <c r="BU33" s="9"/>
      <c r="BV33" s="9"/>
      <c r="BW33" s="9"/>
      <c r="BX33" s="9"/>
      <c r="BY33" s="9"/>
      <c r="BZ33" s="9"/>
      <c r="CA33" s="9"/>
      <c r="CB33" s="8" t="s">
        <v>523</v>
      </c>
      <c r="CC33" s="9"/>
      <c r="CD33" s="9"/>
      <c r="CE33" s="8" t="s">
        <v>115</v>
      </c>
      <c r="CF33" s="8" t="s">
        <v>524</v>
      </c>
      <c r="CG33" s="9"/>
      <c r="CH33" s="9"/>
      <c r="CI33" s="9"/>
      <c r="CJ33" s="9"/>
      <c r="CK33" s="9"/>
      <c r="CL33" s="9"/>
      <c r="CM33" s="9"/>
      <c r="CN33" s="9"/>
      <c r="CO33" s="9"/>
      <c r="CP33" s="9"/>
    </row>
    <row r="34">
      <c r="A34" s="7" t="s">
        <v>525</v>
      </c>
      <c r="B34" s="8" t="s">
        <v>526</v>
      </c>
      <c r="C34" s="8" t="s">
        <v>527</v>
      </c>
      <c r="D34" s="8" t="s">
        <v>94</v>
      </c>
      <c r="E34" s="8" t="s">
        <v>95</v>
      </c>
      <c r="F34" s="9"/>
      <c r="G34" s="8" t="s">
        <v>528</v>
      </c>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t="str">
        <f t="shared" si="5"/>
        <v/>
      </c>
      <c r="AK34" s="8"/>
      <c r="AL34" s="8"/>
      <c r="AM34" s="8" t="s">
        <v>105</v>
      </c>
      <c r="AN34" s="8" t="s">
        <v>529</v>
      </c>
      <c r="AO34" s="9"/>
      <c r="AP34" s="9"/>
      <c r="AQ34" s="9"/>
      <c r="AR34" s="9"/>
      <c r="AS34" s="9"/>
      <c r="AT34" s="9"/>
      <c r="AU34" s="8" t="s">
        <v>530</v>
      </c>
      <c r="AV34" s="8" t="s">
        <v>108</v>
      </c>
      <c r="AW34" s="9"/>
      <c r="AX34" s="9"/>
      <c r="AY34" s="8" t="s">
        <v>497</v>
      </c>
      <c r="AZ34" s="8" t="b">
        <v>0</v>
      </c>
      <c r="BA34" s="8" t="s">
        <v>110</v>
      </c>
      <c r="BB34" s="8" t="s">
        <v>277</v>
      </c>
      <c r="BC34" s="9"/>
      <c r="BD34" s="8" t="s">
        <v>112</v>
      </c>
      <c r="BE34" s="8" t="s">
        <v>531</v>
      </c>
      <c r="BF34" s="9"/>
      <c r="BG34" s="9"/>
      <c r="BH34" s="9"/>
      <c r="BI34" s="9"/>
      <c r="BJ34" s="9"/>
      <c r="BK34" s="9"/>
      <c r="BL34" s="9"/>
      <c r="BM34" s="9"/>
      <c r="BN34" s="9"/>
      <c r="BO34" s="9"/>
      <c r="BP34" s="9"/>
      <c r="BQ34" s="9"/>
      <c r="BR34" s="9"/>
      <c r="BS34" s="9"/>
      <c r="BT34" s="9"/>
      <c r="BU34" s="9"/>
      <c r="BV34" s="9"/>
      <c r="BW34" s="9"/>
      <c r="BX34" s="9"/>
      <c r="BY34" s="9"/>
      <c r="BZ34" s="9"/>
      <c r="CA34" s="9"/>
      <c r="CB34" s="8" t="s">
        <v>532</v>
      </c>
      <c r="CC34" s="9"/>
      <c r="CD34" s="9"/>
      <c r="CE34" s="8" t="s">
        <v>115</v>
      </c>
      <c r="CF34" s="8" t="s">
        <v>533</v>
      </c>
      <c r="CG34" s="9"/>
      <c r="CH34" s="9"/>
      <c r="CI34" s="9"/>
      <c r="CJ34" s="9"/>
      <c r="CK34" s="9"/>
      <c r="CL34" s="9"/>
      <c r="CM34" s="9"/>
      <c r="CN34" s="9"/>
      <c r="CO34" s="9"/>
      <c r="CP34" s="9"/>
    </row>
    <row r="35">
      <c r="A35" s="7" t="s">
        <v>534</v>
      </c>
      <c r="B35" s="8" t="s">
        <v>535</v>
      </c>
      <c r="C35" s="8" t="s">
        <v>536</v>
      </c>
      <c r="D35" s="8" t="s">
        <v>94</v>
      </c>
      <c r="E35" s="8" t="s">
        <v>95</v>
      </c>
      <c r="F35" s="9"/>
      <c r="G35" s="8" t="s">
        <v>537</v>
      </c>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t="str">
        <f t="shared" si="5"/>
        <v/>
      </c>
      <c r="AK35" s="8"/>
      <c r="AL35" s="8"/>
      <c r="AM35" s="8" t="s">
        <v>105</v>
      </c>
      <c r="AN35" s="8" t="s">
        <v>538</v>
      </c>
      <c r="AO35" s="9"/>
      <c r="AP35" s="9"/>
      <c r="AQ35" s="9"/>
      <c r="AR35" s="9"/>
      <c r="AS35" s="9"/>
      <c r="AT35" s="9"/>
      <c r="AU35" s="8" t="s">
        <v>539</v>
      </c>
      <c r="AV35" s="8" t="s">
        <v>108</v>
      </c>
      <c r="AW35" s="9"/>
      <c r="AX35" s="9"/>
      <c r="AY35" s="8" t="s">
        <v>497</v>
      </c>
      <c r="AZ35" s="8" t="b">
        <v>0</v>
      </c>
      <c r="BA35" s="8" t="s">
        <v>110</v>
      </c>
      <c r="BB35" s="8" t="s">
        <v>277</v>
      </c>
      <c r="BC35" s="9"/>
      <c r="BD35" s="8" t="s">
        <v>112</v>
      </c>
      <c r="BE35" s="8" t="s">
        <v>540</v>
      </c>
      <c r="BF35" s="9"/>
      <c r="BG35" s="9"/>
      <c r="BH35" s="9"/>
      <c r="BI35" s="9"/>
      <c r="BJ35" s="9"/>
      <c r="BK35" s="9"/>
      <c r="BL35" s="9"/>
      <c r="BM35" s="9"/>
      <c r="BN35" s="9"/>
      <c r="BO35" s="9"/>
      <c r="BP35" s="9"/>
      <c r="BQ35" s="9"/>
      <c r="BR35" s="9"/>
      <c r="BS35" s="9"/>
      <c r="BT35" s="9"/>
      <c r="BU35" s="9"/>
      <c r="BV35" s="9"/>
      <c r="BW35" s="9"/>
      <c r="BX35" s="9"/>
      <c r="BY35" s="9"/>
      <c r="BZ35" s="9"/>
      <c r="CA35" s="9"/>
      <c r="CB35" s="8" t="s">
        <v>541</v>
      </c>
      <c r="CC35" s="9"/>
      <c r="CD35" s="9"/>
      <c r="CE35" s="8" t="s">
        <v>115</v>
      </c>
      <c r="CF35" s="8" t="s">
        <v>542</v>
      </c>
      <c r="CG35" s="9"/>
      <c r="CH35" s="9"/>
      <c r="CI35" s="9"/>
      <c r="CJ35" s="9"/>
      <c r="CK35" s="9"/>
      <c r="CL35" s="9"/>
      <c r="CM35" s="9"/>
      <c r="CN35" s="9"/>
      <c r="CO35" s="9"/>
      <c r="CP35" s="9"/>
    </row>
    <row r="36">
      <c r="A36" s="7" t="s">
        <v>543</v>
      </c>
      <c r="B36" s="8" t="s">
        <v>544</v>
      </c>
      <c r="C36" s="8" t="s">
        <v>545</v>
      </c>
      <c r="D36" s="8" t="s">
        <v>94</v>
      </c>
      <c r="E36" s="8" t="s">
        <v>95</v>
      </c>
      <c r="F36" s="9"/>
      <c r="G36" s="8" t="s">
        <v>546</v>
      </c>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t="str">
        <f t="shared" si="5"/>
        <v/>
      </c>
      <c r="AK36" s="8"/>
      <c r="AL36" s="8"/>
      <c r="AM36" s="8" t="s">
        <v>105</v>
      </c>
      <c r="AN36" s="8" t="s">
        <v>547</v>
      </c>
      <c r="AO36" s="9"/>
      <c r="AP36" s="9"/>
      <c r="AQ36" s="9"/>
      <c r="AR36" s="9"/>
      <c r="AS36" s="9"/>
      <c r="AT36" s="9"/>
      <c r="AU36" s="8" t="s">
        <v>548</v>
      </c>
      <c r="AV36" s="8" t="s">
        <v>108</v>
      </c>
      <c r="AW36" s="9"/>
      <c r="AX36" s="9"/>
      <c r="AY36" s="8" t="s">
        <v>497</v>
      </c>
      <c r="AZ36" s="8" t="b">
        <v>0</v>
      </c>
      <c r="BA36" s="8" t="s">
        <v>110</v>
      </c>
      <c r="BB36" s="8" t="s">
        <v>111</v>
      </c>
      <c r="BC36" s="9"/>
      <c r="BD36" s="8" t="s">
        <v>112</v>
      </c>
      <c r="BE36" s="8" t="s">
        <v>549</v>
      </c>
      <c r="BF36" s="9"/>
      <c r="BG36" s="9"/>
      <c r="BH36" s="9"/>
      <c r="BI36" s="9"/>
      <c r="BJ36" s="9"/>
      <c r="BK36" s="9"/>
      <c r="BL36" s="9"/>
      <c r="BM36" s="9"/>
      <c r="BN36" s="9"/>
      <c r="BO36" s="9"/>
      <c r="BP36" s="9"/>
      <c r="BQ36" s="9"/>
      <c r="BR36" s="9"/>
      <c r="BS36" s="9"/>
      <c r="BT36" s="9"/>
      <c r="BU36" s="9"/>
      <c r="BV36" s="9"/>
      <c r="BW36" s="9"/>
      <c r="BX36" s="9"/>
      <c r="BY36" s="9"/>
      <c r="BZ36" s="9"/>
      <c r="CA36" s="9"/>
      <c r="CB36" s="8" t="s">
        <v>550</v>
      </c>
      <c r="CC36" s="9"/>
      <c r="CD36" s="9"/>
      <c r="CE36" s="8" t="s">
        <v>115</v>
      </c>
      <c r="CF36" s="8" t="s">
        <v>551</v>
      </c>
      <c r="CG36" s="9"/>
      <c r="CH36" s="9"/>
      <c r="CI36" s="9"/>
      <c r="CJ36" s="9"/>
      <c r="CK36" s="9"/>
      <c r="CL36" s="9"/>
      <c r="CM36" s="9"/>
      <c r="CN36" s="9"/>
      <c r="CO36" s="9"/>
      <c r="CP36" s="9"/>
    </row>
    <row r="37">
      <c r="A37" s="7" t="s">
        <v>552</v>
      </c>
      <c r="B37" s="8" t="s">
        <v>553</v>
      </c>
      <c r="C37" s="8" t="s">
        <v>554</v>
      </c>
      <c r="D37" s="8" t="s">
        <v>94</v>
      </c>
      <c r="E37" s="8" t="s">
        <v>95</v>
      </c>
      <c r="F37" s="9"/>
      <c r="G37" s="8" t="s">
        <v>555</v>
      </c>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t="str">
        <f t="shared" si="5"/>
        <v/>
      </c>
      <c r="AK37" s="8"/>
      <c r="AL37" s="8"/>
      <c r="AM37" s="8" t="s">
        <v>105</v>
      </c>
      <c r="AN37" s="8" t="s">
        <v>556</v>
      </c>
      <c r="AO37" s="9"/>
      <c r="AP37" s="9"/>
      <c r="AQ37" s="9"/>
      <c r="AR37" s="9"/>
      <c r="AS37" s="9"/>
      <c r="AT37" s="9"/>
      <c r="AU37" s="8" t="s">
        <v>557</v>
      </c>
      <c r="AV37" s="8" t="s">
        <v>108</v>
      </c>
      <c r="AW37" s="9"/>
      <c r="AX37" s="9"/>
      <c r="AY37" s="8" t="s">
        <v>497</v>
      </c>
      <c r="AZ37" s="8" t="b">
        <v>0</v>
      </c>
      <c r="BA37" s="8" t="s">
        <v>110</v>
      </c>
      <c r="BB37" s="8" t="s">
        <v>111</v>
      </c>
      <c r="BC37" s="9"/>
      <c r="BD37" s="8" t="s">
        <v>112</v>
      </c>
      <c r="BE37" s="8" t="s">
        <v>558</v>
      </c>
      <c r="BF37" s="9"/>
      <c r="BG37" s="9"/>
      <c r="BH37" s="9"/>
      <c r="BI37" s="9"/>
      <c r="BJ37" s="9"/>
      <c r="BK37" s="9"/>
      <c r="BL37" s="9"/>
      <c r="BM37" s="9"/>
      <c r="BN37" s="9"/>
      <c r="BO37" s="9"/>
      <c r="BP37" s="9"/>
      <c r="BQ37" s="9"/>
      <c r="BR37" s="9"/>
      <c r="BS37" s="9"/>
      <c r="BT37" s="9"/>
      <c r="BU37" s="9"/>
      <c r="BV37" s="9"/>
      <c r="BW37" s="9"/>
      <c r="BX37" s="9"/>
      <c r="BY37" s="9"/>
      <c r="BZ37" s="9"/>
      <c r="CA37" s="9"/>
      <c r="CB37" s="8" t="s">
        <v>550</v>
      </c>
      <c r="CC37" s="9"/>
      <c r="CD37" s="9"/>
      <c r="CE37" s="8" t="s">
        <v>115</v>
      </c>
      <c r="CF37" s="8" t="s">
        <v>559</v>
      </c>
      <c r="CG37" s="9"/>
      <c r="CH37" s="9"/>
      <c r="CI37" s="9"/>
      <c r="CJ37" s="9"/>
      <c r="CK37" s="9"/>
      <c r="CL37" s="9"/>
      <c r="CM37" s="9"/>
      <c r="CN37" s="9"/>
      <c r="CO37" s="9"/>
      <c r="CP37" s="9"/>
    </row>
    <row r="38">
      <c r="A38" s="7" t="s">
        <v>560</v>
      </c>
      <c r="B38" s="8" t="s">
        <v>561</v>
      </c>
      <c r="C38" s="8" t="s">
        <v>562</v>
      </c>
      <c r="D38" s="8" t="s">
        <v>94</v>
      </c>
      <c r="E38" s="8" t="s">
        <v>95</v>
      </c>
      <c r="F38" s="9"/>
      <c r="G38" s="8" t="s">
        <v>563</v>
      </c>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t="str">
        <f t="shared" si="5"/>
        <v/>
      </c>
      <c r="AK38" s="8"/>
      <c r="AL38" s="8"/>
      <c r="AM38" s="8" t="s">
        <v>105</v>
      </c>
      <c r="AN38" s="8" t="s">
        <v>564</v>
      </c>
      <c r="AO38" s="9"/>
      <c r="AP38" s="9"/>
      <c r="AQ38" s="9"/>
      <c r="AR38" s="9"/>
      <c r="AS38" s="9"/>
      <c r="AT38" s="9"/>
      <c r="AU38" s="8" t="s">
        <v>565</v>
      </c>
      <c r="AV38" s="8" t="s">
        <v>108</v>
      </c>
      <c r="AW38" s="9"/>
      <c r="AX38" s="9"/>
      <c r="AY38" s="8" t="s">
        <v>566</v>
      </c>
      <c r="AZ38" s="8" t="b">
        <v>0</v>
      </c>
      <c r="BA38" s="8" t="s">
        <v>110</v>
      </c>
      <c r="BB38" s="8" t="s">
        <v>277</v>
      </c>
      <c r="BC38" s="9"/>
      <c r="BD38" s="8" t="s">
        <v>112</v>
      </c>
      <c r="BE38" s="8" t="s">
        <v>567</v>
      </c>
      <c r="BF38" s="9"/>
      <c r="BG38" s="9"/>
      <c r="BH38" s="9"/>
      <c r="BI38" s="9"/>
      <c r="BJ38" s="9"/>
      <c r="BK38" s="9"/>
      <c r="BL38" s="9"/>
      <c r="BM38" s="9"/>
      <c r="BN38" s="9"/>
      <c r="BO38" s="9"/>
      <c r="BP38" s="9"/>
      <c r="BQ38" s="9"/>
      <c r="BR38" s="9"/>
      <c r="BS38" s="9"/>
      <c r="BT38" s="9"/>
      <c r="BU38" s="9"/>
      <c r="BV38" s="9"/>
      <c r="BW38" s="9"/>
      <c r="BX38" s="9"/>
      <c r="BY38" s="9"/>
      <c r="BZ38" s="9"/>
      <c r="CA38" s="9"/>
      <c r="CB38" s="8" t="s">
        <v>541</v>
      </c>
      <c r="CC38" s="9"/>
      <c r="CD38" s="9"/>
      <c r="CE38" s="8" t="s">
        <v>115</v>
      </c>
      <c r="CF38" s="8" t="s">
        <v>568</v>
      </c>
      <c r="CG38" s="9"/>
      <c r="CH38" s="9"/>
      <c r="CI38" s="9"/>
      <c r="CJ38" s="9"/>
      <c r="CK38" s="9"/>
      <c r="CL38" s="9"/>
      <c r="CM38" s="9"/>
      <c r="CN38" s="9"/>
      <c r="CO38" s="9"/>
      <c r="CP38" s="9"/>
    </row>
    <row r="39">
      <c r="A39" s="7" t="s">
        <v>569</v>
      </c>
      <c r="B39" s="8" t="s">
        <v>570</v>
      </c>
      <c r="C39" s="8" t="s">
        <v>571</v>
      </c>
      <c r="D39" s="8" t="s">
        <v>94</v>
      </c>
      <c r="E39" s="8" t="s">
        <v>95</v>
      </c>
      <c r="F39" s="9"/>
      <c r="G39" s="8" t="s">
        <v>572</v>
      </c>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t="str">
        <f t="shared" si="5"/>
        <v/>
      </c>
      <c r="AK39" s="8"/>
      <c r="AL39" s="8"/>
      <c r="AM39" s="8" t="s">
        <v>105</v>
      </c>
      <c r="AN39" s="8" t="s">
        <v>573</v>
      </c>
      <c r="AO39" s="9"/>
      <c r="AP39" s="9"/>
      <c r="AQ39" s="9"/>
      <c r="AR39" s="9"/>
      <c r="AS39" s="9"/>
      <c r="AT39" s="9"/>
      <c r="AU39" s="8" t="s">
        <v>574</v>
      </c>
      <c r="AV39" s="8" t="s">
        <v>108</v>
      </c>
      <c r="AW39" s="9"/>
      <c r="AX39" s="9"/>
      <c r="AY39" s="8" t="s">
        <v>566</v>
      </c>
      <c r="AZ39" s="8" t="b">
        <v>0</v>
      </c>
      <c r="BA39" s="8" t="s">
        <v>110</v>
      </c>
      <c r="BB39" s="8" t="s">
        <v>111</v>
      </c>
      <c r="BC39" s="9"/>
      <c r="BD39" s="8" t="s">
        <v>112</v>
      </c>
      <c r="BE39" s="8" t="s">
        <v>575</v>
      </c>
      <c r="BF39" s="9"/>
      <c r="BG39" s="9"/>
      <c r="BH39" s="9"/>
      <c r="BI39" s="9"/>
      <c r="BJ39" s="9"/>
      <c r="BK39" s="9"/>
      <c r="BL39" s="9"/>
      <c r="BM39" s="9"/>
      <c r="BN39" s="9"/>
      <c r="BO39" s="9"/>
      <c r="BP39" s="9"/>
      <c r="BQ39" s="9"/>
      <c r="BR39" s="9"/>
      <c r="BS39" s="9"/>
      <c r="BT39" s="9"/>
      <c r="BU39" s="9"/>
      <c r="BV39" s="9"/>
      <c r="BW39" s="9"/>
      <c r="BX39" s="9"/>
      <c r="BY39" s="9"/>
      <c r="BZ39" s="9"/>
      <c r="CA39" s="9"/>
      <c r="CB39" s="8" t="s">
        <v>550</v>
      </c>
      <c r="CC39" s="9"/>
      <c r="CD39" s="9"/>
      <c r="CE39" s="8" t="s">
        <v>115</v>
      </c>
      <c r="CF39" s="8" t="s">
        <v>576</v>
      </c>
      <c r="CG39" s="9"/>
      <c r="CH39" s="9"/>
      <c r="CI39" s="9"/>
      <c r="CJ39" s="9"/>
      <c r="CK39" s="9"/>
      <c r="CL39" s="9"/>
      <c r="CM39" s="9"/>
      <c r="CN39" s="9"/>
      <c r="CO39" s="9"/>
      <c r="CP39" s="9"/>
    </row>
    <row r="40">
      <c r="A40" s="7" t="s">
        <v>577</v>
      </c>
      <c r="B40" s="8" t="s">
        <v>578</v>
      </c>
      <c r="C40" s="8" t="s">
        <v>579</v>
      </c>
      <c r="D40" s="8" t="s">
        <v>94</v>
      </c>
      <c r="E40" s="8" t="s">
        <v>95</v>
      </c>
      <c r="F40" s="9"/>
      <c r="G40" s="8" t="s">
        <v>580</v>
      </c>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t="str">
        <f t="shared" si="5"/>
        <v/>
      </c>
      <c r="AK40" s="8"/>
      <c r="AL40" s="8"/>
      <c r="AM40" s="8" t="s">
        <v>105</v>
      </c>
      <c r="AN40" s="8" t="s">
        <v>581</v>
      </c>
      <c r="AO40" s="9"/>
      <c r="AP40" s="9"/>
      <c r="AQ40" s="9"/>
      <c r="AR40" s="9"/>
      <c r="AS40" s="9"/>
      <c r="AT40" s="9"/>
      <c r="AU40" s="8" t="s">
        <v>582</v>
      </c>
      <c r="AV40" s="8" t="s">
        <v>108</v>
      </c>
      <c r="AW40" s="9"/>
      <c r="AX40" s="9"/>
      <c r="AY40" s="8" t="s">
        <v>583</v>
      </c>
      <c r="AZ40" s="8" t="b">
        <v>0</v>
      </c>
      <c r="BA40" s="8" t="s">
        <v>110</v>
      </c>
      <c r="BB40" s="8" t="s">
        <v>277</v>
      </c>
      <c r="BC40" s="9"/>
      <c r="BD40" s="9"/>
      <c r="BE40" s="8" t="s">
        <v>584</v>
      </c>
      <c r="BF40" s="9"/>
      <c r="BG40" s="9"/>
      <c r="BH40" s="9"/>
      <c r="BI40" s="9"/>
      <c r="BJ40" s="9"/>
      <c r="BK40" s="9"/>
      <c r="BL40" s="9"/>
      <c r="BM40" s="9"/>
      <c r="BN40" s="9"/>
      <c r="BO40" s="9"/>
      <c r="BP40" s="9"/>
      <c r="BQ40" s="9"/>
      <c r="BR40" s="9"/>
      <c r="BS40" s="9"/>
      <c r="BT40" s="9"/>
      <c r="BU40" s="9"/>
      <c r="BV40" s="9"/>
      <c r="BW40" s="9"/>
      <c r="BX40" s="9"/>
      <c r="BY40" s="9"/>
      <c r="BZ40" s="9"/>
      <c r="CA40" s="9"/>
      <c r="CB40" s="8" t="s">
        <v>585</v>
      </c>
      <c r="CC40" s="9"/>
      <c r="CD40" s="9"/>
      <c r="CE40" s="8" t="s">
        <v>115</v>
      </c>
      <c r="CF40" s="8" t="s">
        <v>586</v>
      </c>
      <c r="CG40" s="9"/>
      <c r="CH40" s="9"/>
      <c r="CI40" s="9"/>
      <c r="CJ40" s="9"/>
      <c r="CK40" s="9"/>
      <c r="CL40" s="9"/>
      <c r="CM40" s="9"/>
      <c r="CN40" s="9"/>
      <c r="CO40" s="9"/>
      <c r="CP40" s="9"/>
    </row>
    <row r="41">
      <c r="A41" s="7" t="s">
        <v>587</v>
      </c>
      <c r="B41" s="8" t="s">
        <v>588</v>
      </c>
      <c r="C41" s="8" t="s">
        <v>589</v>
      </c>
      <c r="D41" s="8" t="s">
        <v>94</v>
      </c>
      <c r="E41" s="8" t="s">
        <v>95</v>
      </c>
      <c r="F41" s="9"/>
      <c r="G41" s="8" t="s">
        <v>590</v>
      </c>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t="str">
        <f t="shared" si="5"/>
        <v/>
      </c>
      <c r="AK41" s="8"/>
      <c r="AL41" s="8"/>
      <c r="AM41" s="8" t="s">
        <v>591</v>
      </c>
      <c r="AN41" s="8" t="s">
        <v>240</v>
      </c>
      <c r="AO41" s="9"/>
      <c r="AP41" s="9"/>
      <c r="AQ41" s="9"/>
      <c r="AR41" s="8" t="s">
        <v>592</v>
      </c>
      <c r="AS41" s="8" t="s">
        <v>593</v>
      </c>
      <c r="AT41" s="9"/>
      <c r="AU41" s="8" t="s">
        <v>594</v>
      </c>
      <c r="AV41" s="8" t="s">
        <v>108</v>
      </c>
      <c r="AW41" s="9"/>
      <c r="AX41" s="9"/>
      <c r="AY41" s="8" t="s">
        <v>583</v>
      </c>
      <c r="AZ41" s="8" t="b">
        <v>0</v>
      </c>
      <c r="BA41" s="8" t="s">
        <v>110</v>
      </c>
      <c r="BB41" s="8" t="s">
        <v>191</v>
      </c>
      <c r="BC41" s="9"/>
      <c r="BD41" s="8" t="s">
        <v>481</v>
      </c>
      <c r="BE41" s="8" t="s">
        <v>595</v>
      </c>
      <c r="BF41" s="9"/>
      <c r="BG41" s="9"/>
      <c r="BH41" s="9"/>
      <c r="BI41" s="9"/>
      <c r="BJ41" s="9"/>
      <c r="BK41" s="9"/>
      <c r="BL41" s="9"/>
      <c r="BM41" s="9"/>
      <c r="BN41" s="9"/>
      <c r="BO41" s="9"/>
      <c r="BP41" s="9"/>
      <c r="BQ41" s="9"/>
      <c r="BR41" s="9"/>
      <c r="BS41" s="9"/>
      <c r="BT41" s="9"/>
      <c r="BU41" s="9"/>
      <c r="BV41" s="9"/>
      <c r="BW41" s="9"/>
      <c r="BX41" s="9"/>
      <c r="BY41" s="9"/>
      <c r="BZ41" s="9"/>
      <c r="CA41" s="9"/>
      <c r="CB41" s="8" t="s">
        <v>596</v>
      </c>
      <c r="CC41" s="9"/>
      <c r="CD41" s="9"/>
      <c r="CE41" s="8" t="s">
        <v>115</v>
      </c>
      <c r="CF41" s="8" t="s">
        <v>597</v>
      </c>
      <c r="CG41" s="9"/>
      <c r="CH41" s="9"/>
      <c r="CI41" s="9"/>
      <c r="CJ41" s="9"/>
      <c r="CK41" s="9"/>
      <c r="CL41" s="9"/>
      <c r="CM41" s="9"/>
      <c r="CN41" s="9"/>
      <c r="CO41" s="9"/>
      <c r="CP41" s="9"/>
    </row>
    <row r="42">
      <c r="A42" s="7" t="s">
        <v>598</v>
      </c>
      <c r="B42" s="8" t="s">
        <v>599</v>
      </c>
      <c r="C42" s="8" t="s">
        <v>600</v>
      </c>
      <c r="D42" s="8" t="s">
        <v>94</v>
      </c>
      <c r="E42" s="8" t="s">
        <v>95</v>
      </c>
      <c r="F42" s="9"/>
      <c r="G42" s="8" t="s">
        <v>601</v>
      </c>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t="str">
        <f t="shared" si="5"/>
        <v/>
      </c>
      <c r="AK42" s="8"/>
      <c r="AL42" s="8"/>
      <c r="AM42" s="8" t="s">
        <v>105</v>
      </c>
      <c r="AN42" s="8" t="s">
        <v>602</v>
      </c>
      <c r="AO42" s="9"/>
      <c r="AP42" s="9"/>
      <c r="AQ42" s="9"/>
      <c r="AR42" s="9"/>
      <c r="AS42" s="9"/>
      <c r="AT42" s="9"/>
      <c r="AU42" s="8" t="s">
        <v>603</v>
      </c>
      <c r="AV42" s="9"/>
      <c r="AW42" s="9"/>
      <c r="AX42" s="9"/>
      <c r="AY42" s="8" t="s">
        <v>604</v>
      </c>
      <c r="AZ42" s="8" t="b">
        <v>0</v>
      </c>
      <c r="BA42" s="8" t="s">
        <v>190</v>
      </c>
      <c r="BB42" s="8" t="s">
        <v>605</v>
      </c>
      <c r="BC42" s="9"/>
      <c r="BD42" s="9"/>
      <c r="BE42" s="8" t="s">
        <v>606</v>
      </c>
      <c r="BF42" s="9"/>
      <c r="BG42" s="9"/>
      <c r="BH42" s="9"/>
      <c r="BI42" s="9"/>
      <c r="BJ42" s="9"/>
      <c r="BK42" s="9"/>
      <c r="BL42" s="9"/>
      <c r="BM42" s="9"/>
      <c r="BN42" s="9"/>
      <c r="BO42" s="9"/>
      <c r="BP42" s="9"/>
      <c r="BQ42" s="9"/>
      <c r="BR42" s="8" t="s">
        <v>193</v>
      </c>
      <c r="BS42" s="8" t="s">
        <v>194</v>
      </c>
      <c r="BT42" s="9"/>
      <c r="BU42" s="9"/>
      <c r="BV42" s="9"/>
      <c r="BW42" s="9"/>
      <c r="BX42" s="9"/>
      <c r="BY42" s="8" t="s">
        <v>607</v>
      </c>
      <c r="BZ42" s="9"/>
      <c r="CA42" s="9"/>
      <c r="CB42" s="8" t="s">
        <v>608</v>
      </c>
      <c r="CC42" s="9"/>
      <c r="CD42" s="9"/>
      <c r="CE42" s="8" t="s">
        <v>412</v>
      </c>
      <c r="CF42" s="8" t="s">
        <v>609</v>
      </c>
      <c r="CG42" s="9"/>
      <c r="CH42" s="9"/>
      <c r="CI42" s="9"/>
      <c r="CJ42" s="9"/>
      <c r="CK42" s="9"/>
      <c r="CL42" s="9"/>
      <c r="CM42" s="9"/>
      <c r="CN42" s="9"/>
      <c r="CO42" s="9"/>
      <c r="CP42" s="9"/>
    </row>
    <row r="43">
      <c r="A43" s="7" t="s">
        <v>610</v>
      </c>
      <c r="B43" s="8" t="s">
        <v>611</v>
      </c>
      <c r="C43" s="8" t="s">
        <v>612</v>
      </c>
      <c r="D43" s="8" t="s">
        <v>94</v>
      </c>
      <c r="E43" s="8" t="s">
        <v>95</v>
      </c>
      <c r="F43" s="9"/>
      <c r="G43" s="8" t="s">
        <v>613</v>
      </c>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t="str">
        <f t="shared" si="5"/>
        <v/>
      </c>
      <c r="AK43" s="8"/>
      <c r="AL43" s="8"/>
      <c r="AM43" s="8" t="s">
        <v>105</v>
      </c>
      <c r="AN43" s="8" t="s">
        <v>614</v>
      </c>
      <c r="AO43" s="9"/>
      <c r="AP43" s="8" t="s">
        <v>615</v>
      </c>
      <c r="AQ43" s="9"/>
      <c r="AR43" s="9"/>
      <c r="AS43" s="9"/>
      <c r="AT43" s="9"/>
      <c r="AU43" s="8" t="s">
        <v>616</v>
      </c>
      <c r="AV43" s="9"/>
      <c r="AW43" s="9"/>
      <c r="AX43" s="9"/>
      <c r="AY43" s="8" t="s">
        <v>604</v>
      </c>
      <c r="AZ43" s="8" t="b">
        <v>0</v>
      </c>
      <c r="BA43" s="8" t="s">
        <v>190</v>
      </c>
      <c r="BB43" s="8" t="s">
        <v>191</v>
      </c>
      <c r="BC43" s="9"/>
      <c r="BD43" s="9"/>
      <c r="BE43" s="8" t="s">
        <v>617</v>
      </c>
      <c r="BF43" s="9"/>
      <c r="BG43" s="9"/>
      <c r="BH43" s="9"/>
      <c r="BI43" s="9"/>
      <c r="BJ43" s="9"/>
      <c r="BK43" s="9"/>
      <c r="BL43" s="9"/>
      <c r="BM43" s="9"/>
      <c r="BN43" s="9"/>
      <c r="BO43" s="9"/>
      <c r="BP43" s="9"/>
      <c r="BQ43" s="9"/>
      <c r="BR43" s="8" t="s">
        <v>193</v>
      </c>
      <c r="BS43" s="8" t="s">
        <v>194</v>
      </c>
      <c r="BT43" s="8" t="s">
        <v>618</v>
      </c>
      <c r="BU43" s="9"/>
      <c r="BV43" s="9"/>
      <c r="BW43" s="9"/>
      <c r="BX43" s="9"/>
      <c r="BY43" s="9"/>
      <c r="BZ43" s="9"/>
      <c r="CA43" s="9"/>
      <c r="CB43" s="8" t="s">
        <v>619</v>
      </c>
      <c r="CC43" s="9"/>
      <c r="CD43" s="9"/>
      <c r="CE43" s="8" t="s">
        <v>412</v>
      </c>
      <c r="CF43" s="8" t="s">
        <v>620</v>
      </c>
      <c r="CG43" s="9"/>
      <c r="CH43" s="9"/>
      <c r="CI43" s="9"/>
      <c r="CJ43" s="9"/>
      <c r="CK43" s="9"/>
      <c r="CL43" s="9"/>
      <c r="CM43" s="9"/>
      <c r="CN43" s="9"/>
      <c r="CO43" s="9"/>
      <c r="CP43" s="9"/>
    </row>
    <row r="44">
      <c r="A44" s="7" t="s">
        <v>621</v>
      </c>
      <c r="B44" s="8" t="s">
        <v>622</v>
      </c>
      <c r="C44" s="8" t="s">
        <v>623</v>
      </c>
      <c r="D44" s="8" t="s">
        <v>94</v>
      </c>
      <c r="E44" s="8" t="s">
        <v>95</v>
      </c>
      <c r="F44" s="9"/>
      <c r="G44" s="8" t="s">
        <v>624</v>
      </c>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t="str">
        <f t="shared" si="5"/>
        <v/>
      </c>
      <c r="AK44" s="8"/>
      <c r="AL44" s="8"/>
      <c r="AM44" s="8" t="s">
        <v>105</v>
      </c>
      <c r="AN44" s="8" t="s">
        <v>625</v>
      </c>
      <c r="AO44" s="9"/>
      <c r="AP44" s="8" t="s">
        <v>626</v>
      </c>
      <c r="AQ44" s="9"/>
      <c r="AR44" s="9"/>
      <c r="AS44" s="9"/>
      <c r="AT44" s="9"/>
      <c r="AU44" s="8" t="s">
        <v>627</v>
      </c>
      <c r="AV44" s="9"/>
      <c r="AW44" s="9"/>
      <c r="AX44" s="9"/>
      <c r="AY44" s="8" t="s">
        <v>604</v>
      </c>
      <c r="AZ44" s="8" t="b">
        <v>0</v>
      </c>
      <c r="BA44" s="8" t="s">
        <v>190</v>
      </c>
      <c r="BB44" s="8" t="s">
        <v>628</v>
      </c>
      <c r="BC44" s="8" t="s">
        <v>629</v>
      </c>
      <c r="BD44" s="8" t="s">
        <v>630</v>
      </c>
      <c r="BE44" s="8" t="s">
        <v>631</v>
      </c>
      <c r="BF44" s="9"/>
      <c r="BG44" s="9"/>
      <c r="BH44" s="9"/>
      <c r="BI44" s="8" t="s">
        <v>632</v>
      </c>
      <c r="BJ44" s="8" t="s">
        <v>290</v>
      </c>
      <c r="BK44" s="8" t="s">
        <v>633</v>
      </c>
      <c r="BL44" s="9"/>
      <c r="BM44" s="9"/>
      <c r="BN44" s="9"/>
      <c r="BO44" s="9"/>
      <c r="BP44" s="9"/>
      <c r="BQ44" s="9"/>
      <c r="BR44" s="8" t="s">
        <v>193</v>
      </c>
      <c r="BS44" s="9"/>
      <c r="BT44" s="9"/>
      <c r="BU44" s="9"/>
      <c r="BV44" s="8" t="s">
        <v>634</v>
      </c>
      <c r="BW44" s="9"/>
      <c r="BX44" s="9"/>
      <c r="BY44" s="9"/>
      <c r="BZ44" s="9"/>
      <c r="CA44" s="9"/>
      <c r="CB44" s="9"/>
      <c r="CC44" s="9"/>
      <c r="CD44" s="8" t="s">
        <v>635</v>
      </c>
      <c r="CE44" s="8" t="s">
        <v>115</v>
      </c>
      <c r="CF44" s="8" t="s">
        <v>636</v>
      </c>
      <c r="CG44" s="9"/>
      <c r="CH44" s="9"/>
      <c r="CI44" s="9"/>
      <c r="CJ44" s="9"/>
      <c r="CK44" s="9"/>
      <c r="CL44" s="9"/>
      <c r="CM44" s="9"/>
      <c r="CN44" s="9"/>
      <c r="CO44" s="9"/>
      <c r="CP44" s="9"/>
    </row>
    <row r="45">
      <c r="A45" s="7" t="s">
        <v>637</v>
      </c>
      <c r="B45" s="8" t="s">
        <v>638</v>
      </c>
      <c r="C45" s="8" t="s">
        <v>639</v>
      </c>
      <c r="D45" s="8" t="s">
        <v>94</v>
      </c>
      <c r="E45" s="8" t="s">
        <v>95</v>
      </c>
      <c r="F45" s="9"/>
      <c r="G45" s="8" t="s">
        <v>640</v>
      </c>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t="str">
        <f t="shared" si="5"/>
        <v/>
      </c>
      <c r="AK45" s="8"/>
      <c r="AL45" s="8"/>
      <c r="AM45" s="8" t="s">
        <v>133</v>
      </c>
      <c r="AN45" s="8" t="s">
        <v>641</v>
      </c>
      <c r="AO45" s="9"/>
      <c r="AP45" s="8" t="s">
        <v>642</v>
      </c>
      <c r="AQ45" s="9"/>
      <c r="AR45" s="9"/>
      <c r="AS45" s="9"/>
      <c r="AT45" s="9"/>
      <c r="AU45" s="8" t="s">
        <v>643</v>
      </c>
      <c r="AV45" s="9"/>
      <c r="AW45" s="9"/>
      <c r="AX45" s="9"/>
      <c r="AY45" s="8" t="s">
        <v>604</v>
      </c>
      <c r="AZ45" s="8" t="b">
        <v>0</v>
      </c>
      <c r="BA45" s="8" t="s">
        <v>190</v>
      </c>
      <c r="BB45" s="8" t="s">
        <v>191</v>
      </c>
      <c r="BC45" s="9"/>
      <c r="BD45" s="9"/>
      <c r="BE45" s="8" t="s">
        <v>644</v>
      </c>
      <c r="BF45" s="8" t="s">
        <v>94</v>
      </c>
      <c r="BG45" s="8" t="s">
        <v>95</v>
      </c>
      <c r="BH45" s="8" t="s">
        <v>645</v>
      </c>
      <c r="BI45" s="9"/>
      <c r="BJ45" s="9"/>
      <c r="BK45" s="9"/>
      <c r="BL45" s="9"/>
      <c r="BM45" s="9"/>
      <c r="BN45" s="9"/>
      <c r="BO45" s="9"/>
      <c r="BP45" s="9"/>
      <c r="BQ45" s="9"/>
      <c r="BR45" s="8" t="s">
        <v>193</v>
      </c>
      <c r="BS45" s="8" t="s">
        <v>194</v>
      </c>
      <c r="BT45" s="9"/>
      <c r="BU45" s="9"/>
      <c r="BV45" s="8" t="s">
        <v>646</v>
      </c>
      <c r="BW45" s="9"/>
      <c r="BX45" s="9"/>
      <c r="BY45" s="9"/>
      <c r="BZ45" s="9"/>
      <c r="CA45" s="9"/>
      <c r="CB45" s="8" t="s">
        <v>647</v>
      </c>
      <c r="CC45" s="9"/>
      <c r="CD45" s="9"/>
      <c r="CE45" s="8" t="s">
        <v>197</v>
      </c>
      <c r="CF45" s="8" t="s">
        <v>648</v>
      </c>
      <c r="CG45" s="9"/>
      <c r="CH45" s="9"/>
      <c r="CI45" s="9"/>
      <c r="CJ45" s="9"/>
      <c r="CK45" s="9"/>
      <c r="CL45" s="9"/>
      <c r="CM45" s="9"/>
      <c r="CN45" s="9"/>
      <c r="CO45" s="9"/>
      <c r="CP45" s="9"/>
    </row>
    <row r="46">
      <c r="A46" s="4" t="s">
        <v>649</v>
      </c>
      <c r="B46" s="5" t="s">
        <v>650</v>
      </c>
      <c r="C46" s="5" t="s">
        <v>651</v>
      </c>
      <c r="D46" s="5" t="s">
        <v>94</v>
      </c>
      <c r="E46" s="5" t="s">
        <v>95</v>
      </c>
      <c r="F46" s="6"/>
      <c r="G46" s="5" t="s">
        <v>652</v>
      </c>
      <c r="H46" s="5" t="s">
        <v>97</v>
      </c>
      <c r="I46" s="5" t="s">
        <v>653</v>
      </c>
      <c r="J46" s="5"/>
      <c r="K46" s="5"/>
      <c r="L46" s="5"/>
      <c r="M46" s="5" t="s">
        <v>654</v>
      </c>
      <c r="N46" s="5" t="s">
        <v>100</v>
      </c>
      <c r="O46" s="5" t="s">
        <v>655</v>
      </c>
      <c r="P46" s="5" t="s">
        <v>656</v>
      </c>
      <c r="Q46" s="5" t="s">
        <v>657</v>
      </c>
      <c r="R46" s="5"/>
      <c r="S46" s="5" t="s">
        <v>100</v>
      </c>
      <c r="T46" s="5" t="s">
        <v>100</v>
      </c>
      <c r="U46" s="5" t="s">
        <v>658</v>
      </c>
      <c r="V46" s="5" t="s">
        <v>100</v>
      </c>
      <c r="W46" s="5" t="s">
        <v>100</v>
      </c>
      <c r="X46" s="5" t="s">
        <v>100</v>
      </c>
      <c r="Y46" s="5" t="s">
        <v>100</v>
      </c>
      <c r="Z46" s="5" t="s">
        <v>100</v>
      </c>
      <c r="AA46" s="5"/>
      <c r="AB46" s="5" t="s">
        <v>100</v>
      </c>
      <c r="AC46" s="5" t="s">
        <v>100</v>
      </c>
      <c r="AD46" s="5" t="s">
        <v>100</v>
      </c>
      <c r="AE46" s="5" t="s">
        <v>100</v>
      </c>
      <c r="AF46" s="5" t="s">
        <v>100</v>
      </c>
      <c r="AG46" s="5" t="s">
        <v>100</v>
      </c>
      <c r="AH46" s="5" t="s">
        <v>100</v>
      </c>
      <c r="AI46" s="5" t="s">
        <v>659</v>
      </c>
      <c r="AJ46" s="5" t="s">
        <v>660</v>
      </c>
      <c r="AK46" s="5" t="s">
        <v>124</v>
      </c>
      <c r="AL46" s="5" t="s">
        <v>124</v>
      </c>
      <c r="AM46" s="5" t="s">
        <v>105</v>
      </c>
      <c r="AN46" s="5" t="s">
        <v>661</v>
      </c>
      <c r="AO46" s="6"/>
      <c r="AP46" s="6"/>
      <c r="AQ46" s="6"/>
      <c r="AR46" s="6"/>
      <c r="AS46" s="6"/>
      <c r="AT46" s="6"/>
      <c r="AU46" s="5" t="s">
        <v>662</v>
      </c>
      <c r="AV46" s="5" t="s">
        <v>108</v>
      </c>
      <c r="AW46" s="6"/>
      <c r="AX46" s="6"/>
      <c r="AY46" s="5" t="s">
        <v>663</v>
      </c>
      <c r="AZ46" s="5" t="b">
        <v>0</v>
      </c>
      <c r="BA46" s="5" t="s">
        <v>110</v>
      </c>
      <c r="BB46" s="5" t="s">
        <v>277</v>
      </c>
      <c r="BC46" s="6"/>
      <c r="BD46" s="6"/>
      <c r="BE46" s="5" t="s">
        <v>664</v>
      </c>
      <c r="BF46" s="6"/>
      <c r="BG46" s="6"/>
      <c r="BH46" s="6"/>
      <c r="BI46" s="6"/>
      <c r="BJ46" s="6"/>
      <c r="BK46" s="6"/>
      <c r="BL46" s="6"/>
      <c r="BM46" s="6"/>
      <c r="BN46" s="6"/>
      <c r="BO46" s="6"/>
      <c r="BP46" s="6"/>
      <c r="BQ46" s="6"/>
      <c r="BR46" s="6"/>
      <c r="BS46" s="6"/>
      <c r="BT46" s="6"/>
      <c r="BU46" s="6"/>
      <c r="BV46" s="6"/>
      <c r="BW46" s="6"/>
      <c r="BX46" s="6"/>
      <c r="BY46" s="6"/>
      <c r="BZ46" s="6"/>
      <c r="CA46" s="6"/>
      <c r="CB46" s="5" t="s">
        <v>665</v>
      </c>
      <c r="CC46" s="6"/>
      <c r="CD46" s="6"/>
      <c r="CE46" s="5" t="s">
        <v>115</v>
      </c>
      <c r="CF46" s="5" t="s">
        <v>666</v>
      </c>
      <c r="CG46" s="6"/>
      <c r="CH46" s="6"/>
      <c r="CI46" s="6"/>
      <c r="CJ46" s="6"/>
      <c r="CK46" s="6"/>
      <c r="CL46" s="6"/>
      <c r="CM46" s="6"/>
      <c r="CN46" s="6"/>
      <c r="CO46" s="6"/>
      <c r="CP46" s="6"/>
    </row>
    <row r="47">
      <c r="A47" s="4" t="s">
        <v>667</v>
      </c>
      <c r="B47" s="5" t="s">
        <v>668</v>
      </c>
      <c r="C47" s="5" t="s">
        <v>669</v>
      </c>
      <c r="D47" s="5" t="s">
        <v>94</v>
      </c>
      <c r="E47" s="5" t="s">
        <v>95</v>
      </c>
      <c r="F47" s="6"/>
      <c r="G47" s="5" t="s">
        <v>670</v>
      </c>
      <c r="H47" s="5" t="s">
        <v>97</v>
      </c>
      <c r="I47" s="5" t="s">
        <v>472</v>
      </c>
      <c r="J47" s="5" t="s">
        <v>671</v>
      </c>
      <c r="K47" s="5"/>
      <c r="L47" s="5" t="s">
        <v>672</v>
      </c>
      <c r="M47" s="5"/>
      <c r="N47" s="5"/>
      <c r="O47" s="5"/>
      <c r="P47" s="5"/>
      <c r="Q47" s="5" t="s">
        <v>673</v>
      </c>
      <c r="R47" s="5"/>
      <c r="S47" s="5"/>
      <c r="T47" s="5"/>
      <c r="U47" s="5"/>
      <c r="V47" s="5"/>
      <c r="W47" s="5"/>
      <c r="X47" s="5"/>
      <c r="Y47" s="5"/>
      <c r="Z47" s="5"/>
      <c r="AA47" s="5" t="s">
        <v>674</v>
      </c>
      <c r="AB47" s="5"/>
      <c r="AC47" s="5"/>
      <c r="AD47" s="5"/>
      <c r="AE47" s="5"/>
      <c r="AF47" s="5"/>
      <c r="AG47" s="5"/>
      <c r="AH47" s="5"/>
      <c r="AI47" s="5"/>
      <c r="AJ47" s="5" t="str">
        <f t="shared" ref="AJ47:AJ50" si="6">CONCATENATE(J47,K47,L47,Q47,R47,X47,Y47,AA47,AG47)</f>
        <v>100, 101, 102, 103, 104, 112, 113, 114, 115, 116, 117, 118, 119, 120, 121, 122, 123, 124, 125, 126, 127, 128, 129, 146, 216, 220, 226, 229, 235, 238, 239, 256, 53, 54, 56, 57, 58, 59, 60, 61, 62, 63, 64, 65, 66, 67, 68, 69, 70, 71, 72, 73, 74, 75, 76, 155, 163, 167, 168, 172, 173, 177, 178, 198, 199, 205, 160, 133, 137, 140, 228, 232, 237, 241, 246, 249, 157, 181, 132, 137, 142, 149, 151, 158, 162, 178, 179, 182, 185, 180, </v>
      </c>
      <c r="AK47" s="5" t="s">
        <v>124</v>
      </c>
      <c r="AL47" s="5" t="s">
        <v>675</v>
      </c>
      <c r="AM47" s="5" t="s">
        <v>105</v>
      </c>
      <c r="AN47" s="5" t="s">
        <v>676</v>
      </c>
      <c r="AO47" s="6"/>
      <c r="AP47" s="6"/>
      <c r="AQ47" s="6"/>
      <c r="AR47" s="6"/>
      <c r="AS47" s="6"/>
      <c r="AT47" s="6"/>
      <c r="AU47" s="5" t="s">
        <v>677</v>
      </c>
      <c r="AV47" s="6"/>
      <c r="AW47" s="6"/>
      <c r="AX47" s="6"/>
      <c r="AY47" s="5" t="s">
        <v>663</v>
      </c>
      <c r="AZ47" s="5" t="b">
        <v>0</v>
      </c>
      <c r="BA47" s="5" t="s">
        <v>190</v>
      </c>
      <c r="BB47" s="5" t="s">
        <v>628</v>
      </c>
      <c r="BC47" s="5" t="s">
        <v>629</v>
      </c>
      <c r="BD47" s="5" t="s">
        <v>630</v>
      </c>
      <c r="BE47" s="5" t="s">
        <v>678</v>
      </c>
      <c r="BF47" s="6"/>
      <c r="BG47" s="6"/>
      <c r="BH47" s="6"/>
      <c r="BI47" s="6"/>
      <c r="BJ47" s="6"/>
      <c r="BK47" s="5" t="s">
        <v>679</v>
      </c>
      <c r="BL47" s="6"/>
      <c r="BM47" s="6"/>
      <c r="BN47" s="6"/>
      <c r="BO47" s="6"/>
      <c r="BP47" s="6"/>
      <c r="BQ47" s="6"/>
      <c r="BR47" s="5" t="s">
        <v>193</v>
      </c>
      <c r="BS47" s="6"/>
      <c r="BT47" s="6"/>
      <c r="BU47" s="6"/>
      <c r="BV47" s="5" t="s">
        <v>680</v>
      </c>
      <c r="BW47" s="6"/>
      <c r="BX47" s="6"/>
      <c r="BY47" s="6"/>
      <c r="BZ47" s="6"/>
      <c r="CA47" s="6"/>
      <c r="CB47" s="5" t="s">
        <v>681</v>
      </c>
      <c r="CC47" s="6"/>
      <c r="CD47" s="6"/>
      <c r="CE47" s="5" t="s">
        <v>359</v>
      </c>
      <c r="CF47" s="5" t="s">
        <v>682</v>
      </c>
      <c r="CG47" s="6"/>
      <c r="CH47" s="6"/>
      <c r="CI47" s="6"/>
      <c r="CJ47" s="6"/>
      <c r="CK47" s="6"/>
      <c r="CL47" s="6"/>
      <c r="CM47" s="6"/>
      <c r="CN47" s="6"/>
      <c r="CO47" s="6"/>
      <c r="CP47" s="6"/>
    </row>
    <row r="48">
      <c r="A48" s="4" t="s">
        <v>683</v>
      </c>
      <c r="B48" s="5" t="s">
        <v>684</v>
      </c>
      <c r="C48" s="5" t="s">
        <v>685</v>
      </c>
      <c r="D48" s="5" t="s">
        <v>94</v>
      </c>
      <c r="E48" s="5" t="s">
        <v>95</v>
      </c>
      <c r="F48" s="6"/>
      <c r="G48" s="5" t="s">
        <v>686</v>
      </c>
      <c r="H48" s="5" t="s">
        <v>97</v>
      </c>
      <c r="I48" s="5" t="s">
        <v>472</v>
      </c>
      <c r="J48" s="5" t="s">
        <v>687</v>
      </c>
      <c r="K48" s="5"/>
      <c r="L48" s="5" t="s">
        <v>688</v>
      </c>
      <c r="M48" s="5"/>
      <c r="N48" s="5"/>
      <c r="O48" s="5"/>
      <c r="P48" s="5"/>
      <c r="Q48" s="5" t="s">
        <v>689</v>
      </c>
      <c r="R48" s="5" t="s">
        <v>690</v>
      </c>
      <c r="S48" s="5"/>
      <c r="T48" s="5"/>
      <c r="U48" s="5"/>
      <c r="V48" s="5"/>
      <c r="W48" s="5"/>
      <c r="X48" s="5" t="s">
        <v>691</v>
      </c>
      <c r="Y48" s="5" t="s">
        <v>692</v>
      </c>
      <c r="Z48" s="5"/>
      <c r="AA48" s="5" t="s">
        <v>693</v>
      </c>
      <c r="AB48" s="5"/>
      <c r="AC48" s="5"/>
      <c r="AD48" s="5"/>
      <c r="AE48" s="5"/>
      <c r="AF48" s="5"/>
      <c r="AG48" s="5"/>
      <c r="AH48" s="5"/>
      <c r="AI48" s="5"/>
      <c r="AJ48" s="5" t="str">
        <f t="shared" si="6"/>
        <v>22, 23, 24, 90, 95, 173, 93, 125, 139, 140, 141, 142, 143, 173, 187, 190, 191, 192, 193, 194, 195, 196, 197, 198, 199, 200, 201, 202, 203, 206, 209, 210, 211, 212, 213, 214, 215, 216, 220, 223, 225, 226, 227, 229, 230, 231, 233, 234, 235, 236, 237, 240, 242, 243, 244, 245, 246, 252, 254, 255, 256, 257, 259, 261, 262, 263, 264, 265, 266, 270, 273, 275, 277, 279, 280, 281, 282, 283, 285, 286, 287, 289, 29, 291, 293, 295, 296, 297, 300, 303, 305, 306, 307, 314, 316, 317, 318, 319, 321, 325, 327, 34, 38, 113, 114, 115, 118, 120, 125, 135, 137, 139, 140, 141, 142, 143, 187, 206, 220, 240, 252, 270, 300, 314, 42, 45, 46, 57, 75, 89, 90, 91, 93, 95, 178, 190, 191, 192, 193, 194, 195, 196, 197, 198, 199, 200, 201, 202, 203, 209, 210, 211, 212, 213, 214, 215, 216, 223, 225, 226, 227, 229, 230, 231, 233, 234, 235, 236, 242, 243, 244, 245, 246, 254, 255, 256, 257, 259, 261, 262, 263, 264, 265, 266, 273, 275, 277, 279, 280, 281, 282, 283, 285, 286, 297, 289, 291, 293, 295, 296, 297, 303, 305, 306, 307, 316, 317, 318, 319, 321, 325, 327, 45, 46, </v>
      </c>
      <c r="AK48" s="5" t="s">
        <v>124</v>
      </c>
      <c r="AL48" s="5" t="s">
        <v>124</v>
      </c>
      <c r="AM48" s="5" t="s">
        <v>105</v>
      </c>
      <c r="AN48" s="5" t="s">
        <v>694</v>
      </c>
      <c r="AO48" s="6"/>
      <c r="AP48" s="6"/>
      <c r="AQ48" s="6"/>
      <c r="AR48" s="6"/>
      <c r="AS48" s="6"/>
      <c r="AT48" s="6"/>
      <c r="AU48" s="5" t="s">
        <v>695</v>
      </c>
      <c r="AV48" s="5" t="s">
        <v>108</v>
      </c>
      <c r="AW48" s="6"/>
      <c r="AX48" s="6"/>
      <c r="AY48" s="5" t="s">
        <v>663</v>
      </c>
      <c r="AZ48" s="5" t="b">
        <v>0</v>
      </c>
      <c r="BA48" s="5" t="s">
        <v>110</v>
      </c>
      <c r="BB48" s="5" t="s">
        <v>111</v>
      </c>
      <c r="BC48" s="6"/>
      <c r="BD48" s="6"/>
      <c r="BE48" s="5" t="s">
        <v>696</v>
      </c>
      <c r="BF48" s="6"/>
      <c r="BG48" s="6"/>
      <c r="BH48" s="6"/>
      <c r="BI48" s="6"/>
      <c r="BJ48" s="6"/>
      <c r="BK48" s="6"/>
      <c r="BL48" s="6"/>
      <c r="BM48" s="6"/>
      <c r="BN48" s="6"/>
      <c r="BO48" s="6"/>
      <c r="BP48" s="6"/>
      <c r="BQ48" s="6"/>
      <c r="BR48" s="6"/>
      <c r="BS48" s="6"/>
      <c r="BT48" s="6"/>
      <c r="BU48" s="6"/>
      <c r="BV48" s="6"/>
      <c r="BW48" s="6"/>
      <c r="BX48" s="6"/>
      <c r="BY48" s="6"/>
      <c r="BZ48" s="6"/>
      <c r="CA48" s="6"/>
      <c r="CB48" s="5" t="s">
        <v>697</v>
      </c>
      <c r="CC48" s="6"/>
      <c r="CD48" s="6"/>
      <c r="CE48" s="5" t="s">
        <v>450</v>
      </c>
      <c r="CF48" s="5" t="s">
        <v>698</v>
      </c>
      <c r="CG48" s="6"/>
      <c r="CH48" s="6"/>
      <c r="CI48" s="6"/>
      <c r="CJ48" s="6"/>
      <c r="CK48" s="6"/>
      <c r="CL48" s="6"/>
      <c r="CM48" s="6"/>
      <c r="CN48" s="6"/>
      <c r="CO48" s="6"/>
      <c r="CP48" s="6"/>
    </row>
    <row r="49">
      <c r="A49" s="7" t="s">
        <v>699</v>
      </c>
      <c r="B49" s="8" t="s">
        <v>700</v>
      </c>
      <c r="C49" s="8" t="s">
        <v>701</v>
      </c>
      <c r="D49" s="8" t="s">
        <v>94</v>
      </c>
      <c r="E49" s="8" t="s">
        <v>95</v>
      </c>
      <c r="F49" s="9"/>
      <c r="G49" s="8" t="s">
        <v>702</v>
      </c>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t="str">
        <f t="shared" si="6"/>
        <v/>
      </c>
      <c r="AK49" s="8"/>
      <c r="AL49" s="8"/>
      <c r="AM49" s="8" t="s">
        <v>105</v>
      </c>
      <c r="AN49" s="8" t="s">
        <v>625</v>
      </c>
      <c r="AO49" s="9"/>
      <c r="AP49" s="8" t="s">
        <v>703</v>
      </c>
      <c r="AQ49" s="9"/>
      <c r="AR49" s="9"/>
      <c r="AS49" s="9"/>
      <c r="AT49" s="9"/>
      <c r="AU49" s="8" t="s">
        <v>704</v>
      </c>
      <c r="AV49" s="8" t="s">
        <v>108</v>
      </c>
      <c r="AW49" s="9"/>
      <c r="AX49" s="9"/>
      <c r="AY49" s="8" t="s">
        <v>663</v>
      </c>
      <c r="AZ49" s="8" t="b">
        <v>0</v>
      </c>
      <c r="BA49" s="8" t="s">
        <v>110</v>
      </c>
      <c r="BB49" s="8" t="s">
        <v>111</v>
      </c>
      <c r="BC49" s="9"/>
      <c r="BD49" s="9"/>
      <c r="BE49" s="8" t="s">
        <v>705</v>
      </c>
      <c r="BF49" s="9"/>
      <c r="BG49" s="9"/>
      <c r="BH49" s="9"/>
      <c r="BI49" s="9"/>
      <c r="BJ49" s="9"/>
      <c r="BK49" s="9"/>
      <c r="BL49" s="9"/>
      <c r="BM49" s="9"/>
      <c r="BN49" s="9"/>
      <c r="BO49" s="9"/>
      <c r="BP49" s="9"/>
      <c r="BQ49" s="9"/>
      <c r="BR49" s="9"/>
      <c r="BS49" s="9"/>
      <c r="BT49" s="9"/>
      <c r="BU49" s="9"/>
      <c r="BV49" s="9"/>
      <c r="BW49" s="9"/>
      <c r="BX49" s="9"/>
      <c r="BY49" s="9"/>
      <c r="BZ49" s="9"/>
      <c r="CA49" s="9"/>
      <c r="CB49" s="8" t="s">
        <v>706</v>
      </c>
      <c r="CC49" s="9"/>
      <c r="CD49" s="9"/>
      <c r="CE49" s="8" t="s">
        <v>115</v>
      </c>
      <c r="CF49" s="8" t="s">
        <v>707</v>
      </c>
      <c r="CG49" s="9"/>
      <c r="CH49" s="9"/>
      <c r="CI49" s="9"/>
      <c r="CJ49" s="9"/>
      <c r="CK49" s="9"/>
      <c r="CL49" s="9"/>
      <c r="CM49" s="9"/>
      <c r="CN49" s="9"/>
      <c r="CO49" s="9"/>
      <c r="CP49" s="9"/>
    </row>
    <row r="50">
      <c r="A50" s="7" t="s">
        <v>708</v>
      </c>
      <c r="B50" s="8" t="s">
        <v>709</v>
      </c>
      <c r="C50" s="8" t="s">
        <v>710</v>
      </c>
      <c r="D50" s="8" t="s">
        <v>94</v>
      </c>
      <c r="E50" s="8" t="s">
        <v>95</v>
      </c>
      <c r="F50" s="9"/>
      <c r="G50" s="8" t="s">
        <v>711</v>
      </c>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t="str">
        <f t="shared" si="6"/>
        <v/>
      </c>
      <c r="AK50" s="8"/>
      <c r="AL50" s="8"/>
      <c r="AM50" s="8" t="s">
        <v>105</v>
      </c>
      <c r="AN50" s="8" t="s">
        <v>712</v>
      </c>
      <c r="AO50" s="9"/>
      <c r="AP50" s="8" t="s">
        <v>713</v>
      </c>
      <c r="AQ50" s="9"/>
      <c r="AR50" s="9"/>
      <c r="AS50" s="9"/>
      <c r="AT50" s="9"/>
      <c r="AU50" s="8" t="s">
        <v>714</v>
      </c>
      <c r="AV50" s="9"/>
      <c r="AW50" s="9"/>
      <c r="AX50" s="9"/>
      <c r="AY50" s="8" t="s">
        <v>663</v>
      </c>
      <c r="AZ50" s="8" t="b">
        <v>0</v>
      </c>
      <c r="BA50" s="8" t="s">
        <v>190</v>
      </c>
      <c r="BB50" s="8" t="s">
        <v>191</v>
      </c>
      <c r="BC50" s="9"/>
      <c r="BD50" s="8" t="s">
        <v>112</v>
      </c>
      <c r="BE50" s="8" t="s">
        <v>715</v>
      </c>
      <c r="BF50" s="9"/>
      <c r="BG50" s="9"/>
      <c r="BH50" s="9"/>
      <c r="BI50" s="9"/>
      <c r="BJ50" s="9"/>
      <c r="BK50" s="9"/>
      <c r="BL50" s="9"/>
      <c r="BM50" s="9"/>
      <c r="BN50" s="9"/>
      <c r="BO50" s="9"/>
      <c r="BP50" s="9"/>
      <c r="BQ50" s="9"/>
      <c r="BR50" s="8" t="s">
        <v>193</v>
      </c>
      <c r="BS50" s="8" t="s">
        <v>194</v>
      </c>
      <c r="BT50" s="9"/>
      <c r="BU50" s="9"/>
      <c r="BV50" s="8" t="s">
        <v>716</v>
      </c>
      <c r="BW50" s="9"/>
      <c r="BX50" s="9"/>
      <c r="BY50" s="9"/>
      <c r="BZ50" s="9"/>
      <c r="CA50" s="9"/>
      <c r="CB50" s="8" t="s">
        <v>717</v>
      </c>
      <c r="CC50" s="9"/>
      <c r="CD50" s="9"/>
      <c r="CE50" s="8" t="s">
        <v>115</v>
      </c>
      <c r="CF50" s="8" t="s">
        <v>718</v>
      </c>
      <c r="CG50" s="9"/>
      <c r="CH50" s="9"/>
      <c r="CI50" s="9"/>
      <c r="CJ50" s="9"/>
      <c r="CK50" s="9"/>
      <c r="CL50" s="9"/>
      <c r="CM50" s="9"/>
      <c r="CN50" s="9"/>
      <c r="CO50" s="9"/>
      <c r="CP50" s="9"/>
    </row>
    <row r="51">
      <c r="A51" s="7" t="s">
        <v>719</v>
      </c>
      <c r="B51" s="8" t="s">
        <v>720</v>
      </c>
      <c r="C51" s="8" t="s">
        <v>721</v>
      </c>
      <c r="D51" s="8" t="s">
        <v>94</v>
      </c>
      <c r="E51" s="8" t="s">
        <v>95</v>
      </c>
      <c r="F51" s="9"/>
      <c r="G51" s="8" t="s">
        <v>722</v>
      </c>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t="s">
        <v>105</v>
      </c>
      <c r="AN51" s="8" t="s">
        <v>723</v>
      </c>
      <c r="AO51" s="9"/>
      <c r="AP51" s="9"/>
      <c r="AQ51" s="9"/>
      <c r="AR51" s="9"/>
      <c r="AS51" s="9"/>
      <c r="AT51" s="9"/>
      <c r="AU51" s="8" t="s">
        <v>724</v>
      </c>
      <c r="AV51" s="8" t="s">
        <v>108</v>
      </c>
      <c r="AW51" s="9"/>
      <c r="AX51" s="9"/>
      <c r="AY51" s="8" t="s">
        <v>725</v>
      </c>
      <c r="AZ51" s="8" t="b">
        <v>0</v>
      </c>
      <c r="BA51" s="8" t="s">
        <v>110</v>
      </c>
      <c r="BB51" s="8" t="s">
        <v>277</v>
      </c>
      <c r="BC51" s="9"/>
      <c r="BD51" s="8" t="s">
        <v>112</v>
      </c>
      <c r="BE51" s="8" t="s">
        <v>726</v>
      </c>
      <c r="BF51" s="9"/>
      <c r="BG51" s="9"/>
      <c r="BH51" s="9"/>
      <c r="BI51" s="9"/>
      <c r="BJ51" s="9"/>
      <c r="BK51" s="9"/>
      <c r="BL51" s="9"/>
      <c r="BM51" s="9"/>
      <c r="BN51" s="9"/>
      <c r="BO51" s="9"/>
      <c r="BP51" s="9"/>
      <c r="BQ51" s="9"/>
      <c r="BR51" s="9"/>
      <c r="BS51" s="9"/>
      <c r="BT51" s="9"/>
      <c r="BU51" s="9"/>
      <c r="BV51" s="9"/>
      <c r="BW51" s="9"/>
      <c r="BX51" s="9"/>
      <c r="BY51" s="9"/>
      <c r="BZ51" s="9"/>
      <c r="CA51" s="9"/>
      <c r="CB51" s="8" t="s">
        <v>727</v>
      </c>
      <c r="CC51" s="9"/>
      <c r="CD51" s="9"/>
      <c r="CE51" s="8" t="s">
        <v>115</v>
      </c>
      <c r="CF51" s="8" t="s">
        <v>728</v>
      </c>
      <c r="CG51" s="9"/>
      <c r="CH51" s="9"/>
      <c r="CI51" s="9"/>
      <c r="CJ51" s="9"/>
      <c r="CK51" s="9"/>
      <c r="CL51" s="9"/>
      <c r="CM51" s="9"/>
      <c r="CN51" s="9"/>
      <c r="CO51" s="9"/>
      <c r="CP51" s="9"/>
    </row>
    <row r="52">
      <c r="A52" s="7" t="s">
        <v>729</v>
      </c>
      <c r="B52" s="8" t="s">
        <v>730</v>
      </c>
      <c r="C52" s="8" t="s">
        <v>731</v>
      </c>
      <c r="D52" s="8" t="s">
        <v>94</v>
      </c>
      <c r="E52" s="8" t="s">
        <v>95</v>
      </c>
      <c r="F52" s="9"/>
      <c r="G52" s="8" t="s">
        <v>732</v>
      </c>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t="str">
        <f t="shared" ref="AJ52:AJ54" si="7">CONCATENATE(J52,K52,L52,Q52,R52,X52,Y52,AA52,AG52)</f>
        <v/>
      </c>
      <c r="AK52" s="8"/>
      <c r="AL52" s="8"/>
      <c r="AM52" s="8" t="s">
        <v>105</v>
      </c>
      <c r="AN52" s="8" t="s">
        <v>733</v>
      </c>
      <c r="AO52" s="9"/>
      <c r="AP52" s="8" t="s">
        <v>734</v>
      </c>
      <c r="AQ52" s="9"/>
      <c r="AR52" s="9"/>
      <c r="AS52" s="9"/>
      <c r="AT52" s="9"/>
      <c r="AU52" s="8" t="s">
        <v>735</v>
      </c>
      <c r="AV52" s="8" t="s">
        <v>108</v>
      </c>
      <c r="AW52" s="9"/>
      <c r="AX52" s="9"/>
      <c r="AY52" s="8" t="s">
        <v>725</v>
      </c>
      <c r="AZ52" s="8" t="b">
        <v>0</v>
      </c>
      <c r="BA52" s="8" t="s">
        <v>110</v>
      </c>
      <c r="BB52" s="8" t="s">
        <v>277</v>
      </c>
      <c r="BC52" s="9"/>
      <c r="BD52" s="8" t="s">
        <v>112</v>
      </c>
      <c r="BE52" s="8" t="s">
        <v>736</v>
      </c>
      <c r="BF52" s="9"/>
      <c r="BG52" s="9"/>
      <c r="BH52" s="9"/>
      <c r="BI52" s="9"/>
      <c r="BJ52" s="9"/>
      <c r="BK52" s="9"/>
      <c r="BL52" s="9"/>
      <c r="BM52" s="9"/>
      <c r="BN52" s="9"/>
      <c r="BO52" s="9"/>
      <c r="BP52" s="9"/>
      <c r="BQ52" s="9"/>
      <c r="BR52" s="9"/>
      <c r="BS52" s="9"/>
      <c r="BT52" s="9"/>
      <c r="BU52" s="9"/>
      <c r="BV52" s="9"/>
      <c r="BW52" s="9"/>
      <c r="BX52" s="9"/>
      <c r="BY52" s="9"/>
      <c r="BZ52" s="9"/>
      <c r="CA52" s="9"/>
      <c r="CB52" s="8" t="s">
        <v>737</v>
      </c>
      <c r="CC52" s="9"/>
      <c r="CD52" s="9"/>
      <c r="CE52" s="8" t="s">
        <v>115</v>
      </c>
      <c r="CF52" s="8" t="s">
        <v>738</v>
      </c>
      <c r="CG52" s="9"/>
      <c r="CH52" s="9"/>
      <c r="CI52" s="9"/>
      <c r="CJ52" s="9"/>
      <c r="CK52" s="9"/>
      <c r="CL52" s="9"/>
      <c r="CM52" s="9"/>
      <c r="CN52" s="9"/>
      <c r="CO52" s="9"/>
      <c r="CP52" s="9"/>
    </row>
    <row r="53">
      <c r="A53" s="7" t="s">
        <v>739</v>
      </c>
      <c r="B53" s="8" t="s">
        <v>740</v>
      </c>
      <c r="C53" s="8" t="s">
        <v>741</v>
      </c>
      <c r="D53" s="8" t="s">
        <v>94</v>
      </c>
      <c r="E53" s="8" t="s">
        <v>95</v>
      </c>
      <c r="F53" s="9"/>
      <c r="G53" s="8" t="s">
        <v>742</v>
      </c>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t="str">
        <f t="shared" si="7"/>
        <v/>
      </c>
      <c r="AK53" s="8"/>
      <c r="AL53" s="8"/>
      <c r="AM53" s="8" t="s">
        <v>133</v>
      </c>
      <c r="AN53" s="8" t="s">
        <v>743</v>
      </c>
      <c r="AO53" s="9"/>
      <c r="AP53" s="9"/>
      <c r="AQ53" s="9"/>
      <c r="AR53" s="9"/>
      <c r="AS53" s="9"/>
      <c r="AT53" s="9"/>
      <c r="AU53" s="8" t="s">
        <v>744</v>
      </c>
      <c r="AV53" s="8" t="s">
        <v>108</v>
      </c>
      <c r="AW53" s="9"/>
      <c r="AX53" s="9"/>
      <c r="AY53" s="8" t="s">
        <v>725</v>
      </c>
      <c r="AZ53" s="8" t="b">
        <v>0</v>
      </c>
      <c r="BA53" s="8" t="s">
        <v>110</v>
      </c>
      <c r="BB53" s="8" t="s">
        <v>111</v>
      </c>
      <c r="BC53" s="9"/>
      <c r="BD53" s="9"/>
      <c r="BE53" s="8" t="s">
        <v>745</v>
      </c>
      <c r="BF53" s="9"/>
      <c r="BG53" s="9"/>
      <c r="BH53" s="9"/>
      <c r="BI53" s="9"/>
      <c r="BJ53" s="9"/>
      <c r="BK53" s="9"/>
      <c r="BL53" s="9"/>
      <c r="BM53" s="9"/>
      <c r="BN53" s="9"/>
      <c r="BO53" s="9"/>
      <c r="BP53" s="9"/>
      <c r="BQ53" s="9"/>
      <c r="BR53" s="9"/>
      <c r="BS53" s="9"/>
      <c r="BT53" s="9"/>
      <c r="BU53" s="9"/>
      <c r="BV53" s="9"/>
      <c r="BW53" s="9"/>
      <c r="BX53" s="9"/>
      <c r="BY53" s="9"/>
      <c r="BZ53" s="9"/>
      <c r="CA53" s="9"/>
      <c r="CB53" s="8" t="s">
        <v>746</v>
      </c>
      <c r="CC53" s="9"/>
      <c r="CD53" s="9"/>
      <c r="CE53" s="8" t="s">
        <v>115</v>
      </c>
      <c r="CF53" s="8" t="s">
        <v>747</v>
      </c>
      <c r="CG53" s="9"/>
      <c r="CH53" s="9"/>
      <c r="CI53" s="9"/>
      <c r="CJ53" s="9"/>
      <c r="CK53" s="9"/>
      <c r="CL53" s="9"/>
      <c r="CM53" s="9"/>
      <c r="CN53" s="9"/>
      <c r="CO53" s="9"/>
      <c r="CP53" s="9"/>
    </row>
    <row r="54">
      <c r="A54" s="7" t="s">
        <v>748</v>
      </c>
      <c r="B54" s="8" t="s">
        <v>749</v>
      </c>
      <c r="C54" s="8" t="s">
        <v>750</v>
      </c>
      <c r="D54" s="8" t="s">
        <v>94</v>
      </c>
      <c r="E54" s="8" t="s">
        <v>95</v>
      </c>
      <c r="F54" s="9"/>
      <c r="G54" s="8" t="s">
        <v>751</v>
      </c>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t="str">
        <f t="shared" si="7"/>
        <v/>
      </c>
      <c r="AK54" s="8"/>
      <c r="AL54" s="8"/>
      <c r="AM54" s="8" t="s">
        <v>591</v>
      </c>
      <c r="AN54" s="8" t="s">
        <v>752</v>
      </c>
      <c r="AO54" s="9"/>
      <c r="AP54" s="8" t="s">
        <v>753</v>
      </c>
      <c r="AQ54" s="9"/>
      <c r="AR54" s="8" t="s">
        <v>592</v>
      </c>
      <c r="AS54" s="8" t="s">
        <v>593</v>
      </c>
      <c r="AT54" s="9"/>
      <c r="AU54" s="8" t="s">
        <v>754</v>
      </c>
      <c r="AV54" s="8" t="s">
        <v>108</v>
      </c>
      <c r="AW54" s="9"/>
      <c r="AX54" s="9"/>
      <c r="AY54" s="8" t="s">
        <v>725</v>
      </c>
      <c r="AZ54" s="8" t="b">
        <v>0</v>
      </c>
      <c r="BA54" s="8" t="s">
        <v>110</v>
      </c>
      <c r="BB54" s="9"/>
      <c r="BC54" s="9"/>
      <c r="BD54" s="8" t="s">
        <v>112</v>
      </c>
      <c r="BE54" s="8" t="s">
        <v>755</v>
      </c>
      <c r="BF54" s="9"/>
      <c r="BG54" s="9"/>
      <c r="BH54" s="9"/>
      <c r="BI54" s="9"/>
      <c r="BJ54" s="9"/>
      <c r="BK54" s="9"/>
      <c r="BL54" s="9"/>
      <c r="BM54" s="9"/>
      <c r="BN54" s="9"/>
      <c r="BO54" s="9"/>
      <c r="BP54" s="9"/>
      <c r="BQ54" s="9"/>
      <c r="BR54" s="8" t="s">
        <v>193</v>
      </c>
      <c r="BS54" s="8" t="s">
        <v>194</v>
      </c>
      <c r="BT54" s="8" t="s">
        <v>756</v>
      </c>
      <c r="BU54" s="9"/>
      <c r="BV54" s="9"/>
      <c r="BW54" s="9"/>
      <c r="BX54" s="9"/>
      <c r="BY54" s="9"/>
      <c r="BZ54" s="8" t="s">
        <v>100</v>
      </c>
      <c r="CA54" s="8" t="s">
        <v>100</v>
      </c>
      <c r="CB54" s="8" t="s">
        <v>757</v>
      </c>
      <c r="CC54" s="9"/>
      <c r="CD54" s="9"/>
      <c r="CE54" s="8" t="s">
        <v>115</v>
      </c>
      <c r="CF54" s="8" t="s">
        <v>758</v>
      </c>
      <c r="CG54" s="9"/>
      <c r="CH54" s="9"/>
      <c r="CI54" s="9"/>
      <c r="CJ54" s="9"/>
      <c r="CK54" s="9"/>
      <c r="CL54" s="9"/>
      <c r="CM54" s="9"/>
      <c r="CN54" s="9"/>
      <c r="CO54" s="9"/>
      <c r="CP54" s="9"/>
    </row>
    <row r="55">
      <c r="A55" s="12" t="s">
        <v>759</v>
      </c>
      <c r="B55" s="5" t="s">
        <v>760</v>
      </c>
      <c r="C55" s="5" t="s">
        <v>761</v>
      </c>
      <c r="D55" s="5" t="s">
        <v>94</v>
      </c>
      <c r="E55" s="5" t="s">
        <v>95</v>
      </c>
      <c r="F55" s="6"/>
      <c r="G55" s="5" t="s">
        <v>762</v>
      </c>
      <c r="H55" s="5" t="s">
        <v>97</v>
      </c>
      <c r="I55" s="5" t="s">
        <v>653</v>
      </c>
      <c r="J55" s="5" t="s">
        <v>763</v>
      </c>
      <c r="K55" s="5"/>
      <c r="L55" s="5"/>
      <c r="M55" s="5" t="s">
        <v>764</v>
      </c>
      <c r="N55" s="5" t="s">
        <v>100</v>
      </c>
      <c r="O55" s="5" t="s">
        <v>765</v>
      </c>
      <c r="P55" s="5" t="s">
        <v>766</v>
      </c>
      <c r="Q55" s="5" t="s">
        <v>767</v>
      </c>
      <c r="R55" s="5"/>
      <c r="S55" s="5" t="s">
        <v>100</v>
      </c>
      <c r="T55" s="5" t="s">
        <v>100</v>
      </c>
      <c r="U55" s="5" t="s">
        <v>100</v>
      </c>
      <c r="V55" s="5" t="s">
        <v>100</v>
      </c>
      <c r="W55" s="5" t="s">
        <v>100</v>
      </c>
      <c r="X55" s="5" t="s">
        <v>100</v>
      </c>
      <c r="Y55" s="5" t="s">
        <v>100</v>
      </c>
      <c r="Z55" s="5" t="s">
        <v>100</v>
      </c>
      <c r="AA55" s="5"/>
      <c r="AB55" s="5" t="s">
        <v>100</v>
      </c>
      <c r="AC55" s="5" t="s">
        <v>100</v>
      </c>
      <c r="AD55" s="5" t="s">
        <v>100</v>
      </c>
      <c r="AE55" s="5" t="s">
        <v>100</v>
      </c>
      <c r="AF55" s="5" t="s">
        <v>100</v>
      </c>
      <c r="AG55" s="5" t="s">
        <v>100</v>
      </c>
      <c r="AH55" s="5" t="s">
        <v>100</v>
      </c>
      <c r="AI55" s="5" t="s">
        <v>768</v>
      </c>
      <c r="AJ55" s="5" t="s">
        <v>769</v>
      </c>
      <c r="AK55" s="5" t="s">
        <v>124</v>
      </c>
      <c r="AL55" s="5" t="s">
        <v>124</v>
      </c>
      <c r="AM55" s="5" t="s">
        <v>105</v>
      </c>
      <c r="AN55" s="5" t="s">
        <v>770</v>
      </c>
      <c r="AO55" s="6"/>
      <c r="AP55" s="6"/>
      <c r="AQ55" s="6"/>
      <c r="AR55" s="6"/>
      <c r="AS55" s="6"/>
      <c r="AT55" s="6"/>
      <c r="AU55" s="5" t="s">
        <v>771</v>
      </c>
      <c r="AV55" s="5" t="s">
        <v>108</v>
      </c>
      <c r="AW55" s="6"/>
      <c r="AX55" s="6"/>
      <c r="AY55" s="5" t="s">
        <v>772</v>
      </c>
      <c r="AZ55" s="5" t="b">
        <v>0</v>
      </c>
      <c r="BA55" s="5" t="s">
        <v>110</v>
      </c>
      <c r="BB55" s="5" t="s">
        <v>773</v>
      </c>
      <c r="BC55" s="6"/>
      <c r="BD55" s="6"/>
      <c r="BE55" s="5" t="s">
        <v>774</v>
      </c>
      <c r="BF55" s="6"/>
      <c r="BG55" s="6"/>
      <c r="BH55" s="6"/>
      <c r="BI55" s="6"/>
      <c r="BJ55" s="6"/>
      <c r="BK55" s="6"/>
      <c r="BL55" s="6"/>
      <c r="BM55" s="6"/>
      <c r="BN55" s="6"/>
      <c r="BO55" s="6"/>
      <c r="BP55" s="6"/>
      <c r="BQ55" s="6"/>
      <c r="BR55" s="6"/>
      <c r="BS55" s="6"/>
      <c r="BT55" s="6"/>
      <c r="BU55" s="6"/>
      <c r="BV55" s="6"/>
      <c r="BW55" s="6"/>
      <c r="BX55" s="6"/>
      <c r="BY55" s="6"/>
      <c r="BZ55" s="6"/>
      <c r="CA55" s="6"/>
      <c r="CB55" s="5" t="s">
        <v>665</v>
      </c>
      <c r="CC55" s="6"/>
      <c r="CD55" s="6"/>
      <c r="CE55" s="5" t="s">
        <v>115</v>
      </c>
      <c r="CF55" s="5" t="s">
        <v>775</v>
      </c>
      <c r="CG55" s="6"/>
      <c r="CH55" s="6"/>
      <c r="CI55" s="6"/>
      <c r="CJ55" s="6"/>
      <c r="CK55" s="6"/>
      <c r="CL55" s="6"/>
      <c r="CM55" s="6"/>
      <c r="CN55" s="6"/>
      <c r="CO55" s="6"/>
      <c r="CP55" s="6"/>
    </row>
    <row r="56">
      <c r="A56" s="4" t="s">
        <v>776</v>
      </c>
      <c r="B56" s="5" t="s">
        <v>777</v>
      </c>
      <c r="C56" s="5" t="s">
        <v>778</v>
      </c>
      <c r="D56" s="5" t="s">
        <v>94</v>
      </c>
      <c r="E56" s="5" t="s">
        <v>95</v>
      </c>
      <c r="F56" s="6"/>
      <c r="G56" s="5" t="s">
        <v>779</v>
      </c>
      <c r="H56" s="5" t="s">
        <v>97</v>
      </c>
      <c r="I56" s="5" t="s">
        <v>653</v>
      </c>
      <c r="J56" s="5"/>
      <c r="K56" s="5"/>
      <c r="L56" s="5"/>
      <c r="M56" s="5" t="s">
        <v>780</v>
      </c>
      <c r="N56" s="5" t="s">
        <v>100</v>
      </c>
      <c r="O56" s="5" t="s">
        <v>781</v>
      </c>
      <c r="P56" s="5" t="s">
        <v>782</v>
      </c>
      <c r="Q56" s="5" t="s">
        <v>783</v>
      </c>
      <c r="R56" s="5"/>
      <c r="S56" s="5" t="s">
        <v>100</v>
      </c>
      <c r="T56" s="5" t="s">
        <v>100</v>
      </c>
      <c r="U56" s="5" t="s">
        <v>100</v>
      </c>
      <c r="V56" s="5" t="s">
        <v>100</v>
      </c>
      <c r="W56" s="5" t="s">
        <v>100</v>
      </c>
      <c r="X56" s="5" t="s">
        <v>100</v>
      </c>
      <c r="Y56" s="5" t="s">
        <v>100</v>
      </c>
      <c r="Z56" s="5" t="s">
        <v>100</v>
      </c>
      <c r="AA56" s="5"/>
      <c r="AB56" s="5" t="s">
        <v>100</v>
      </c>
      <c r="AC56" s="5" t="s">
        <v>100</v>
      </c>
      <c r="AD56" s="5" t="s">
        <v>100</v>
      </c>
      <c r="AE56" s="5" t="s">
        <v>100</v>
      </c>
      <c r="AF56" s="5" t="s">
        <v>100</v>
      </c>
      <c r="AG56" s="5" t="s">
        <v>100</v>
      </c>
      <c r="AH56" s="5" t="s">
        <v>100</v>
      </c>
      <c r="AI56" s="5" t="s">
        <v>784</v>
      </c>
      <c r="AJ56" s="5" t="s">
        <v>785</v>
      </c>
      <c r="AK56" s="5" t="s">
        <v>124</v>
      </c>
      <c r="AL56" s="5" t="s">
        <v>124</v>
      </c>
      <c r="AM56" s="5" t="s">
        <v>105</v>
      </c>
      <c r="AN56" s="5" t="s">
        <v>786</v>
      </c>
      <c r="AO56" s="6"/>
      <c r="AP56" s="6"/>
      <c r="AQ56" s="6"/>
      <c r="AR56" s="6"/>
      <c r="AS56" s="6"/>
      <c r="AT56" s="6"/>
      <c r="AU56" s="5" t="s">
        <v>787</v>
      </c>
      <c r="AV56" s="5" t="s">
        <v>108</v>
      </c>
      <c r="AW56" s="6"/>
      <c r="AX56" s="6"/>
      <c r="AY56" s="5" t="s">
        <v>772</v>
      </c>
      <c r="AZ56" s="5" t="b">
        <v>0</v>
      </c>
      <c r="BA56" s="5" t="s">
        <v>110</v>
      </c>
      <c r="BB56" s="5" t="s">
        <v>277</v>
      </c>
      <c r="BC56" s="6"/>
      <c r="BD56" s="5" t="s">
        <v>112</v>
      </c>
      <c r="BE56" s="5" t="s">
        <v>788</v>
      </c>
      <c r="BF56" s="6"/>
      <c r="BG56" s="6"/>
      <c r="BH56" s="6"/>
      <c r="BI56" s="6"/>
      <c r="BJ56" s="6"/>
      <c r="BK56" s="6"/>
      <c r="BL56" s="6"/>
      <c r="BM56" s="6"/>
      <c r="BN56" s="6"/>
      <c r="BO56" s="6"/>
      <c r="BP56" s="6"/>
      <c r="BQ56" s="6"/>
      <c r="BR56" s="6"/>
      <c r="BS56" s="6"/>
      <c r="BT56" s="6"/>
      <c r="BU56" s="6"/>
      <c r="BV56" s="6"/>
      <c r="BW56" s="6"/>
      <c r="BX56" s="6"/>
      <c r="BY56" s="6"/>
      <c r="BZ56" s="6"/>
      <c r="CA56" s="6"/>
      <c r="CB56" s="5" t="s">
        <v>665</v>
      </c>
      <c r="CC56" s="6"/>
      <c r="CD56" s="6"/>
      <c r="CE56" s="5" t="s">
        <v>115</v>
      </c>
      <c r="CF56" s="5" t="s">
        <v>789</v>
      </c>
      <c r="CG56" s="6"/>
      <c r="CH56" s="6"/>
      <c r="CI56" s="6"/>
      <c r="CJ56" s="6"/>
      <c r="CK56" s="6"/>
      <c r="CL56" s="6"/>
      <c r="CM56" s="6"/>
      <c r="CN56" s="6"/>
      <c r="CO56" s="6"/>
      <c r="CP56" s="6"/>
    </row>
    <row r="57">
      <c r="A57" s="4" t="s">
        <v>790</v>
      </c>
      <c r="B57" s="5" t="s">
        <v>791</v>
      </c>
      <c r="C57" s="5" t="s">
        <v>792</v>
      </c>
      <c r="D57" s="5" t="s">
        <v>94</v>
      </c>
      <c r="E57" s="5" t="s">
        <v>95</v>
      </c>
      <c r="F57" s="6"/>
      <c r="G57" s="5" t="s">
        <v>793</v>
      </c>
      <c r="H57" s="5" t="s">
        <v>97</v>
      </c>
      <c r="I57" s="5" t="s">
        <v>794</v>
      </c>
      <c r="J57" s="5"/>
      <c r="K57" s="5"/>
      <c r="L57" s="5"/>
      <c r="M57" s="5" t="s">
        <v>795</v>
      </c>
      <c r="N57" s="5" t="s">
        <v>796</v>
      </c>
      <c r="O57" s="5" t="s">
        <v>100</v>
      </c>
      <c r="P57" s="10" t="s">
        <v>797</v>
      </c>
      <c r="Q57" s="5"/>
      <c r="R57" s="5"/>
      <c r="S57" s="5" t="s">
        <v>100</v>
      </c>
      <c r="T57" s="5" t="s">
        <v>798</v>
      </c>
      <c r="U57" s="5"/>
      <c r="V57" s="5" t="s">
        <v>799</v>
      </c>
      <c r="W57" s="5" t="s">
        <v>100</v>
      </c>
      <c r="X57" s="5" t="s">
        <v>800</v>
      </c>
      <c r="Y57" s="5" t="s">
        <v>801</v>
      </c>
      <c r="Z57" s="5" t="s">
        <v>802</v>
      </c>
      <c r="AA57" s="5"/>
      <c r="AB57" s="5" t="s">
        <v>803</v>
      </c>
      <c r="AC57" s="10" t="s">
        <v>804</v>
      </c>
      <c r="AD57" s="5" t="s">
        <v>100</v>
      </c>
      <c r="AE57" s="5" t="s">
        <v>805</v>
      </c>
      <c r="AF57" s="5" t="s">
        <v>100</v>
      </c>
      <c r="AG57" s="5" t="s">
        <v>100</v>
      </c>
      <c r="AH57" s="5" t="s">
        <v>806</v>
      </c>
      <c r="AI57" s="5" t="s">
        <v>807</v>
      </c>
      <c r="AJ57" s="5" t="s">
        <v>808</v>
      </c>
      <c r="AK57" s="5" t="s">
        <v>124</v>
      </c>
      <c r="AL57" s="5" t="s">
        <v>124</v>
      </c>
      <c r="AM57" s="5" t="s">
        <v>105</v>
      </c>
      <c r="AN57" s="5" t="s">
        <v>809</v>
      </c>
      <c r="AO57" s="6"/>
      <c r="AP57" s="6"/>
      <c r="AQ57" s="6"/>
      <c r="AR57" s="6"/>
      <c r="AS57" s="6"/>
      <c r="AT57" s="6"/>
      <c r="AU57" s="5" t="s">
        <v>810</v>
      </c>
      <c r="AV57" s="6"/>
      <c r="AW57" s="6"/>
      <c r="AX57" s="6"/>
      <c r="AY57" s="5" t="s">
        <v>811</v>
      </c>
      <c r="AZ57" s="5" t="b">
        <v>0</v>
      </c>
      <c r="BA57" s="5" t="s">
        <v>190</v>
      </c>
      <c r="BB57" s="5" t="s">
        <v>191</v>
      </c>
      <c r="BC57" s="6"/>
      <c r="BD57" s="5" t="s">
        <v>112</v>
      </c>
      <c r="BE57" s="5" t="s">
        <v>812</v>
      </c>
      <c r="BF57" s="6"/>
      <c r="BG57" s="6"/>
      <c r="BH57" s="6"/>
      <c r="BI57" s="6"/>
      <c r="BJ57" s="6"/>
      <c r="BK57" s="6"/>
      <c r="BL57" s="6"/>
      <c r="BM57" s="6"/>
      <c r="BN57" s="6"/>
      <c r="BO57" s="6"/>
      <c r="BP57" s="6"/>
      <c r="BQ57" s="6"/>
      <c r="BR57" s="5" t="s">
        <v>193</v>
      </c>
      <c r="BS57" s="5" t="s">
        <v>194</v>
      </c>
      <c r="BT57" s="5" t="s">
        <v>813</v>
      </c>
      <c r="BU57" s="6"/>
      <c r="BV57" s="6"/>
      <c r="BW57" s="6"/>
      <c r="BX57" s="6"/>
      <c r="BY57" s="6"/>
      <c r="BZ57" s="6"/>
      <c r="CA57" s="6"/>
      <c r="CB57" s="5" t="s">
        <v>814</v>
      </c>
      <c r="CC57" s="6"/>
      <c r="CD57" s="6"/>
      <c r="CE57" s="5" t="s">
        <v>144</v>
      </c>
      <c r="CF57" s="5" t="s">
        <v>815</v>
      </c>
      <c r="CG57" s="6"/>
      <c r="CH57" s="6"/>
      <c r="CI57" s="6"/>
      <c r="CJ57" s="6"/>
      <c r="CK57" s="6"/>
      <c r="CL57" s="6"/>
      <c r="CM57" s="6"/>
      <c r="CN57" s="6"/>
      <c r="CO57" s="6"/>
      <c r="CP57" s="6"/>
    </row>
    <row r="58">
      <c r="A58" s="7" t="s">
        <v>816</v>
      </c>
      <c r="B58" s="8" t="s">
        <v>817</v>
      </c>
      <c r="C58" s="8" t="s">
        <v>818</v>
      </c>
      <c r="D58" s="8" t="s">
        <v>94</v>
      </c>
      <c r="E58" s="8" t="s">
        <v>95</v>
      </c>
      <c r="F58" s="9"/>
      <c r="G58" s="8" t="s">
        <v>819</v>
      </c>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t="str">
        <f t="shared" ref="AJ58:AJ59" si="8">CONCATENATE(J58,K58,L58,Q58,R58,X58,Y58,AA58,AG58)</f>
        <v/>
      </c>
      <c r="AK58" s="8"/>
      <c r="AL58" s="8"/>
      <c r="AM58" s="8" t="s">
        <v>105</v>
      </c>
      <c r="AN58" s="8" t="s">
        <v>820</v>
      </c>
      <c r="AO58" s="9"/>
      <c r="AP58" s="9"/>
      <c r="AQ58" s="9"/>
      <c r="AR58" s="9"/>
      <c r="AS58" s="9"/>
      <c r="AT58" s="9"/>
      <c r="AU58" s="8" t="s">
        <v>821</v>
      </c>
      <c r="AV58" s="8" t="s">
        <v>108</v>
      </c>
      <c r="AW58" s="9"/>
      <c r="AX58" s="9"/>
      <c r="AY58" s="8" t="s">
        <v>811</v>
      </c>
      <c r="AZ58" s="8" t="b">
        <v>0</v>
      </c>
      <c r="BA58" s="8" t="s">
        <v>110</v>
      </c>
      <c r="BB58" s="8" t="s">
        <v>111</v>
      </c>
      <c r="BC58" s="9"/>
      <c r="BD58" s="8" t="s">
        <v>112</v>
      </c>
      <c r="BE58" s="8" t="s">
        <v>822</v>
      </c>
      <c r="BF58" s="9"/>
      <c r="BG58" s="9"/>
      <c r="BH58" s="9"/>
      <c r="BI58" s="9"/>
      <c r="BJ58" s="9"/>
      <c r="BK58" s="9"/>
      <c r="BL58" s="9"/>
      <c r="BM58" s="9"/>
      <c r="BN58" s="9"/>
      <c r="BO58" s="9"/>
      <c r="BP58" s="9"/>
      <c r="BQ58" s="9"/>
      <c r="BR58" s="9"/>
      <c r="BS58" s="9"/>
      <c r="BT58" s="9"/>
      <c r="BU58" s="9"/>
      <c r="BV58" s="9"/>
      <c r="BW58" s="9"/>
      <c r="BX58" s="9"/>
      <c r="BY58" s="9"/>
      <c r="BZ58" s="9"/>
      <c r="CA58" s="9"/>
      <c r="CB58" s="8" t="s">
        <v>608</v>
      </c>
      <c r="CC58" s="9"/>
      <c r="CD58" s="9"/>
      <c r="CE58" s="8" t="s">
        <v>412</v>
      </c>
      <c r="CF58" s="8" t="s">
        <v>823</v>
      </c>
      <c r="CG58" s="9"/>
      <c r="CH58" s="9"/>
      <c r="CI58" s="9"/>
      <c r="CJ58" s="9"/>
      <c r="CK58" s="9"/>
      <c r="CL58" s="9"/>
      <c r="CM58" s="9"/>
      <c r="CN58" s="9"/>
      <c r="CO58" s="9"/>
      <c r="CP58" s="9"/>
    </row>
    <row r="59">
      <c r="A59" s="7" t="s">
        <v>824</v>
      </c>
      <c r="B59" s="8" t="s">
        <v>825</v>
      </c>
      <c r="C59" s="8" t="s">
        <v>826</v>
      </c>
      <c r="D59" s="8" t="s">
        <v>94</v>
      </c>
      <c r="E59" s="8" t="s">
        <v>95</v>
      </c>
      <c r="F59" s="9"/>
      <c r="G59" s="8" t="s">
        <v>827</v>
      </c>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t="str">
        <f t="shared" si="8"/>
        <v/>
      </c>
      <c r="AK59" s="8"/>
      <c r="AL59" s="8"/>
      <c r="AM59" s="8" t="s">
        <v>591</v>
      </c>
      <c r="AN59" s="8" t="s">
        <v>828</v>
      </c>
      <c r="AO59" s="9"/>
      <c r="AP59" s="9"/>
      <c r="AQ59" s="9"/>
      <c r="AR59" s="8" t="s">
        <v>592</v>
      </c>
      <c r="AS59" s="8" t="s">
        <v>593</v>
      </c>
      <c r="AT59" s="9"/>
      <c r="AU59" s="8" t="s">
        <v>829</v>
      </c>
      <c r="AV59" s="8" t="s">
        <v>108</v>
      </c>
      <c r="AW59" s="9"/>
      <c r="AX59" s="9"/>
      <c r="AY59" s="8" t="s">
        <v>811</v>
      </c>
      <c r="AZ59" s="8" t="b">
        <v>0</v>
      </c>
      <c r="BA59" s="8" t="s">
        <v>110</v>
      </c>
      <c r="BB59" s="9"/>
      <c r="BC59" s="9"/>
      <c r="BD59" s="8" t="s">
        <v>112</v>
      </c>
      <c r="BE59" s="8" t="s">
        <v>830</v>
      </c>
      <c r="BF59" s="9"/>
      <c r="BG59" s="9"/>
      <c r="BH59" s="9"/>
      <c r="BI59" s="9"/>
      <c r="BJ59" s="9"/>
      <c r="BK59" s="9"/>
      <c r="BL59" s="9"/>
      <c r="BM59" s="9"/>
      <c r="BN59" s="9"/>
      <c r="BO59" s="9"/>
      <c r="BP59" s="9"/>
      <c r="BQ59" s="9"/>
      <c r="BR59" s="9"/>
      <c r="BS59" s="9"/>
      <c r="BT59" s="9"/>
      <c r="BU59" s="9"/>
      <c r="BV59" s="9"/>
      <c r="BW59" s="9"/>
      <c r="BX59" s="9"/>
      <c r="BY59" s="9"/>
      <c r="BZ59" s="9"/>
      <c r="CA59" s="9"/>
      <c r="CB59" s="8" t="s">
        <v>831</v>
      </c>
      <c r="CC59" s="9"/>
      <c r="CD59" s="9"/>
      <c r="CE59" s="8" t="s">
        <v>115</v>
      </c>
      <c r="CF59" s="8" t="s">
        <v>832</v>
      </c>
      <c r="CG59" s="9"/>
      <c r="CH59" s="9"/>
      <c r="CI59" s="9"/>
      <c r="CJ59" s="9"/>
      <c r="CK59" s="9"/>
      <c r="CL59" s="9"/>
      <c r="CM59" s="9"/>
      <c r="CN59" s="9"/>
      <c r="CO59" s="9"/>
      <c r="CP59" s="9"/>
    </row>
    <row r="60">
      <c r="A60" s="4" t="s">
        <v>833</v>
      </c>
      <c r="B60" s="5" t="s">
        <v>834</v>
      </c>
      <c r="C60" s="5" t="s">
        <v>835</v>
      </c>
      <c r="D60" s="5" t="s">
        <v>94</v>
      </c>
      <c r="E60" s="5" t="s">
        <v>95</v>
      </c>
      <c r="F60" s="6"/>
      <c r="G60" s="5" t="s">
        <v>836</v>
      </c>
      <c r="H60" s="5" t="s">
        <v>100</v>
      </c>
      <c r="I60" s="5"/>
      <c r="J60" s="5"/>
      <c r="K60" s="5"/>
      <c r="L60" s="5"/>
      <c r="M60" s="5"/>
      <c r="N60" s="5"/>
      <c r="O60" s="5"/>
      <c r="P60" s="5"/>
      <c r="Q60" s="5"/>
      <c r="R60" s="5"/>
      <c r="S60" s="5"/>
      <c r="T60" s="5"/>
      <c r="U60" s="5"/>
      <c r="V60" s="5"/>
      <c r="W60" s="5"/>
      <c r="X60" s="6"/>
      <c r="Y60" s="5"/>
      <c r="Z60" s="5"/>
      <c r="AA60" s="5"/>
      <c r="AB60" s="5"/>
      <c r="AC60" s="5"/>
      <c r="AD60" s="5"/>
      <c r="AE60" s="5"/>
      <c r="AF60" s="5"/>
      <c r="AG60" s="5"/>
      <c r="AH60" s="5"/>
      <c r="AI60" s="5"/>
      <c r="AJ60" s="5"/>
      <c r="AK60" s="5"/>
      <c r="AL60" s="5"/>
      <c r="AM60" s="5" t="s">
        <v>105</v>
      </c>
      <c r="AN60" s="5" t="s">
        <v>837</v>
      </c>
      <c r="AO60" s="6"/>
      <c r="AP60" s="5" t="s">
        <v>713</v>
      </c>
      <c r="AQ60" s="6"/>
      <c r="AR60" s="6"/>
      <c r="AS60" s="6"/>
      <c r="AT60" s="6"/>
      <c r="AU60" s="5" t="s">
        <v>838</v>
      </c>
      <c r="AV60" s="5" t="s">
        <v>108</v>
      </c>
      <c r="AW60" s="6"/>
      <c r="AX60" s="6"/>
      <c r="AY60" s="5" t="s">
        <v>839</v>
      </c>
      <c r="AZ60" s="5" t="b">
        <v>0</v>
      </c>
      <c r="BA60" s="5" t="s">
        <v>110</v>
      </c>
      <c r="BB60" s="5" t="s">
        <v>164</v>
      </c>
      <c r="BC60" s="6"/>
      <c r="BD60" s="6"/>
      <c r="BE60" s="5" t="s">
        <v>840</v>
      </c>
      <c r="BF60" s="6"/>
      <c r="BG60" s="6"/>
      <c r="BH60" s="6"/>
      <c r="BI60" s="6"/>
      <c r="BJ60" s="6"/>
      <c r="BK60" s="6"/>
      <c r="BL60" s="6"/>
      <c r="BM60" s="6"/>
      <c r="BN60" s="6"/>
      <c r="BO60" s="6"/>
      <c r="BP60" s="6"/>
      <c r="BQ60" s="6"/>
      <c r="BR60" s="6"/>
      <c r="BS60" s="6"/>
      <c r="BT60" s="6"/>
      <c r="BU60" s="6"/>
      <c r="BV60" s="6"/>
      <c r="BW60" s="6"/>
      <c r="BX60" s="6"/>
      <c r="BY60" s="6"/>
      <c r="BZ60" s="6"/>
      <c r="CA60" s="6"/>
      <c r="CB60" s="5" t="s">
        <v>841</v>
      </c>
      <c r="CC60" s="6"/>
      <c r="CD60" s="6"/>
      <c r="CE60" s="5" t="s">
        <v>450</v>
      </c>
      <c r="CF60" s="5" t="s">
        <v>842</v>
      </c>
      <c r="CG60" s="6"/>
      <c r="CH60" s="6"/>
      <c r="CI60" s="6"/>
      <c r="CJ60" s="6"/>
      <c r="CK60" s="6"/>
      <c r="CL60" s="6"/>
      <c r="CM60" s="6"/>
      <c r="CN60" s="6"/>
      <c r="CO60" s="6"/>
      <c r="CP60" s="6"/>
    </row>
    <row r="61">
      <c r="A61" s="7" t="s">
        <v>843</v>
      </c>
      <c r="B61" s="8" t="s">
        <v>844</v>
      </c>
      <c r="C61" s="8" t="s">
        <v>845</v>
      </c>
      <c r="D61" s="8" t="s">
        <v>94</v>
      </c>
      <c r="E61" s="8" t="s">
        <v>95</v>
      </c>
      <c r="F61" s="9"/>
      <c r="G61" s="8" t="s">
        <v>846</v>
      </c>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t="str">
        <f>CONCATENATE(J61,K61,L61,Q61,R61,X61,Y61,AA61,AG61)</f>
        <v/>
      </c>
      <c r="AK61" s="8"/>
      <c r="AL61" s="8"/>
      <c r="AM61" s="8" t="s">
        <v>105</v>
      </c>
      <c r="AN61" s="8" t="s">
        <v>847</v>
      </c>
      <c r="AO61" s="9"/>
      <c r="AP61" s="9"/>
      <c r="AQ61" s="9"/>
      <c r="AR61" s="9"/>
      <c r="AS61" s="9"/>
      <c r="AT61" s="9"/>
      <c r="AU61" s="8" t="s">
        <v>848</v>
      </c>
      <c r="AV61" s="8" t="s">
        <v>108</v>
      </c>
      <c r="AW61" s="9"/>
      <c r="AX61" s="9"/>
      <c r="AY61" s="8" t="s">
        <v>839</v>
      </c>
      <c r="AZ61" s="8" t="b">
        <v>0</v>
      </c>
      <c r="BA61" s="8" t="s">
        <v>110</v>
      </c>
      <c r="BB61" s="8" t="s">
        <v>773</v>
      </c>
      <c r="BC61" s="9"/>
      <c r="BD61" s="8" t="s">
        <v>112</v>
      </c>
      <c r="BE61" s="8" t="s">
        <v>849</v>
      </c>
      <c r="BF61" s="9"/>
      <c r="BG61" s="9"/>
      <c r="BH61" s="9"/>
      <c r="BI61" s="9"/>
      <c r="BJ61" s="9"/>
      <c r="BK61" s="9"/>
      <c r="BL61" s="9"/>
      <c r="BM61" s="9"/>
      <c r="BN61" s="9"/>
      <c r="BO61" s="9"/>
      <c r="BP61" s="9"/>
      <c r="BQ61" s="9"/>
      <c r="BR61" s="9"/>
      <c r="BS61" s="9"/>
      <c r="BT61" s="9"/>
      <c r="BU61" s="9"/>
      <c r="BV61" s="9"/>
      <c r="BW61" s="9"/>
      <c r="BX61" s="9"/>
      <c r="BY61" s="9"/>
      <c r="BZ61" s="9"/>
      <c r="CA61" s="9"/>
      <c r="CB61" s="8" t="s">
        <v>665</v>
      </c>
      <c r="CC61" s="9"/>
      <c r="CD61" s="9"/>
      <c r="CE61" s="8" t="s">
        <v>115</v>
      </c>
      <c r="CF61" s="8" t="s">
        <v>850</v>
      </c>
      <c r="CG61" s="9"/>
      <c r="CH61" s="9"/>
      <c r="CI61" s="9"/>
      <c r="CJ61" s="9"/>
      <c r="CK61" s="9"/>
      <c r="CL61" s="9"/>
      <c r="CM61" s="9"/>
      <c r="CN61" s="9"/>
      <c r="CO61" s="9"/>
      <c r="CP61" s="9"/>
    </row>
    <row r="62">
      <c r="A62" s="4" t="s">
        <v>851</v>
      </c>
      <c r="B62" s="5" t="s">
        <v>852</v>
      </c>
      <c r="C62" s="5" t="s">
        <v>853</v>
      </c>
      <c r="D62" s="5" t="s">
        <v>94</v>
      </c>
      <c r="E62" s="5" t="s">
        <v>95</v>
      </c>
      <c r="F62" s="6"/>
      <c r="G62" s="5" t="s">
        <v>854</v>
      </c>
      <c r="H62" s="5" t="s">
        <v>97</v>
      </c>
      <c r="I62" s="5" t="s">
        <v>653</v>
      </c>
      <c r="J62" s="5"/>
      <c r="K62" s="5"/>
      <c r="L62" s="5"/>
      <c r="M62" s="5" t="s">
        <v>855</v>
      </c>
      <c r="N62" s="5" t="s">
        <v>100</v>
      </c>
      <c r="O62" s="5" t="s">
        <v>856</v>
      </c>
      <c r="P62" s="5" t="s">
        <v>857</v>
      </c>
      <c r="Q62" s="5" t="s">
        <v>858</v>
      </c>
      <c r="R62" s="5"/>
      <c r="S62" s="5" t="s">
        <v>100</v>
      </c>
      <c r="T62" s="5" t="s">
        <v>100</v>
      </c>
      <c r="U62" s="5" t="s">
        <v>100</v>
      </c>
      <c r="V62" s="5" t="s">
        <v>100</v>
      </c>
      <c r="W62" s="5" t="s">
        <v>100</v>
      </c>
      <c r="X62" s="5" t="s">
        <v>100</v>
      </c>
      <c r="Y62" s="5" t="s">
        <v>100</v>
      </c>
      <c r="Z62" s="5" t="s">
        <v>100</v>
      </c>
      <c r="AA62" s="5"/>
      <c r="AB62" s="5" t="s">
        <v>100</v>
      </c>
      <c r="AC62" s="5" t="s">
        <v>100</v>
      </c>
      <c r="AD62" s="5" t="s">
        <v>100</v>
      </c>
      <c r="AE62" s="5" t="s">
        <v>100</v>
      </c>
      <c r="AF62" s="5" t="s">
        <v>100</v>
      </c>
      <c r="AG62" s="5" t="s">
        <v>100</v>
      </c>
      <c r="AH62" s="5" t="s">
        <v>100</v>
      </c>
      <c r="AI62" s="5" t="s">
        <v>859</v>
      </c>
      <c r="AJ62" s="5" t="s">
        <v>860</v>
      </c>
      <c r="AK62" s="5" t="s">
        <v>124</v>
      </c>
      <c r="AL62" s="5" t="s">
        <v>124</v>
      </c>
      <c r="AM62" s="5" t="s">
        <v>105</v>
      </c>
      <c r="AN62" s="5" t="s">
        <v>861</v>
      </c>
      <c r="AO62" s="6"/>
      <c r="AP62" s="6"/>
      <c r="AQ62" s="6"/>
      <c r="AR62" s="6"/>
      <c r="AS62" s="6"/>
      <c r="AT62" s="6"/>
      <c r="AU62" s="5" t="s">
        <v>862</v>
      </c>
      <c r="AV62" s="5" t="s">
        <v>108</v>
      </c>
      <c r="AW62" s="6"/>
      <c r="AX62" s="6"/>
      <c r="AY62" s="5" t="s">
        <v>863</v>
      </c>
      <c r="AZ62" s="5" t="b">
        <v>0</v>
      </c>
      <c r="BA62" s="5" t="s">
        <v>110</v>
      </c>
      <c r="BB62" s="5" t="s">
        <v>773</v>
      </c>
      <c r="BC62" s="6"/>
      <c r="BD62" s="6"/>
      <c r="BE62" s="5" t="s">
        <v>864</v>
      </c>
      <c r="BF62" s="6"/>
      <c r="BG62" s="6"/>
      <c r="BH62" s="6"/>
      <c r="BI62" s="6"/>
      <c r="BJ62" s="6"/>
      <c r="BK62" s="6"/>
      <c r="BL62" s="6"/>
      <c r="BM62" s="6"/>
      <c r="BN62" s="6"/>
      <c r="BO62" s="6"/>
      <c r="BP62" s="6"/>
      <c r="BQ62" s="6"/>
      <c r="BR62" s="6"/>
      <c r="BS62" s="6"/>
      <c r="BT62" s="6"/>
      <c r="BU62" s="6"/>
      <c r="BV62" s="6"/>
      <c r="BW62" s="6"/>
      <c r="BX62" s="6"/>
      <c r="BY62" s="6"/>
      <c r="BZ62" s="6"/>
      <c r="CA62" s="6"/>
      <c r="CB62" s="5" t="s">
        <v>665</v>
      </c>
      <c r="CC62" s="6"/>
      <c r="CD62" s="6"/>
      <c r="CE62" s="5" t="s">
        <v>115</v>
      </c>
      <c r="CF62" s="5" t="s">
        <v>865</v>
      </c>
      <c r="CG62" s="6"/>
      <c r="CH62" s="6"/>
      <c r="CI62" s="6"/>
      <c r="CJ62" s="6"/>
      <c r="CK62" s="6"/>
      <c r="CL62" s="6"/>
      <c r="CM62" s="6"/>
      <c r="CN62" s="6"/>
      <c r="CO62" s="6"/>
      <c r="CP62" s="6"/>
    </row>
    <row r="63">
      <c r="A63" s="4" t="s">
        <v>866</v>
      </c>
      <c r="B63" s="5" t="s">
        <v>867</v>
      </c>
      <c r="C63" s="5" t="s">
        <v>868</v>
      </c>
      <c r="D63" s="5" t="s">
        <v>94</v>
      </c>
      <c r="E63" s="5" t="s">
        <v>95</v>
      </c>
      <c r="F63" s="6"/>
      <c r="G63" s="5" t="s">
        <v>869</v>
      </c>
      <c r="H63" s="5" t="s">
        <v>97</v>
      </c>
      <c r="I63" s="5" t="s">
        <v>870</v>
      </c>
      <c r="J63" s="5"/>
      <c r="K63" s="5"/>
      <c r="L63" s="5"/>
      <c r="M63" s="5" t="s">
        <v>871</v>
      </c>
      <c r="N63" s="5" t="s">
        <v>100</v>
      </c>
      <c r="O63" s="5" t="s">
        <v>100</v>
      </c>
      <c r="P63" s="5" t="s">
        <v>100</v>
      </c>
      <c r="Q63" s="5"/>
      <c r="R63" s="5"/>
      <c r="S63" s="5" t="s">
        <v>100</v>
      </c>
      <c r="T63" s="5" t="s">
        <v>872</v>
      </c>
      <c r="U63" s="5" t="s">
        <v>100</v>
      </c>
      <c r="V63" s="5" t="s">
        <v>100</v>
      </c>
      <c r="W63" s="5" t="s">
        <v>100</v>
      </c>
      <c r="X63" s="5" t="s">
        <v>100</v>
      </c>
      <c r="Y63" s="5" t="s">
        <v>100</v>
      </c>
      <c r="Z63" s="5" t="s">
        <v>100</v>
      </c>
      <c r="AA63" s="5"/>
      <c r="AB63" s="5" t="s">
        <v>100</v>
      </c>
      <c r="AC63" s="5" t="s">
        <v>100</v>
      </c>
      <c r="AD63" s="5" t="s">
        <v>100</v>
      </c>
      <c r="AE63" s="5" t="s">
        <v>100</v>
      </c>
      <c r="AF63" s="5" t="s">
        <v>100</v>
      </c>
      <c r="AG63" s="5" t="s">
        <v>100</v>
      </c>
      <c r="AH63" s="5" t="s">
        <v>100</v>
      </c>
      <c r="AI63" s="5" t="s">
        <v>873</v>
      </c>
      <c r="AJ63" s="5" t="s">
        <v>874</v>
      </c>
      <c r="AK63" s="5" t="s">
        <v>124</v>
      </c>
      <c r="AL63" s="5" t="s">
        <v>124</v>
      </c>
      <c r="AM63" s="5" t="s">
        <v>105</v>
      </c>
      <c r="AN63" s="5" t="s">
        <v>875</v>
      </c>
      <c r="AO63" s="6"/>
      <c r="AP63" s="6"/>
      <c r="AQ63" s="6"/>
      <c r="AR63" s="6"/>
      <c r="AS63" s="6"/>
      <c r="AT63" s="6"/>
      <c r="AU63" s="5" t="s">
        <v>876</v>
      </c>
      <c r="AV63" s="5" t="s">
        <v>108</v>
      </c>
      <c r="AW63" s="6"/>
      <c r="AX63" s="6"/>
      <c r="AY63" s="5" t="s">
        <v>863</v>
      </c>
      <c r="AZ63" s="5" t="b">
        <v>0</v>
      </c>
      <c r="BA63" s="5" t="s">
        <v>110</v>
      </c>
      <c r="BB63" s="5" t="s">
        <v>111</v>
      </c>
      <c r="BC63" s="6"/>
      <c r="BD63" s="5" t="s">
        <v>112</v>
      </c>
      <c r="BE63" s="5" t="s">
        <v>877</v>
      </c>
      <c r="BF63" s="6"/>
      <c r="BG63" s="6"/>
      <c r="BH63" s="6"/>
      <c r="BI63" s="6"/>
      <c r="BJ63" s="6"/>
      <c r="BK63" s="6"/>
      <c r="BL63" s="6"/>
      <c r="BM63" s="6"/>
      <c r="BN63" s="6"/>
      <c r="BO63" s="6"/>
      <c r="BP63" s="6"/>
      <c r="BQ63" s="6"/>
      <c r="BR63" s="6"/>
      <c r="BS63" s="6"/>
      <c r="BT63" s="6"/>
      <c r="BU63" s="6"/>
      <c r="BV63" s="6"/>
      <c r="BW63" s="6"/>
      <c r="BX63" s="6"/>
      <c r="BY63" s="6"/>
      <c r="BZ63" s="6"/>
      <c r="CA63" s="6"/>
      <c r="CB63" s="5" t="s">
        <v>878</v>
      </c>
      <c r="CC63" s="6"/>
      <c r="CD63" s="6"/>
      <c r="CE63" s="5" t="s">
        <v>197</v>
      </c>
      <c r="CF63" s="5" t="s">
        <v>879</v>
      </c>
      <c r="CG63" s="6"/>
      <c r="CH63" s="6"/>
      <c r="CI63" s="6"/>
      <c r="CJ63" s="6"/>
      <c r="CK63" s="6"/>
      <c r="CL63" s="6"/>
      <c r="CM63" s="6"/>
      <c r="CN63" s="6"/>
      <c r="CO63" s="6"/>
      <c r="CP63" s="6"/>
    </row>
    <row r="64">
      <c r="A64" s="4" t="s">
        <v>880</v>
      </c>
      <c r="B64" s="5" t="s">
        <v>881</v>
      </c>
      <c r="C64" s="5" t="s">
        <v>882</v>
      </c>
      <c r="D64" s="5" t="s">
        <v>94</v>
      </c>
      <c r="E64" s="5" t="s">
        <v>95</v>
      </c>
      <c r="F64" s="6"/>
      <c r="G64" s="5" t="s">
        <v>883</v>
      </c>
      <c r="H64" s="5" t="s">
        <v>97</v>
      </c>
      <c r="I64" s="5" t="s">
        <v>472</v>
      </c>
      <c r="J64" s="5" t="s">
        <v>884</v>
      </c>
      <c r="K64" s="5"/>
      <c r="L64" s="5" t="s">
        <v>885</v>
      </c>
      <c r="M64" s="5"/>
      <c r="N64" s="5"/>
      <c r="O64" s="5"/>
      <c r="P64" s="5"/>
      <c r="Q64" s="5" t="s">
        <v>886</v>
      </c>
      <c r="R64" s="5" t="s">
        <v>887</v>
      </c>
      <c r="S64" s="5"/>
      <c r="T64" s="5"/>
      <c r="U64" s="5"/>
      <c r="V64" s="5"/>
      <c r="W64" s="5"/>
      <c r="X64" s="5" t="s">
        <v>888</v>
      </c>
      <c r="Y64" s="5"/>
      <c r="Z64" s="5"/>
      <c r="AA64" s="5"/>
      <c r="AB64" s="5"/>
      <c r="AC64" s="5"/>
      <c r="AD64" s="5"/>
      <c r="AE64" s="5"/>
      <c r="AF64" s="5"/>
      <c r="AG64" s="5"/>
      <c r="AH64" s="5"/>
      <c r="AI64" s="5" t="s">
        <v>889</v>
      </c>
      <c r="AJ64" s="5" t="str">
        <f t="shared" ref="AJ64:AJ67" si="9">CONCATENATE(J64,K64,L64,Q64,R64,X64,Y64,AA64,AG64)</f>
        <v>100, 101, 116, 118, 121, 122, 123, 125, 126, 127, 128, 129, 131, 132, 134, 135, 136, 137, 139, 140, 141, 142, 143, 145, 146, 147, 148, 149, 150, 151, 152, 154, 155, 156, 157, 158, 159, 160, 161, 162, 163, 164, 165, 167, 168, 171, 172, 173, 175, 176, 177, 178, 179, 180, 181, 182, 183, 185, 186, 187, 188, 189, 190, 191, 192, 193, 195, 196, 198, 199, 200, 201, 202, 203, 204, 205, 206, 207, 209, 210, 212, 213, 214, 215, 217, 217, 218, 219, 220, 221, 222, 223, 224, 225, 237, 238, 239, 240, 241, 242, 247, 248, 249, 250, 251, 252, 253, 255, 256, 257, 258, 259, 260, 261, 262, 263, 264, 265, 266, 267, 268, 269, 270, 271, 29, 296, 297, 298, 30, 300, 301, 302, 303, 304, 305, 306, 309, 31, 310, 311, 312, 313, 314, 32, 320, 321, 322, 323, 324, 326, 327, 328, 329, 33, 330, 331, 334, 336, 337, 338, 339, 34, 342, 343, 345, 346, 347, 348, 349, 35, 351, 354, 355, 359, 36, 360, 371, 372, 373, 374, 375, 376, 377, 378, 379, 380, 381, 383, 384, 386, 387, 388, 389, 39, 391, 392, 393, 394, 395, 396, 397, 398, 399, 40, 400, 401, 403, 404, 405, 407, 408, 409, 41, 410, 411, 412, 413, 414, 415, 416, 42, 435, 436, 437, 438, 439, 440, 445, 446, 447, 448, 451, 456, 457, 458, 460, 462, 465, 466, 467, 468, 469, 470, 471, 472, 473, 474, 475, 476, 477, 478, 479, 480, 481, 482, 484, 485, 486, 487, 488, 489, 490, 491, 492, 493, 494, 495, 498, 499, 500, 501, 503, 504, 505, 506, 509, 51, 510, 511, 512, 513, 514, 515, 516, 517, 518, 519, 520, 56, 560, 562, 563, 57, 58, 59, 60, 61, 62, 63, 64, 73, 74, 75, 76, 77, 78, 79, 80, 81, 82, 83, 85, 86, 87, 88, 89, 90, 92, 93, 94, 99, 102, 103, 104, 105, 106, 107, 108, 109, 110, 111, 112, 113, 114, 115, 116, 118, 119, 120, 225, 226, 228, 229, 230, 231, 232, 233, 235, 236, 263, 264, 265, 266, 267, 268, 269, 270, 271, 272, 273, 274, 276, 277, 278, 279, 280, 281, 282, 283, 284, 285, 286, 289, 290, 291, 292, 293, 294, 295, 307, 308, 315, 318, 319, 336, 337, 340, 352, 353, 356, 357, 36, 362, 363, 364, 365, 366, 367, 368, 369, 370, 39, 40, 407, 408, 409, 410, 411, 412, 417, 418, 419, 420, 421, 422, 423, 424, 425, 426, 427, 428, 429, 43, 430, 431, 432, 44, 443, 444, 45, 46, 461, 47, 521, 524, 525, 526, 527, 528, 53, 530, 531, 534, 535, 536, 537, 538, 539, 54, 540, 542, 543, 544, 545, 546, 548, 549, 551, 552, 553, 554, 555, 556, 558, 66, 69, 70, 71, 72, 81, 82, 83, 85, 86, 332, 96, 98, 450, 559, 561</v>
      </c>
      <c r="AK64" s="5" t="s">
        <v>124</v>
      </c>
      <c r="AL64" s="5" t="s">
        <v>124</v>
      </c>
      <c r="AM64" s="5" t="s">
        <v>105</v>
      </c>
      <c r="AN64" s="5" t="s">
        <v>890</v>
      </c>
      <c r="AO64" s="6"/>
      <c r="AP64" s="6"/>
      <c r="AQ64" s="6"/>
      <c r="AR64" s="6"/>
      <c r="AS64" s="6"/>
      <c r="AT64" s="6"/>
      <c r="AU64" s="5" t="s">
        <v>891</v>
      </c>
      <c r="AV64" s="5" t="s">
        <v>108</v>
      </c>
      <c r="AW64" s="6"/>
      <c r="AX64" s="6"/>
      <c r="AY64" s="5" t="s">
        <v>863</v>
      </c>
      <c r="AZ64" s="5" t="b">
        <v>0</v>
      </c>
      <c r="BA64" s="5" t="s">
        <v>110</v>
      </c>
      <c r="BB64" s="5" t="s">
        <v>111</v>
      </c>
      <c r="BC64" s="6"/>
      <c r="BD64" s="5" t="s">
        <v>112</v>
      </c>
      <c r="BE64" s="5" t="s">
        <v>892</v>
      </c>
      <c r="BF64" s="6"/>
      <c r="BG64" s="6"/>
      <c r="BH64" s="6"/>
      <c r="BI64" s="6"/>
      <c r="BJ64" s="6"/>
      <c r="BK64" s="6"/>
      <c r="BL64" s="6"/>
      <c r="BM64" s="6"/>
      <c r="BN64" s="6"/>
      <c r="BO64" s="6"/>
      <c r="BP64" s="6"/>
      <c r="BQ64" s="6"/>
      <c r="BR64" s="6"/>
      <c r="BS64" s="6"/>
      <c r="BT64" s="6"/>
      <c r="BU64" s="6"/>
      <c r="BV64" s="6"/>
      <c r="BW64" s="6"/>
      <c r="BX64" s="6"/>
      <c r="BY64" s="6"/>
      <c r="BZ64" s="6"/>
      <c r="CA64" s="6"/>
      <c r="CB64" s="5" t="s">
        <v>893</v>
      </c>
      <c r="CC64" s="6"/>
      <c r="CD64" s="6"/>
      <c r="CE64" s="5" t="s">
        <v>197</v>
      </c>
      <c r="CF64" s="5" t="s">
        <v>894</v>
      </c>
      <c r="CG64" s="6"/>
      <c r="CH64" s="6"/>
      <c r="CI64" s="6"/>
      <c r="CJ64" s="6"/>
      <c r="CK64" s="6"/>
      <c r="CL64" s="6"/>
      <c r="CM64" s="6"/>
      <c r="CN64" s="6"/>
      <c r="CO64" s="6"/>
      <c r="CP64" s="6"/>
    </row>
    <row r="65">
      <c r="A65" s="7" t="s">
        <v>895</v>
      </c>
      <c r="B65" s="8" t="s">
        <v>896</v>
      </c>
      <c r="C65" s="8" t="s">
        <v>897</v>
      </c>
      <c r="D65" s="8" t="s">
        <v>94</v>
      </c>
      <c r="E65" s="8" t="s">
        <v>95</v>
      </c>
      <c r="F65" s="9"/>
      <c r="G65" s="8" t="s">
        <v>898</v>
      </c>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t="str">
        <f t="shared" si="9"/>
        <v/>
      </c>
      <c r="AK65" s="8"/>
      <c r="AL65" s="8"/>
      <c r="AM65" s="8" t="s">
        <v>105</v>
      </c>
      <c r="AN65" s="8" t="s">
        <v>837</v>
      </c>
      <c r="AO65" s="9"/>
      <c r="AP65" s="8" t="s">
        <v>899</v>
      </c>
      <c r="AQ65" s="9"/>
      <c r="AR65" s="9"/>
      <c r="AS65" s="9"/>
      <c r="AT65" s="9"/>
      <c r="AU65" s="8" t="s">
        <v>900</v>
      </c>
      <c r="AV65" s="8" t="s">
        <v>108</v>
      </c>
      <c r="AW65" s="9"/>
      <c r="AX65" s="9"/>
      <c r="AY65" s="8" t="s">
        <v>863</v>
      </c>
      <c r="AZ65" s="8" t="b">
        <v>0</v>
      </c>
      <c r="BA65" s="8" t="s">
        <v>110</v>
      </c>
      <c r="BB65" s="8" t="s">
        <v>164</v>
      </c>
      <c r="BC65" s="9"/>
      <c r="BD65" s="8" t="s">
        <v>112</v>
      </c>
      <c r="BE65" s="8" t="s">
        <v>901</v>
      </c>
      <c r="BF65" s="9"/>
      <c r="BG65" s="9"/>
      <c r="BH65" s="9"/>
      <c r="BI65" s="9"/>
      <c r="BJ65" s="9"/>
      <c r="BK65" s="9"/>
      <c r="BL65" s="9"/>
      <c r="BM65" s="9"/>
      <c r="BN65" s="9"/>
      <c r="BO65" s="9"/>
      <c r="BP65" s="9"/>
      <c r="BQ65" s="9"/>
      <c r="BR65" s="9"/>
      <c r="BS65" s="9"/>
      <c r="BT65" s="9"/>
      <c r="BU65" s="9"/>
      <c r="BV65" s="9"/>
      <c r="BW65" s="9"/>
      <c r="BX65" s="9"/>
      <c r="BY65" s="9"/>
      <c r="BZ65" s="9"/>
      <c r="CA65" s="9"/>
      <c r="CB65" s="8" t="s">
        <v>902</v>
      </c>
      <c r="CC65" s="9"/>
      <c r="CD65" s="9"/>
      <c r="CE65" s="8" t="s">
        <v>903</v>
      </c>
      <c r="CF65" s="8" t="s">
        <v>904</v>
      </c>
      <c r="CG65" s="9"/>
      <c r="CH65" s="9"/>
      <c r="CI65" s="9"/>
      <c r="CJ65" s="9"/>
      <c r="CK65" s="9"/>
      <c r="CL65" s="9"/>
      <c r="CM65" s="9"/>
      <c r="CN65" s="9"/>
      <c r="CO65" s="9"/>
      <c r="CP65" s="9"/>
    </row>
    <row r="66">
      <c r="A66" s="7" t="s">
        <v>905</v>
      </c>
      <c r="B66" s="8" t="s">
        <v>906</v>
      </c>
      <c r="C66" s="8" t="s">
        <v>907</v>
      </c>
      <c r="D66" s="8" t="s">
        <v>94</v>
      </c>
      <c r="E66" s="8" t="s">
        <v>95</v>
      </c>
      <c r="F66" s="9"/>
      <c r="G66" s="8" t="s">
        <v>908</v>
      </c>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t="str">
        <f t="shared" si="9"/>
        <v/>
      </c>
      <c r="AK66" s="8"/>
      <c r="AL66" s="8"/>
      <c r="AM66" s="8" t="s">
        <v>105</v>
      </c>
      <c r="AN66" s="8" t="s">
        <v>909</v>
      </c>
      <c r="AO66" s="9"/>
      <c r="AP66" s="8" t="s">
        <v>899</v>
      </c>
      <c r="AQ66" s="9"/>
      <c r="AR66" s="9"/>
      <c r="AS66" s="9"/>
      <c r="AT66" s="9"/>
      <c r="AU66" s="8" t="s">
        <v>910</v>
      </c>
      <c r="AV66" s="8" t="s">
        <v>108</v>
      </c>
      <c r="AW66" s="9"/>
      <c r="AX66" s="9"/>
      <c r="AY66" s="8" t="s">
        <v>863</v>
      </c>
      <c r="AZ66" s="8" t="b">
        <v>0</v>
      </c>
      <c r="BA66" s="8" t="s">
        <v>110</v>
      </c>
      <c r="BB66" s="8" t="s">
        <v>911</v>
      </c>
      <c r="BC66" s="9"/>
      <c r="BD66" s="8" t="s">
        <v>112</v>
      </c>
      <c r="BE66" s="8" t="s">
        <v>912</v>
      </c>
      <c r="BF66" s="9"/>
      <c r="BG66" s="9"/>
      <c r="BH66" s="9"/>
      <c r="BI66" s="9"/>
      <c r="BJ66" s="9"/>
      <c r="BK66" s="9"/>
      <c r="BL66" s="9"/>
      <c r="BM66" s="9"/>
      <c r="BN66" s="9"/>
      <c r="BO66" s="9"/>
      <c r="BP66" s="9"/>
      <c r="BQ66" s="9"/>
      <c r="BR66" s="9"/>
      <c r="BS66" s="9"/>
      <c r="BT66" s="9"/>
      <c r="BU66" s="9"/>
      <c r="BV66" s="9"/>
      <c r="BW66" s="9"/>
      <c r="BX66" s="9"/>
      <c r="BY66" s="9"/>
      <c r="BZ66" s="9"/>
      <c r="CA66" s="9"/>
      <c r="CB66" s="8" t="s">
        <v>913</v>
      </c>
      <c r="CC66" s="9"/>
      <c r="CD66" s="9"/>
      <c r="CE66" s="8" t="s">
        <v>115</v>
      </c>
      <c r="CF66" s="8" t="s">
        <v>914</v>
      </c>
      <c r="CG66" s="9"/>
      <c r="CH66" s="9"/>
      <c r="CI66" s="9"/>
      <c r="CJ66" s="9"/>
      <c r="CK66" s="9"/>
      <c r="CL66" s="9"/>
      <c r="CM66" s="9"/>
      <c r="CN66" s="9"/>
      <c r="CO66" s="9"/>
      <c r="CP66" s="9"/>
    </row>
    <row r="67">
      <c r="A67" s="7" t="s">
        <v>915</v>
      </c>
      <c r="B67" s="8" t="s">
        <v>916</v>
      </c>
      <c r="C67" s="8" t="s">
        <v>917</v>
      </c>
      <c r="D67" s="8" t="s">
        <v>94</v>
      </c>
      <c r="E67" s="8" t="s">
        <v>95</v>
      </c>
      <c r="F67" s="9"/>
      <c r="G67" s="8" t="s">
        <v>918</v>
      </c>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t="str">
        <f t="shared" si="9"/>
        <v/>
      </c>
      <c r="AK67" s="8"/>
      <c r="AL67" s="8"/>
      <c r="AM67" s="8" t="s">
        <v>105</v>
      </c>
      <c r="AN67" s="8" t="s">
        <v>909</v>
      </c>
      <c r="AO67" s="9"/>
      <c r="AP67" s="8" t="s">
        <v>919</v>
      </c>
      <c r="AQ67" s="9"/>
      <c r="AR67" s="9"/>
      <c r="AS67" s="9"/>
      <c r="AT67" s="9"/>
      <c r="AU67" s="8" t="s">
        <v>920</v>
      </c>
      <c r="AV67" s="8" t="s">
        <v>108</v>
      </c>
      <c r="AW67" s="9"/>
      <c r="AX67" s="9"/>
      <c r="AY67" s="8" t="s">
        <v>863</v>
      </c>
      <c r="AZ67" s="8" t="b">
        <v>0</v>
      </c>
      <c r="BA67" s="8" t="s">
        <v>110</v>
      </c>
      <c r="BB67" s="8" t="s">
        <v>911</v>
      </c>
      <c r="BC67" s="9"/>
      <c r="BD67" s="8" t="s">
        <v>112</v>
      </c>
      <c r="BE67" s="8" t="s">
        <v>921</v>
      </c>
      <c r="BF67" s="9"/>
      <c r="BG67" s="9"/>
      <c r="BH67" s="9"/>
      <c r="BI67" s="9"/>
      <c r="BJ67" s="9"/>
      <c r="BK67" s="9"/>
      <c r="BL67" s="9"/>
      <c r="BM67" s="9"/>
      <c r="BN67" s="9"/>
      <c r="BO67" s="9"/>
      <c r="BP67" s="9"/>
      <c r="BQ67" s="9"/>
      <c r="BR67" s="9"/>
      <c r="BS67" s="9"/>
      <c r="BT67" s="9"/>
      <c r="BU67" s="9"/>
      <c r="BV67" s="9"/>
      <c r="BW67" s="9"/>
      <c r="BX67" s="9"/>
      <c r="BY67" s="9"/>
      <c r="BZ67" s="9"/>
      <c r="CA67" s="9"/>
      <c r="CB67" s="8" t="s">
        <v>922</v>
      </c>
      <c r="CC67" s="9"/>
      <c r="CD67" s="9"/>
      <c r="CE67" s="8" t="s">
        <v>115</v>
      </c>
      <c r="CF67" s="8" t="s">
        <v>923</v>
      </c>
      <c r="CG67" s="9"/>
      <c r="CH67" s="9"/>
      <c r="CI67" s="9"/>
      <c r="CJ67" s="9"/>
      <c r="CK67" s="9"/>
      <c r="CL67" s="9"/>
      <c r="CM67" s="9"/>
      <c r="CN67" s="9"/>
      <c r="CO67" s="9"/>
      <c r="CP67" s="9"/>
    </row>
    <row r="68">
      <c r="A68" s="4" t="s">
        <v>924</v>
      </c>
      <c r="B68" s="5" t="s">
        <v>925</v>
      </c>
      <c r="C68" s="5" t="s">
        <v>926</v>
      </c>
      <c r="D68" s="5" t="s">
        <v>94</v>
      </c>
      <c r="E68" s="5" t="s">
        <v>95</v>
      </c>
      <c r="F68" s="6"/>
      <c r="G68" s="5" t="s">
        <v>927</v>
      </c>
      <c r="H68" s="5" t="s">
        <v>97</v>
      </c>
      <c r="I68" s="5" t="s">
        <v>928</v>
      </c>
      <c r="J68" s="5"/>
      <c r="K68" s="5"/>
      <c r="L68" s="5"/>
      <c r="M68" s="5" t="s">
        <v>100</v>
      </c>
      <c r="N68" s="5" t="s">
        <v>100</v>
      </c>
      <c r="O68" s="5" t="s">
        <v>100</v>
      </c>
      <c r="P68" s="5" t="s">
        <v>100</v>
      </c>
      <c r="Q68" s="5"/>
      <c r="R68" s="5"/>
      <c r="S68" s="5" t="s">
        <v>929</v>
      </c>
      <c r="T68" s="5" t="s">
        <v>930</v>
      </c>
      <c r="U68" s="5"/>
      <c r="V68" s="5" t="s">
        <v>100</v>
      </c>
      <c r="W68" s="5"/>
      <c r="X68" s="5" t="s">
        <v>931</v>
      </c>
      <c r="Y68" s="5" t="s">
        <v>932</v>
      </c>
      <c r="Z68" s="5" t="s">
        <v>100</v>
      </c>
      <c r="AA68" s="5"/>
      <c r="AB68" s="5" t="s">
        <v>933</v>
      </c>
      <c r="AC68" s="5" t="s">
        <v>934</v>
      </c>
      <c r="AD68" s="5" t="s">
        <v>100</v>
      </c>
      <c r="AE68" s="5" t="s">
        <v>100</v>
      </c>
      <c r="AF68" s="5" t="s">
        <v>935</v>
      </c>
      <c r="AG68" s="5" t="s">
        <v>100</v>
      </c>
      <c r="AH68" s="5" t="s">
        <v>936</v>
      </c>
      <c r="AI68" s="5" t="s">
        <v>937</v>
      </c>
      <c r="AJ68" s="5" t="s">
        <v>938</v>
      </c>
      <c r="AK68" s="5" t="s">
        <v>103</v>
      </c>
      <c r="AL68" s="5" t="s">
        <v>103</v>
      </c>
      <c r="AM68" s="5" t="s">
        <v>105</v>
      </c>
      <c r="AN68" s="5" t="s">
        <v>939</v>
      </c>
      <c r="AO68" s="6"/>
      <c r="AP68" s="6"/>
      <c r="AQ68" s="6"/>
      <c r="AR68" s="6"/>
      <c r="AS68" s="6"/>
      <c r="AT68" s="6"/>
      <c r="AU68" s="5" t="s">
        <v>940</v>
      </c>
      <c r="AV68" s="6"/>
      <c r="AW68" s="6"/>
      <c r="AX68" s="6"/>
      <c r="AY68" s="5" t="s">
        <v>941</v>
      </c>
      <c r="AZ68" s="5" t="b">
        <v>0</v>
      </c>
      <c r="BA68" s="5" t="s">
        <v>190</v>
      </c>
      <c r="BB68" s="5" t="s">
        <v>191</v>
      </c>
      <c r="BC68" s="6"/>
      <c r="BD68" s="5" t="s">
        <v>112</v>
      </c>
      <c r="BE68" s="5" t="s">
        <v>942</v>
      </c>
      <c r="BF68" s="6"/>
      <c r="BG68" s="6"/>
      <c r="BH68" s="6"/>
      <c r="BI68" s="6"/>
      <c r="BJ68" s="6"/>
      <c r="BK68" s="6"/>
      <c r="BL68" s="6"/>
      <c r="BM68" s="6"/>
      <c r="BN68" s="6"/>
      <c r="BO68" s="6"/>
      <c r="BP68" s="6"/>
      <c r="BQ68" s="6"/>
      <c r="BR68" s="5" t="s">
        <v>193</v>
      </c>
      <c r="BS68" s="5" t="s">
        <v>194</v>
      </c>
      <c r="BT68" s="6"/>
      <c r="BU68" s="6"/>
      <c r="BV68" s="5" t="s">
        <v>943</v>
      </c>
      <c r="BW68" s="6"/>
      <c r="BX68" s="6"/>
      <c r="BY68" s="6"/>
      <c r="BZ68" s="6"/>
      <c r="CA68" s="6"/>
      <c r="CB68" s="5" t="s">
        <v>841</v>
      </c>
      <c r="CC68" s="6"/>
      <c r="CD68" s="6"/>
      <c r="CE68" s="5" t="s">
        <v>302</v>
      </c>
      <c r="CF68" s="5" t="s">
        <v>944</v>
      </c>
      <c r="CG68" s="6"/>
      <c r="CH68" s="6"/>
      <c r="CI68" s="6"/>
      <c r="CJ68" s="6"/>
      <c r="CK68" s="6"/>
      <c r="CL68" s="6"/>
      <c r="CM68" s="6"/>
      <c r="CN68" s="6"/>
      <c r="CO68" s="6"/>
      <c r="CP68" s="6"/>
    </row>
    <row r="69">
      <c r="A69" s="4" t="s">
        <v>945</v>
      </c>
      <c r="B69" s="5" t="s">
        <v>946</v>
      </c>
      <c r="C69" s="5" t="s">
        <v>947</v>
      </c>
      <c r="D69" s="5" t="s">
        <v>94</v>
      </c>
      <c r="E69" s="5" t="s">
        <v>95</v>
      </c>
      <c r="F69" s="6"/>
      <c r="G69" s="5" t="s">
        <v>948</v>
      </c>
      <c r="H69" s="5" t="s">
        <v>97</v>
      </c>
      <c r="I69" s="5" t="s">
        <v>928</v>
      </c>
      <c r="J69" s="5"/>
      <c r="K69" s="5"/>
      <c r="L69" s="5"/>
      <c r="M69" s="5" t="s">
        <v>949</v>
      </c>
      <c r="N69" s="5" t="s">
        <v>100</v>
      </c>
      <c r="O69" s="5" t="s">
        <v>100</v>
      </c>
      <c r="P69" s="5" t="s">
        <v>950</v>
      </c>
      <c r="Q69" s="5"/>
      <c r="R69" s="5"/>
      <c r="S69" s="5" t="s">
        <v>100</v>
      </c>
      <c r="T69" s="5" t="s">
        <v>951</v>
      </c>
      <c r="U69" s="5"/>
      <c r="V69" s="5" t="s">
        <v>100</v>
      </c>
      <c r="W69" s="5"/>
      <c r="X69" s="5" t="s">
        <v>952</v>
      </c>
      <c r="Y69" s="5" t="s">
        <v>953</v>
      </c>
      <c r="Z69" s="5" t="s">
        <v>100</v>
      </c>
      <c r="AA69" s="5"/>
      <c r="AB69" s="5" t="s">
        <v>954</v>
      </c>
      <c r="AC69" s="5" t="s">
        <v>955</v>
      </c>
      <c r="AD69" s="5" t="s">
        <v>100</v>
      </c>
      <c r="AE69" s="5" t="s">
        <v>100</v>
      </c>
      <c r="AF69" s="5" t="s">
        <v>956</v>
      </c>
      <c r="AG69" s="5" t="s">
        <v>100</v>
      </c>
      <c r="AH69" s="5" t="s">
        <v>957</v>
      </c>
      <c r="AI69" s="5" t="s">
        <v>958</v>
      </c>
      <c r="AJ69" s="5" t="s">
        <v>959</v>
      </c>
      <c r="AK69" s="5" t="s">
        <v>124</v>
      </c>
      <c r="AL69" s="5" t="s">
        <v>103</v>
      </c>
      <c r="AM69" s="5" t="s">
        <v>105</v>
      </c>
      <c r="AN69" s="5" t="s">
        <v>960</v>
      </c>
      <c r="AO69" s="6"/>
      <c r="AP69" s="6"/>
      <c r="AQ69" s="6"/>
      <c r="AR69" s="6"/>
      <c r="AS69" s="6"/>
      <c r="AT69" s="6"/>
      <c r="AU69" s="5" t="s">
        <v>961</v>
      </c>
      <c r="AV69" s="6"/>
      <c r="AW69" s="6"/>
      <c r="AX69" s="6"/>
      <c r="AY69" s="5" t="s">
        <v>941</v>
      </c>
      <c r="AZ69" s="5" t="b">
        <v>0</v>
      </c>
      <c r="BA69" s="5" t="s">
        <v>190</v>
      </c>
      <c r="BB69" s="5" t="s">
        <v>628</v>
      </c>
      <c r="BC69" s="6"/>
      <c r="BD69" s="5" t="s">
        <v>112</v>
      </c>
      <c r="BE69" s="5" t="s">
        <v>962</v>
      </c>
      <c r="BF69" s="6"/>
      <c r="BG69" s="6"/>
      <c r="BH69" s="6"/>
      <c r="BI69" s="6"/>
      <c r="BJ69" s="6"/>
      <c r="BK69" s="6"/>
      <c r="BL69" s="6"/>
      <c r="BM69" s="6"/>
      <c r="BN69" s="6"/>
      <c r="BO69" s="6"/>
      <c r="BP69" s="6"/>
      <c r="BQ69" s="6"/>
      <c r="BR69" s="5" t="s">
        <v>963</v>
      </c>
      <c r="BS69" s="5" t="s">
        <v>194</v>
      </c>
      <c r="BT69" s="6"/>
      <c r="BU69" s="6"/>
      <c r="BV69" s="5" t="s">
        <v>716</v>
      </c>
      <c r="BW69" s="6"/>
      <c r="BX69" s="6"/>
      <c r="BY69" s="6"/>
      <c r="BZ69" s="6"/>
      <c r="CA69" s="6"/>
      <c r="CB69" s="5" t="s">
        <v>717</v>
      </c>
      <c r="CC69" s="6"/>
      <c r="CD69" s="6"/>
      <c r="CE69" s="5" t="s">
        <v>197</v>
      </c>
      <c r="CF69" s="5" t="s">
        <v>964</v>
      </c>
      <c r="CG69" s="6"/>
      <c r="CH69" s="6"/>
      <c r="CI69" s="6"/>
      <c r="CJ69" s="6"/>
      <c r="CK69" s="6"/>
      <c r="CL69" s="6"/>
      <c r="CM69" s="6"/>
      <c r="CN69" s="6"/>
      <c r="CO69" s="6"/>
      <c r="CP69" s="6"/>
    </row>
    <row r="70">
      <c r="A70" s="4" t="s">
        <v>965</v>
      </c>
      <c r="B70" s="5" t="s">
        <v>966</v>
      </c>
      <c r="C70" s="5" t="s">
        <v>967</v>
      </c>
      <c r="D70" s="5" t="s">
        <v>94</v>
      </c>
      <c r="E70" s="5" t="s">
        <v>95</v>
      </c>
      <c r="F70" s="6"/>
      <c r="G70" s="5" t="s">
        <v>968</v>
      </c>
      <c r="H70" s="5" t="s">
        <v>97</v>
      </c>
      <c r="I70" s="10" t="s">
        <v>653</v>
      </c>
      <c r="J70" s="5"/>
      <c r="K70" s="5"/>
      <c r="L70" s="5"/>
      <c r="M70" s="5" t="s">
        <v>969</v>
      </c>
      <c r="N70" s="5" t="s">
        <v>100</v>
      </c>
      <c r="O70" s="5" t="s">
        <v>970</v>
      </c>
      <c r="P70" s="5" t="s">
        <v>971</v>
      </c>
      <c r="Q70" s="5"/>
      <c r="R70" s="5"/>
      <c r="S70" s="5" t="s">
        <v>100</v>
      </c>
      <c r="T70" s="5" t="s">
        <v>100</v>
      </c>
      <c r="U70" s="5" t="s">
        <v>100</v>
      </c>
      <c r="V70" s="5" t="s">
        <v>100</v>
      </c>
      <c r="W70" s="5" t="s">
        <v>100</v>
      </c>
      <c r="X70" s="5" t="s">
        <v>100</v>
      </c>
      <c r="Y70" s="5" t="s">
        <v>100</v>
      </c>
      <c r="Z70" s="5" t="s">
        <v>100</v>
      </c>
      <c r="AA70" s="5"/>
      <c r="AB70" s="5" t="s">
        <v>100</v>
      </c>
      <c r="AC70" s="5" t="s">
        <v>100</v>
      </c>
      <c r="AD70" s="5" t="s">
        <v>100</v>
      </c>
      <c r="AE70" s="5" t="s">
        <v>100</v>
      </c>
      <c r="AF70" s="5" t="s">
        <v>100</v>
      </c>
      <c r="AG70" s="5" t="s">
        <v>100</v>
      </c>
      <c r="AH70" s="5" t="s">
        <v>100</v>
      </c>
      <c r="AI70" s="5" t="s">
        <v>972</v>
      </c>
      <c r="AJ70" s="5" t="s">
        <v>973</v>
      </c>
      <c r="AK70" s="5" t="s">
        <v>124</v>
      </c>
      <c r="AL70" s="5" t="s">
        <v>124</v>
      </c>
      <c r="AM70" s="5" t="s">
        <v>105</v>
      </c>
      <c r="AN70" s="5" t="s">
        <v>974</v>
      </c>
      <c r="AO70" s="6"/>
      <c r="AP70" s="6"/>
      <c r="AQ70" s="6"/>
      <c r="AR70" s="6"/>
      <c r="AS70" s="6"/>
      <c r="AT70" s="6"/>
      <c r="AU70" s="5" t="s">
        <v>975</v>
      </c>
      <c r="AV70" s="5" t="s">
        <v>108</v>
      </c>
      <c r="AW70" s="6"/>
      <c r="AX70" s="6"/>
      <c r="AY70" s="5" t="s">
        <v>941</v>
      </c>
      <c r="AZ70" s="5" t="b">
        <v>0</v>
      </c>
      <c r="BA70" s="5" t="s">
        <v>110</v>
      </c>
      <c r="BB70" s="5" t="s">
        <v>277</v>
      </c>
      <c r="BC70" s="6"/>
      <c r="BD70" s="5" t="s">
        <v>112</v>
      </c>
      <c r="BE70" s="5" t="s">
        <v>976</v>
      </c>
      <c r="BF70" s="6"/>
      <c r="BG70" s="6"/>
      <c r="BH70" s="6"/>
      <c r="BI70" s="6"/>
      <c r="BJ70" s="6"/>
      <c r="BK70" s="6"/>
      <c r="BL70" s="6"/>
      <c r="BM70" s="6"/>
      <c r="BN70" s="6"/>
      <c r="BO70" s="6"/>
      <c r="BP70" s="6"/>
      <c r="BQ70" s="6"/>
      <c r="BR70" s="6"/>
      <c r="BS70" s="6"/>
      <c r="BT70" s="6"/>
      <c r="BU70" s="6"/>
      <c r="BV70" s="6"/>
      <c r="BW70" s="6"/>
      <c r="BX70" s="6"/>
      <c r="BY70" s="6"/>
      <c r="BZ70" s="6"/>
      <c r="CA70" s="6"/>
      <c r="CB70" s="5" t="s">
        <v>665</v>
      </c>
      <c r="CC70" s="6"/>
      <c r="CD70" s="6"/>
      <c r="CE70" s="5" t="s">
        <v>115</v>
      </c>
      <c r="CF70" s="5" t="s">
        <v>977</v>
      </c>
      <c r="CG70" s="6"/>
      <c r="CH70" s="6"/>
      <c r="CI70" s="6"/>
      <c r="CJ70" s="6"/>
      <c r="CK70" s="6"/>
      <c r="CL70" s="6"/>
      <c r="CM70" s="6"/>
      <c r="CN70" s="6"/>
      <c r="CO70" s="6"/>
      <c r="CP70" s="6"/>
    </row>
    <row r="71">
      <c r="A71" s="4" t="s">
        <v>978</v>
      </c>
      <c r="B71" s="5" t="s">
        <v>979</v>
      </c>
      <c r="C71" s="5" t="s">
        <v>980</v>
      </c>
      <c r="D71" s="5" t="s">
        <v>94</v>
      </c>
      <c r="E71" s="5" t="s">
        <v>95</v>
      </c>
      <c r="F71" s="6"/>
      <c r="G71" s="5" t="s">
        <v>981</v>
      </c>
      <c r="H71" s="5" t="s">
        <v>97</v>
      </c>
      <c r="I71" s="5" t="s">
        <v>98</v>
      </c>
      <c r="J71" s="5"/>
      <c r="K71" s="5"/>
      <c r="L71" s="5"/>
      <c r="M71" s="5" t="s">
        <v>982</v>
      </c>
      <c r="N71" s="5" t="s">
        <v>100</v>
      </c>
      <c r="O71" s="5" t="s">
        <v>100</v>
      </c>
      <c r="P71" s="5" t="s">
        <v>983</v>
      </c>
      <c r="Q71" s="5"/>
      <c r="R71" s="5"/>
      <c r="S71" s="5" t="s">
        <v>100</v>
      </c>
      <c r="T71" s="5" t="s">
        <v>984</v>
      </c>
      <c r="U71" s="5" t="s">
        <v>100</v>
      </c>
      <c r="V71" s="5" t="s">
        <v>100</v>
      </c>
      <c r="W71" s="5" t="s">
        <v>985</v>
      </c>
      <c r="X71" s="5" t="s">
        <v>986</v>
      </c>
      <c r="Y71" s="5" t="s">
        <v>100</v>
      </c>
      <c r="Z71" s="5" t="s">
        <v>100</v>
      </c>
      <c r="AA71" s="5"/>
      <c r="AB71" s="5" t="s">
        <v>100</v>
      </c>
      <c r="AC71" s="5" t="s">
        <v>100</v>
      </c>
      <c r="AD71" s="5" t="s">
        <v>100</v>
      </c>
      <c r="AE71" s="5" t="s">
        <v>987</v>
      </c>
      <c r="AF71" s="5" t="s">
        <v>988</v>
      </c>
      <c r="AG71" s="5" t="s">
        <v>100</v>
      </c>
      <c r="AH71" s="5" t="s">
        <v>989</v>
      </c>
      <c r="AI71" s="5" t="s">
        <v>990</v>
      </c>
      <c r="AJ71" s="5" t="s">
        <v>991</v>
      </c>
      <c r="AK71" s="5" t="s">
        <v>124</v>
      </c>
      <c r="AL71" s="5" t="s">
        <v>124</v>
      </c>
      <c r="AM71" s="5" t="s">
        <v>105</v>
      </c>
      <c r="AN71" s="5" t="s">
        <v>992</v>
      </c>
      <c r="AO71" s="6"/>
      <c r="AP71" s="6"/>
      <c r="AQ71" s="6"/>
      <c r="AR71" s="6"/>
      <c r="AS71" s="6"/>
      <c r="AT71" s="6"/>
      <c r="AU71" s="5" t="s">
        <v>993</v>
      </c>
      <c r="AV71" s="6"/>
      <c r="AW71" s="6"/>
      <c r="AX71" s="6"/>
      <c r="AY71" s="5" t="s">
        <v>994</v>
      </c>
      <c r="AZ71" s="5" t="b">
        <v>0</v>
      </c>
      <c r="BA71" s="5" t="s">
        <v>190</v>
      </c>
      <c r="BB71" s="5" t="s">
        <v>628</v>
      </c>
      <c r="BC71" s="5" t="s">
        <v>629</v>
      </c>
      <c r="BD71" s="5" t="s">
        <v>481</v>
      </c>
      <c r="BE71" s="5" t="s">
        <v>995</v>
      </c>
      <c r="BF71" s="6"/>
      <c r="BG71" s="6"/>
      <c r="BH71" s="6"/>
      <c r="BI71" s="6"/>
      <c r="BJ71" s="6"/>
      <c r="BK71" s="5" t="s">
        <v>996</v>
      </c>
      <c r="BL71" s="6"/>
      <c r="BM71" s="6"/>
      <c r="BN71" s="6"/>
      <c r="BO71" s="6"/>
      <c r="BP71" s="6"/>
      <c r="BQ71" s="6"/>
      <c r="BR71" s="5" t="s">
        <v>193</v>
      </c>
      <c r="BS71" s="5" t="s">
        <v>194</v>
      </c>
      <c r="BT71" s="6"/>
      <c r="BU71" s="6"/>
      <c r="BV71" s="5" t="s">
        <v>997</v>
      </c>
      <c r="BW71" s="6"/>
      <c r="BX71" s="6"/>
      <c r="BY71" s="6"/>
      <c r="BZ71" s="6"/>
      <c r="CA71" s="6"/>
      <c r="CB71" s="5" t="s">
        <v>737</v>
      </c>
      <c r="CC71" s="6"/>
      <c r="CD71" s="6"/>
      <c r="CE71" s="5" t="s">
        <v>115</v>
      </c>
      <c r="CF71" s="5" t="s">
        <v>998</v>
      </c>
      <c r="CG71" s="6"/>
      <c r="CH71" s="6"/>
      <c r="CI71" s="6"/>
      <c r="CJ71" s="6"/>
      <c r="CK71" s="6"/>
      <c r="CL71" s="6"/>
      <c r="CM71" s="6"/>
      <c r="CN71" s="6"/>
      <c r="CO71" s="6"/>
      <c r="CP71" s="6"/>
    </row>
    <row r="72">
      <c r="A72" s="4" t="s">
        <v>999</v>
      </c>
      <c r="B72" s="5" t="s">
        <v>1000</v>
      </c>
      <c r="C72" s="5" t="s">
        <v>1001</v>
      </c>
      <c r="D72" s="5" t="s">
        <v>94</v>
      </c>
      <c r="E72" s="5" t="s">
        <v>95</v>
      </c>
      <c r="F72" s="6"/>
      <c r="G72" s="5" t="s">
        <v>1002</v>
      </c>
      <c r="H72" s="5" t="s">
        <v>97</v>
      </c>
      <c r="I72" s="10" t="s">
        <v>653</v>
      </c>
      <c r="J72" s="5"/>
      <c r="K72" s="5"/>
      <c r="L72" s="5"/>
      <c r="M72" s="5" t="s">
        <v>1003</v>
      </c>
      <c r="N72" s="5" t="s">
        <v>100</v>
      </c>
      <c r="O72" s="5" t="s">
        <v>1004</v>
      </c>
      <c r="P72" s="5" t="s">
        <v>1005</v>
      </c>
      <c r="Q72" s="5" t="s">
        <v>1006</v>
      </c>
      <c r="R72" s="5"/>
      <c r="S72" s="5" t="s">
        <v>100</v>
      </c>
      <c r="T72" s="5" t="s">
        <v>100</v>
      </c>
      <c r="U72" s="5" t="s">
        <v>100</v>
      </c>
      <c r="V72" s="5" t="s">
        <v>100</v>
      </c>
      <c r="W72" s="5" t="s">
        <v>100</v>
      </c>
      <c r="X72" s="5" t="s">
        <v>633</v>
      </c>
      <c r="Y72" s="5" t="s">
        <v>100</v>
      </c>
      <c r="Z72" s="5" t="s">
        <v>100</v>
      </c>
      <c r="AA72" s="5"/>
      <c r="AB72" s="5" t="s">
        <v>100</v>
      </c>
      <c r="AC72" s="5" t="s">
        <v>100</v>
      </c>
      <c r="AD72" s="5" t="s">
        <v>100</v>
      </c>
      <c r="AE72" s="5" t="s">
        <v>100</v>
      </c>
      <c r="AF72" s="5" t="s">
        <v>100</v>
      </c>
      <c r="AG72" s="5" t="s">
        <v>100</v>
      </c>
      <c r="AH72" s="5" t="s">
        <v>100</v>
      </c>
      <c r="AI72" s="10" t="s">
        <v>1007</v>
      </c>
      <c r="AJ72" s="5" t="s">
        <v>1008</v>
      </c>
      <c r="AK72" s="5" t="s">
        <v>124</v>
      </c>
      <c r="AL72" s="5" t="s">
        <v>124</v>
      </c>
      <c r="AM72" s="5" t="s">
        <v>105</v>
      </c>
      <c r="AN72" s="5" t="s">
        <v>1009</v>
      </c>
      <c r="AO72" s="6"/>
      <c r="AP72" s="6"/>
      <c r="AQ72" s="6"/>
      <c r="AR72" s="6"/>
      <c r="AS72" s="6"/>
      <c r="AT72" s="6"/>
      <c r="AU72" s="5" t="s">
        <v>1010</v>
      </c>
      <c r="AV72" s="5" t="s">
        <v>108</v>
      </c>
      <c r="AW72" s="6"/>
      <c r="AX72" s="6"/>
      <c r="AY72" s="5" t="s">
        <v>1011</v>
      </c>
      <c r="AZ72" s="5" t="b">
        <v>0</v>
      </c>
      <c r="BA72" s="5" t="s">
        <v>110</v>
      </c>
      <c r="BB72" s="5" t="s">
        <v>277</v>
      </c>
      <c r="BC72" s="6"/>
      <c r="BD72" s="5" t="s">
        <v>112</v>
      </c>
      <c r="BE72" s="5" t="s">
        <v>1012</v>
      </c>
      <c r="BF72" s="6"/>
      <c r="BG72" s="6"/>
      <c r="BH72" s="6"/>
      <c r="BI72" s="6"/>
      <c r="BJ72" s="6"/>
      <c r="BK72" s="6"/>
      <c r="BL72" s="6"/>
      <c r="BM72" s="6"/>
      <c r="BN72" s="6"/>
      <c r="BO72" s="6"/>
      <c r="BP72" s="6"/>
      <c r="BQ72" s="6"/>
      <c r="BR72" s="6"/>
      <c r="BS72" s="6"/>
      <c r="BT72" s="6"/>
      <c r="BU72" s="6"/>
      <c r="BV72" s="6"/>
      <c r="BW72" s="6"/>
      <c r="BX72" s="6"/>
      <c r="BY72" s="6"/>
      <c r="BZ72" s="6"/>
      <c r="CA72" s="6"/>
      <c r="CB72" s="5" t="s">
        <v>665</v>
      </c>
      <c r="CC72" s="6"/>
      <c r="CD72" s="6"/>
      <c r="CE72" s="5" t="s">
        <v>115</v>
      </c>
      <c r="CF72" s="5" t="s">
        <v>1013</v>
      </c>
      <c r="CG72" s="6"/>
      <c r="CH72" s="6"/>
      <c r="CI72" s="6"/>
      <c r="CJ72" s="6"/>
      <c r="CK72" s="6"/>
      <c r="CL72" s="6"/>
      <c r="CM72" s="6"/>
      <c r="CN72" s="6"/>
      <c r="CO72" s="6"/>
      <c r="CP72" s="6"/>
    </row>
    <row r="73">
      <c r="A73" s="4" t="s">
        <v>1014</v>
      </c>
      <c r="B73" s="5" t="s">
        <v>1015</v>
      </c>
      <c r="C73" s="5" t="s">
        <v>1016</v>
      </c>
      <c r="D73" s="5" t="s">
        <v>94</v>
      </c>
      <c r="E73" s="5" t="s">
        <v>95</v>
      </c>
      <c r="F73" s="6"/>
      <c r="G73" s="5" t="s">
        <v>1017</v>
      </c>
      <c r="H73" s="5" t="s">
        <v>97</v>
      </c>
      <c r="I73" s="5" t="s">
        <v>98</v>
      </c>
      <c r="J73" s="5" t="s">
        <v>1018</v>
      </c>
      <c r="K73" s="5"/>
      <c r="L73" s="5" t="s">
        <v>1019</v>
      </c>
      <c r="M73" s="5"/>
      <c r="N73" s="5"/>
      <c r="O73" s="5"/>
      <c r="P73" s="5"/>
      <c r="Q73" s="5" t="s">
        <v>1020</v>
      </c>
      <c r="R73" s="5"/>
      <c r="S73" s="5"/>
      <c r="T73" s="5"/>
      <c r="U73" s="5"/>
      <c r="V73" s="5"/>
      <c r="W73" s="5"/>
      <c r="X73" s="5"/>
      <c r="Y73" s="5"/>
      <c r="Z73" s="5"/>
      <c r="AA73" s="5" t="s">
        <v>1021</v>
      </c>
      <c r="AB73" s="5"/>
      <c r="AC73" s="5"/>
      <c r="AD73" s="5"/>
      <c r="AE73" s="5"/>
      <c r="AF73" s="5"/>
      <c r="AG73" s="5"/>
      <c r="AH73" s="5"/>
      <c r="AI73" s="5" t="s">
        <v>1022</v>
      </c>
      <c r="AJ73" s="5" t="str">
        <f>CONCATENATE(J73,K73,L73,Q73,R73,X73,Y73,AA73,AG73)</f>
        <v>224, 225, 226, 227, 229, 233, 234, 236, 238, 239, 241, 20, 75, 113, 141, 60, 115, 162, 176, 177, 187, 189, 150, 113, 141, 60, 115, 162, 176, 177, 187, 189, 150, 230, 232, 243, 244, </v>
      </c>
      <c r="AK73" s="5" t="s">
        <v>103</v>
      </c>
      <c r="AL73" s="5" t="s">
        <v>675</v>
      </c>
      <c r="AM73" s="5" t="s">
        <v>105</v>
      </c>
      <c r="AN73" s="5" t="s">
        <v>1023</v>
      </c>
      <c r="AO73" s="6"/>
      <c r="AP73" s="6"/>
      <c r="AQ73" s="6"/>
      <c r="AR73" s="6"/>
      <c r="AS73" s="6"/>
      <c r="AT73" s="6"/>
      <c r="AU73" s="5" t="s">
        <v>1024</v>
      </c>
      <c r="AV73" s="6"/>
      <c r="AW73" s="6"/>
      <c r="AX73" s="6"/>
      <c r="AY73" s="5" t="s">
        <v>1011</v>
      </c>
      <c r="AZ73" s="5" t="b">
        <v>0</v>
      </c>
      <c r="BA73" s="5" t="s">
        <v>190</v>
      </c>
      <c r="BB73" s="5" t="s">
        <v>605</v>
      </c>
      <c r="BC73" s="5" t="s">
        <v>629</v>
      </c>
      <c r="BD73" s="5" t="s">
        <v>630</v>
      </c>
      <c r="BE73" s="5" t="s">
        <v>1025</v>
      </c>
      <c r="BF73" s="6"/>
      <c r="BG73" s="6"/>
      <c r="BH73" s="6"/>
      <c r="BI73" s="6"/>
      <c r="BJ73" s="6"/>
      <c r="BK73" s="5" t="s">
        <v>1026</v>
      </c>
      <c r="BL73" s="6"/>
      <c r="BM73" s="6"/>
      <c r="BN73" s="6"/>
      <c r="BO73" s="6"/>
      <c r="BP73" s="6"/>
      <c r="BQ73" s="6"/>
      <c r="BR73" s="5" t="s">
        <v>193</v>
      </c>
      <c r="BS73" s="6"/>
      <c r="BT73" s="6"/>
      <c r="BU73" s="6"/>
      <c r="BV73" s="6"/>
      <c r="BW73" s="6"/>
      <c r="BX73" s="6"/>
      <c r="BY73" s="6"/>
      <c r="BZ73" s="6"/>
      <c r="CA73" s="6"/>
      <c r="CB73" s="5" t="s">
        <v>1027</v>
      </c>
      <c r="CC73" s="6"/>
      <c r="CD73" s="6"/>
      <c r="CE73" s="5" t="s">
        <v>302</v>
      </c>
      <c r="CF73" s="5" t="s">
        <v>1028</v>
      </c>
      <c r="CG73" s="6"/>
      <c r="CH73" s="6"/>
      <c r="CI73" s="6"/>
      <c r="CJ73" s="6"/>
      <c r="CK73" s="6"/>
      <c r="CL73" s="6"/>
      <c r="CM73" s="6"/>
      <c r="CN73" s="6"/>
      <c r="CO73" s="6"/>
      <c r="CP73" s="6"/>
    </row>
    <row r="74">
      <c r="A74" s="4" t="s">
        <v>1029</v>
      </c>
      <c r="B74" s="5" t="s">
        <v>1030</v>
      </c>
      <c r="C74" s="5" t="s">
        <v>1031</v>
      </c>
      <c r="D74" s="5" t="s">
        <v>94</v>
      </c>
      <c r="E74" s="5" t="s">
        <v>95</v>
      </c>
      <c r="F74" s="6"/>
      <c r="G74" s="5" t="s">
        <v>1032</v>
      </c>
      <c r="H74" s="5" t="s">
        <v>97</v>
      </c>
      <c r="I74" s="10" t="s">
        <v>653</v>
      </c>
      <c r="J74" s="5"/>
      <c r="K74" s="5"/>
      <c r="L74" s="5"/>
      <c r="M74" s="5" t="s">
        <v>1033</v>
      </c>
      <c r="N74" s="5" t="s">
        <v>100</v>
      </c>
      <c r="O74" s="5" t="s">
        <v>1034</v>
      </c>
      <c r="P74" s="5" t="s">
        <v>1035</v>
      </c>
      <c r="Q74" s="5" t="s">
        <v>1036</v>
      </c>
      <c r="R74" s="5"/>
      <c r="S74" s="5" t="s">
        <v>100</v>
      </c>
      <c r="T74" s="5" t="s">
        <v>100</v>
      </c>
      <c r="U74" s="5" t="s">
        <v>100</v>
      </c>
      <c r="V74" s="5" t="s">
        <v>100</v>
      </c>
      <c r="W74" s="5" t="s">
        <v>100</v>
      </c>
      <c r="X74" s="5" t="s">
        <v>100</v>
      </c>
      <c r="Y74" s="5" t="s">
        <v>100</v>
      </c>
      <c r="Z74" s="5" t="s">
        <v>100</v>
      </c>
      <c r="AA74" s="5"/>
      <c r="AB74" s="5" t="s">
        <v>100</v>
      </c>
      <c r="AC74" s="5" t="s">
        <v>100</v>
      </c>
      <c r="AD74" s="5" t="s">
        <v>100</v>
      </c>
      <c r="AE74" s="5" t="s">
        <v>100</v>
      </c>
      <c r="AF74" s="5" t="s">
        <v>100</v>
      </c>
      <c r="AG74" s="5" t="s">
        <v>100</v>
      </c>
      <c r="AH74" s="5" t="s">
        <v>100</v>
      </c>
      <c r="AI74" s="10" t="s">
        <v>1037</v>
      </c>
      <c r="AJ74" s="5" t="s">
        <v>1038</v>
      </c>
      <c r="AK74" s="5" t="s">
        <v>124</v>
      </c>
      <c r="AL74" s="5" t="s">
        <v>124</v>
      </c>
      <c r="AM74" s="5" t="s">
        <v>105</v>
      </c>
      <c r="AN74" s="5" t="s">
        <v>1039</v>
      </c>
      <c r="AO74" s="6"/>
      <c r="AP74" s="6"/>
      <c r="AQ74" s="6"/>
      <c r="AR74" s="6"/>
      <c r="AS74" s="6"/>
      <c r="AT74" s="6"/>
      <c r="AU74" s="5" t="s">
        <v>1040</v>
      </c>
      <c r="AV74" s="5" t="s">
        <v>108</v>
      </c>
      <c r="AW74" s="6"/>
      <c r="AX74" s="6"/>
      <c r="AY74" s="5" t="s">
        <v>1041</v>
      </c>
      <c r="AZ74" s="5" t="b">
        <v>0</v>
      </c>
      <c r="BA74" s="5" t="s">
        <v>110</v>
      </c>
      <c r="BB74" s="5" t="s">
        <v>277</v>
      </c>
      <c r="BC74" s="6"/>
      <c r="BD74" s="5" t="s">
        <v>112</v>
      </c>
      <c r="BE74" s="5" t="s">
        <v>1042</v>
      </c>
      <c r="BF74" s="6"/>
      <c r="BG74" s="6"/>
      <c r="BH74" s="6"/>
      <c r="BI74" s="6"/>
      <c r="BJ74" s="6"/>
      <c r="BK74" s="6"/>
      <c r="BL74" s="6"/>
      <c r="BM74" s="6"/>
      <c r="BN74" s="6"/>
      <c r="BO74" s="6"/>
      <c r="BP74" s="6"/>
      <c r="BQ74" s="6"/>
      <c r="BR74" s="6"/>
      <c r="BS74" s="6"/>
      <c r="BT74" s="6"/>
      <c r="BU74" s="6"/>
      <c r="BV74" s="6"/>
      <c r="BW74" s="6"/>
      <c r="BX74" s="6"/>
      <c r="BY74" s="6"/>
      <c r="BZ74" s="6"/>
      <c r="CA74" s="6"/>
      <c r="CB74" s="5" t="s">
        <v>665</v>
      </c>
      <c r="CC74" s="6"/>
      <c r="CD74" s="6"/>
      <c r="CE74" s="5" t="s">
        <v>115</v>
      </c>
      <c r="CF74" s="5" t="s">
        <v>1043</v>
      </c>
      <c r="CG74" s="6"/>
      <c r="CH74" s="6"/>
      <c r="CI74" s="6"/>
      <c r="CJ74" s="6"/>
      <c r="CK74" s="6"/>
      <c r="CL74" s="6"/>
      <c r="CM74" s="6"/>
      <c r="CN74" s="6"/>
      <c r="CO74" s="6"/>
      <c r="CP74" s="6"/>
    </row>
    <row r="75">
      <c r="A75" s="4" t="s">
        <v>1044</v>
      </c>
      <c r="B75" s="5" t="s">
        <v>1045</v>
      </c>
      <c r="C75" s="5" t="s">
        <v>1046</v>
      </c>
      <c r="D75" s="5" t="s">
        <v>94</v>
      </c>
      <c r="E75" s="5" t="s">
        <v>95</v>
      </c>
      <c r="F75" s="6"/>
      <c r="G75" s="5" t="s">
        <v>1047</v>
      </c>
      <c r="H75" s="5" t="s">
        <v>97</v>
      </c>
      <c r="I75" s="10" t="s">
        <v>653</v>
      </c>
      <c r="J75" s="5"/>
      <c r="K75" s="5"/>
      <c r="L75" s="5"/>
      <c r="M75" s="5" t="s">
        <v>1048</v>
      </c>
      <c r="N75" s="5" t="s">
        <v>100</v>
      </c>
      <c r="O75" s="5" t="s">
        <v>1049</v>
      </c>
      <c r="P75" s="5" t="s">
        <v>1050</v>
      </c>
      <c r="Q75" s="5" t="s">
        <v>1051</v>
      </c>
      <c r="R75" s="5"/>
      <c r="S75" s="5" t="s">
        <v>100</v>
      </c>
      <c r="T75" s="5" t="s">
        <v>100</v>
      </c>
      <c r="U75" s="5" t="s">
        <v>100</v>
      </c>
      <c r="V75" s="5" t="s">
        <v>100</v>
      </c>
      <c r="W75" s="5" t="s">
        <v>100</v>
      </c>
      <c r="X75" s="5" t="s">
        <v>330</v>
      </c>
      <c r="Y75" s="5" t="s">
        <v>100</v>
      </c>
      <c r="Z75" s="5" t="s">
        <v>100</v>
      </c>
      <c r="AA75" s="5"/>
      <c r="AB75" s="5" t="s">
        <v>100</v>
      </c>
      <c r="AC75" s="5" t="s">
        <v>100</v>
      </c>
      <c r="AD75" s="5" t="s">
        <v>100</v>
      </c>
      <c r="AE75" s="5" t="s">
        <v>100</v>
      </c>
      <c r="AF75" s="5" t="s">
        <v>100</v>
      </c>
      <c r="AG75" s="5" t="s">
        <v>100</v>
      </c>
      <c r="AH75" s="5" t="s">
        <v>100</v>
      </c>
      <c r="AI75" s="5" t="s">
        <v>1052</v>
      </c>
      <c r="AJ75" s="5" t="s">
        <v>1053</v>
      </c>
      <c r="AK75" s="5" t="s">
        <v>124</v>
      </c>
      <c r="AL75" s="5" t="s">
        <v>124</v>
      </c>
      <c r="AM75" s="5" t="s">
        <v>105</v>
      </c>
      <c r="AN75" s="5" t="s">
        <v>1054</v>
      </c>
      <c r="AO75" s="6"/>
      <c r="AP75" s="6"/>
      <c r="AQ75" s="6"/>
      <c r="AR75" s="6"/>
      <c r="AS75" s="6"/>
      <c r="AT75" s="6"/>
      <c r="AU75" s="5" t="s">
        <v>1055</v>
      </c>
      <c r="AV75" s="5" t="s">
        <v>108</v>
      </c>
      <c r="AW75" s="6"/>
      <c r="AX75" s="6"/>
      <c r="AY75" s="5" t="s">
        <v>1056</v>
      </c>
      <c r="AZ75" s="5" t="b">
        <v>0</v>
      </c>
      <c r="BA75" s="5" t="s">
        <v>110</v>
      </c>
      <c r="BB75" s="5" t="s">
        <v>277</v>
      </c>
      <c r="BC75" s="6"/>
      <c r="BD75" s="6"/>
      <c r="BE75" s="5" t="s">
        <v>1057</v>
      </c>
      <c r="BF75" s="6"/>
      <c r="BG75" s="6"/>
      <c r="BH75" s="6"/>
      <c r="BI75" s="6"/>
      <c r="BJ75" s="6"/>
      <c r="BK75" s="6"/>
      <c r="BL75" s="6"/>
      <c r="BM75" s="6"/>
      <c r="BN75" s="6"/>
      <c r="BO75" s="6"/>
      <c r="BP75" s="6"/>
      <c r="BQ75" s="6"/>
      <c r="BR75" s="6"/>
      <c r="BS75" s="6"/>
      <c r="BT75" s="6"/>
      <c r="BU75" s="6"/>
      <c r="BV75" s="6"/>
      <c r="BW75" s="6"/>
      <c r="BX75" s="6"/>
      <c r="BY75" s="6"/>
      <c r="BZ75" s="6"/>
      <c r="CA75" s="6"/>
      <c r="CB75" s="5" t="s">
        <v>665</v>
      </c>
      <c r="CC75" s="6"/>
      <c r="CD75" s="6"/>
      <c r="CE75" s="5" t="s">
        <v>115</v>
      </c>
      <c r="CF75" s="5" t="s">
        <v>1058</v>
      </c>
      <c r="CG75" s="6"/>
      <c r="CH75" s="6"/>
      <c r="CI75" s="6"/>
      <c r="CJ75" s="6"/>
      <c r="CK75" s="6"/>
      <c r="CL75" s="6"/>
      <c r="CM75" s="6"/>
      <c r="CN75" s="6"/>
      <c r="CO75" s="6"/>
      <c r="CP75" s="6"/>
    </row>
    <row r="76">
      <c r="A76" s="7" t="s">
        <v>1059</v>
      </c>
      <c r="B76" s="8" t="s">
        <v>1060</v>
      </c>
      <c r="C76" s="8" t="s">
        <v>1061</v>
      </c>
      <c r="D76" s="8" t="s">
        <v>94</v>
      </c>
      <c r="E76" s="8" t="s">
        <v>95</v>
      </c>
      <c r="F76" s="9"/>
      <c r="G76" s="8" t="s">
        <v>1062</v>
      </c>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t="str">
        <f>CONCATENATE(J76,K76,L76,Q76,R76,X76,Y76,AA76,AG76)</f>
        <v/>
      </c>
      <c r="AK76" s="8"/>
      <c r="AL76" s="8"/>
      <c r="AM76" s="8" t="s">
        <v>105</v>
      </c>
      <c r="AN76" s="8" t="s">
        <v>1063</v>
      </c>
      <c r="AO76" s="9"/>
      <c r="AP76" s="9"/>
      <c r="AQ76" s="9"/>
      <c r="AR76" s="9"/>
      <c r="AS76" s="9"/>
      <c r="AT76" s="9"/>
      <c r="AU76" s="8" t="s">
        <v>1064</v>
      </c>
      <c r="AV76" s="9"/>
      <c r="AW76" s="9"/>
      <c r="AX76" s="9"/>
      <c r="AY76" s="8" t="s">
        <v>1056</v>
      </c>
      <c r="AZ76" s="8" t="b">
        <v>0</v>
      </c>
      <c r="BA76" s="8" t="s">
        <v>190</v>
      </c>
      <c r="BB76" s="8" t="s">
        <v>628</v>
      </c>
      <c r="BC76" s="9"/>
      <c r="BD76" s="9"/>
      <c r="BE76" s="8" t="s">
        <v>1065</v>
      </c>
      <c r="BF76" s="9"/>
      <c r="BG76" s="9"/>
      <c r="BH76" s="9"/>
      <c r="BI76" s="9"/>
      <c r="BJ76" s="9"/>
      <c r="BK76" s="9"/>
      <c r="BL76" s="9"/>
      <c r="BM76" s="9"/>
      <c r="BN76" s="9"/>
      <c r="BO76" s="9"/>
      <c r="BP76" s="9"/>
      <c r="BQ76" s="9"/>
      <c r="BR76" s="8" t="s">
        <v>193</v>
      </c>
      <c r="BS76" s="8" t="s">
        <v>194</v>
      </c>
      <c r="BT76" s="9"/>
      <c r="BU76" s="9"/>
      <c r="BV76" s="9"/>
      <c r="BW76" s="9"/>
      <c r="BX76" s="9"/>
      <c r="BY76" s="9"/>
      <c r="BZ76" s="9"/>
      <c r="CA76" s="9"/>
      <c r="CB76" s="8" t="s">
        <v>665</v>
      </c>
      <c r="CC76" s="9"/>
      <c r="CD76" s="9"/>
      <c r="CE76" s="8" t="s">
        <v>115</v>
      </c>
      <c r="CF76" s="8" t="s">
        <v>1066</v>
      </c>
      <c r="CG76" s="9"/>
      <c r="CH76" s="9"/>
      <c r="CI76" s="9"/>
      <c r="CJ76" s="9"/>
      <c r="CK76" s="9"/>
      <c r="CL76" s="9"/>
      <c r="CM76" s="9"/>
      <c r="CN76" s="9"/>
      <c r="CO76" s="9"/>
      <c r="CP76" s="9"/>
    </row>
    <row r="77">
      <c r="A77" s="4" t="s">
        <v>1067</v>
      </c>
      <c r="B77" s="5" t="s">
        <v>1068</v>
      </c>
      <c r="C77" s="5" t="s">
        <v>1069</v>
      </c>
      <c r="D77" s="5" t="s">
        <v>94</v>
      </c>
      <c r="E77" s="5" t="s">
        <v>95</v>
      </c>
      <c r="F77" s="6"/>
      <c r="G77" s="5" t="s">
        <v>1070</v>
      </c>
      <c r="H77" s="5" t="s">
        <v>97</v>
      </c>
      <c r="I77" s="5" t="s">
        <v>653</v>
      </c>
      <c r="J77" s="5"/>
      <c r="K77" s="5"/>
      <c r="L77" s="5"/>
      <c r="M77" s="5" t="s">
        <v>1071</v>
      </c>
      <c r="N77" s="5" t="s">
        <v>100</v>
      </c>
      <c r="O77" s="5" t="s">
        <v>1072</v>
      </c>
      <c r="P77" s="5" t="s">
        <v>1073</v>
      </c>
      <c r="Q77" s="5" t="s">
        <v>1074</v>
      </c>
      <c r="R77" s="5"/>
      <c r="S77" s="5" t="s">
        <v>100</v>
      </c>
      <c r="T77" s="5" t="s">
        <v>100</v>
      </c>
      <c r="U77" s="5" t="s">
        <v>100</v>
      </c>
      <c r="V77" s="5" t="s">
        <v>100</v>
      </c>
      <c r="W77" s="5" t="s">
        <v>100</v>
      </c>
      <c r="X77" s="5" t="s">
        <v>100</v>
      </c>
      <c r="Y77" s="5" t="s">
        <v>100</v>
      </c>
      <c r="Z77" s="5" t="s">
        <v>633</v>
      </c>
      <c r="AA77" s="5"/>
      <c r="AB77" s="5" t="s">
        <v>100</v>
      </c>
      <c r="AC77" s="5" t="s">
        <v>100</v>
      </c>
      <c r="AD77" s="5" t="s">
        <v>100</v>
      </c>
      <c r="AE77" s="5" t="s">
        <v>100</v>
      </c>
      <c r="AF77" s="5" t="s">
        <v>100</v>
      </c>
      <c r="AG77" s="5" t="s">
        <v>100</v>
      </c>
      <c r="AH77" s="5" t="s">
        <v>100</v>
      </c>
      <c r="AI77" s="5" t="s">
        <v>1075</v>
      </c>
      <c r="AJ77" s="5" t="s">
        <v>1076</v>
      </c>
      <c r="AK77" s="5" t="s">
        <v>124</v>
      </c>
      <c r="AL77" s="5" t="s">
        <v>124</v>
      </c>
      <c r="AM77" s="5" t="s">
        <v>105</v>
      </c>
      <c r="AN77" s="5" t="s">
        <v>1077</v>
      </c>
      <c r="AO77" s="6"/>
      <c r="AP77" s="6"/>
      <c r="AQ77" s="6"/>
      <c r="AR77" s="6"/>
      <c r="AS77" s="6"/>
      <c r="AT77" s="6"/>
      <c r="AU77" s="5" t="s">
        <v>1078</v>
      </c>
      <c r="AV77" s="5" t="s">
        <v>108</v>
      </c>
      <c r="AW77" s="6"/>
      <c r="AX77" s="6"/>
      <c r="AY77" s="5" t="s">
        <v>1079</v>
      </c>
      <c r="AZ77" s="5" t="b">
        <v>0</v>
      </c>
      <c r="BA77" s="5" t="s">
        <v>110</v>
      </c>
      <c r="BB77" s="5" t="s">
        <v>277</v>
      </c>
      <c r="BC77" s="6"/>
      <c r="BD77" s="6"/>
      <c r="BE77" s="5" t="s">
        <v>1080</v>
      </c>
      <c r="BF77" s="6"/>
      <c r="BG77" s="6"/>
      <c r="BH77" s="6"/>
      <c r="BI77" s="6"/>
      <c r="BJ77" s="6"/>
      <c r="BK77" s="6"/>
      <c r="BL77" s="6"/>
      <c r="BM77" s="6"/>
      <c r="BN77" s="6"/>
      <c r="BO77" s="6"/>
      <c r="BP77" s="6"/>
      <c r="BQ77" s="6"/>
      <c r="BR77" s="6"/>
      <c r="BS77" s="6"/>
      <c r="BT77" s="6"/>
      <c r="BU77" s="6"/>
      <c r="BV77" s="6"/>
      <c r="BW77" s="6"/>
      <c r="BX77" s="6"/>
      <c r="BY77" s="6"/>
      <c r="BZ77" s="6"/>
      <c r="CA77" s="6"/>
      <c r="CB77" s="5" t="s">
        <v>665</v>
      </c>
      <c r="CC77" s="6"/>
      <c r="CD77" s="6"/>
      <c r="CE77" s="5" t="s">
        <v>115</v>
      </c>
      <c r="CF77" s="5" t="s">
        <v>1081</v>
      </c>
      <c r="CG77" s="6"/>
      <c r="CH77" s="6"/>
      <c r="CI77" s="6"/>
      <c r="CJ77" s="6"/>
      <c r="CK77" s="6"/>
      <c r="CL77" s="6"/>
      <c r="CM77" s="6"/>
      <c r="CN77" s="6"/>
      <c r="CO77" s="6"/>
      <c r="CP77" s="6"/>
    </row>
    <row r="78">
      <c r="A78" s="4" t="s">
        <v>1082</v>
      </c>
      <c r="B78" s="5" t="s">
        <v>1083</v>
      </c>
      <c r="C78" s="5" t="s">
        <v>1084</v>
      </c>
      <c r="D78" s="5" t="s">
        <v>94</v>
      </c>
      <c r="E78" s="5" t="s">
        <v>95</v>
      </c>
      <c r="F78" s="6"/>
      <c r="G78" s="5" t="s">
        <v>1085</v>
      </c>
      <c r="H78" s="5" t="s">
        <v>97</v>
      </c>
      <c r="I78" s="5" t="s">
        <v>98</v>
      </c>
      <c r="J78" s="5" t="s">
        <v>1086</v>
      </c>
      <c r="K78" s="5"/>
      <c r="L78" s="5"/>
      <c r="M78" s="5"/>
      <c r="N78" s="5"/>
      <c r="O78" s="5"/>
      <c r="P78" s="5"/>
      <c r="Q78" s="5"/>
      <c r="R78" s="5"/>
      <c r="S78" s="5"/>
      <c r="T78" s="5"/>
      <c r="U78" s="5"/>
      <c r="V78" s="5"/>
      <c r="W78" s="5"/>
      <c r="X78" s="5"/>
      <c r="Y78" s="5"/>
      <c r="Z78" s="5"/>
      <c r="AA78" s="5"/>
      <c r="AB78" s="5"/>
      <c r="AC78" s="5"/>
      <c r="AD78" s="5"/>
      <c r="AE78" s="5"/>
      <c r="AF78" s="5"/>
      <c r="AG78" s="5"/>
      <c r="AH78" s="5"/>
      <c r="AI78" s="5"/>
      <c r="AJ78" s="10" t="s">
        <v>1086</v>
      </c>
      <c r="AK78" s="5" t="s">
        <v>103</v>
      </c>
      <c r="AL78" s="5" t="s">
        <v>124</v>
      </c>
      <c r="AM78" s="5" t="s">
        <v>105</v>
      </c>
      <c r="AN78" s="5" t="s">
        <v>1087</v>
      </c>
      <c r="AO78" s="6"/>
      <c r="AP78" s="5" t="s">
        <v>734</v>
      </c>
      <c r="AQ78" s="6"/>
      <c r="AR78" s="6"/>
      <c r="AS78" s="6"/>
      <c r="AT78" s="6"/>
      <c r="AU78" s="5" t="s">
        <v>1088</v>
      </c>
      <c r="AV78" s="6"/>
      <c r="AW78" s="6"/>
      <c r="AX78" s="6"/>
      <c r="AY78" s="5" t="s">
        <v>1079</v>
      </c>
      <c r="AZ78" s="5" t="b">
        <v>0</v>
      </c>
      <c r="BA78" s="5" t="s">
        <v>190</v>
      </c>
      <c r="BB78" s="5" t="s">
        <v>191</v>
      </c>
      <c r="BC78" s="6"/>
      <c r="BD78" s="5" t="s">
        <v>112</v>
      </c>
      <c r="BE78" s="5" t="s">
        <v>1089</v>
      </c>
      <c r="BF78" s="5" t="s">
        <v>94</v>
      </c>
      <c r="BG78" s="5" t="s">
        <v>95</v>
      </c>
      <c r="BH78" s="5" t="s">
        <v>1090</v>
      </c>
      <c r="BI78" s="6"/>
      <c r="BJ78" s="6"/>
      <c r="BK78" s="6"/>
      <c r="BL78" s="6"/>
      <c r="BM78" s="6"/>
      <c r="BN78" s="6"/>
      <c r="BO78" s="6"/>
      <c r="BP78" s="6"/>
      <c r="BQ78" s="6"/>
      <c r="BR78" s="5" t="s">
        <v>193</v>
      </c>
      <c r="BS78" s="5" t="s">
        <v>194</v>
      </c>
      <c r="BT78" s="6"/>
      <c r="BU78" s="6"/>
      <c r="BV78" s="5" t="s">
        <v>1091</v>
      </c>
      <c r="BW78" s="6"/>
      <c r="BX78" s="6"/>
      <c r="BY78" s="6"/>
      <c r="BZ78" s="6"/>
      <c r="CA78" s="6"/>
      <c r="CB78" s="5" t="s">
        <v>893</v>
      </c>
      <c r="CC78" s="6"/>
      <c r="CD78" s="6"/>
      <c r="CE78" s="5" t="s">
        <v>115</v>
      </c>
      <c r="CF78" s="5" t="s">
        <v>1092</v>
      </c>
      <c r="CG78" s="6"/>
      <c r="CH78" s="6"/>
      <c r="CI78" s="6"/>
      <c r="CJ78" s="6"/>
      <c r="CK78" s="6"/>
      <c r="CL78" s="6"/>
      <c r="CM78" s="6"/>
      <c r="CN78" s="6"/>
      <c r="CO78" s="6"/>
      <c r="CP78" s="6"/>
    </row>
    <row r="79">
      <c r="A79" s="4" t="s">
        <v>1093</v>
      </c>
      <c r="B79" s="5" t="s">
        <v>1094</v>
      </c>
      <c r="C79" s="5" t="s">
        <v>1095</v>
      </c>
      <c r="D79" s="5" t="s">
        <v>94</v>
      </c>
      <c r="E79" s="5" t="s">
        <v>95</v>
      </c>
      <c r="F79" s="6"/>
      <c r="G79" s="5" t="s">
        <v>1096</v>
      </c>
      <c r="H79" s="5" t="s">
        <v>97</v>
      </c>
      <c r="I79" s="5" t="s">
        <v>653</v>
      </c>
      <c r="J79" s="5"/>
      <c r="K79" s="5"/>
      <c r="L79" s="5"/>
      <c r="M79" s="5" t="s">
        <v>1097</v>
      </c>
      <c r="N79" s="5" t="s">
        <v>1098</v>
      </c>
      <c r="O79" s="5" t="s">
        <v>1099</v>
      </c>
      <c r="P79" s="5" t="s">
        <v>1100</v>
      </c>
      <c r="Q79" s="5" t="s">
        <v>330</v>
      </c>
      <c r="R79" s="5"/>
      <c r="S79" s="5" t="s">
        <v>100</v>
      </c>
      <c r="T79" s="5" t="s">
        <v>100</v>
      </c>
      <c r="U79" s="5" t="s">
        <v>100</v>
      </c>
      <c r="V79" s="5" t="s">
        <v>100</v>
      </c>
      <c r="W79" s="5" t="s">
        <v>100</v>
      </c>
      <c r="X79" s="5" t="s">
        <v>100</v>
      </c>
      <c r="Y79" s="5" t="s">
        <v>1101</v>
      </c>
      <c r="Z79" s="5" t="s">
        <v>1102</v>
      </c>
      <c r="AA79" s="5"/>
      <c r="AB79" s="5" t="s">
        <v>100</v>
      </c>
      <c r="AC79" s="5" t="s">
        <v>100</v>
      </c>
      <c r="AD79" s="5" t="s">
        <v>100</v>
      </c>
      <c r="AE79" s="5" t="s">
        <v>100</v>
      </c>
      <c r="AF79" s="5" t="s">
        <v>100</v>
      </c>
      <c r="AG79" s="5" t="s">
        <v>100</v>
      </c>
      <c r="AH79" s="5" t="s">
        <v>100</v>
      </c>
      <c r="AI79" s="5" t="s">
        <v>1103</v>
      </c>
      <c r="AJ79" s="5" t="s">
        <v>1104</v>
      </c>
      <c r="AK79" s="5" t="s">
        <v>124</v>
      </c>
      <c r="AL79" s="5" t="s">
        <v>124</v>
      </c>
      <c r="AM79" s="5" t="s">
        <v>105</v>
      </c>
      <c r="AN79" s="5" t="s">
        <v>1105</v>
      </c>
      <c r="AO79" s="6"/>
      <c r="AP79" s="6"/>
      <c r="AQ79" s="6"/>
      <c r="AR79" s="6"/>
      <c r="AS79" s="6"/>
      <c r="AT79" s="6"/>
      <c r="AU79" s="5" t="s">
        <v>1106</v>
      </c>
      <c r="AV79" s="6"/>
      <c r="AW79" s="6"/>
      <c r="AX79" s="6"/>
      <c r="AY79" s="5" t="s">
        <v>1107</v>
      </c>
      <c r="AZ79" s="5" t="b">
        <v>0</v>
      </c>
      <c r="BA79" s="5" t="s">
        <v>190</v>
      </c>
      <c r="BB79" s="5" t="s">
        <v>628</v>
      </c>
      <c r="BC79" s="6"/>
      <c r="BD79" s="6"/>
      <c r="BE79" s="5" t="s">
        <v>1108</v>
      </c>
      <c r="BF79" s="6"/>
      <c r="BG79" s="6"/>
      <c r="BH79" s="6"/>
      <c r="BI79" s="6"/>
      <c r="BJ79" s="6"/>
      <c r="BK79" s="6"/>
      <c r="BL79" s="6"/>
      <c r="BM79" s="6"/>
      <c r="BN79" s="6"/>
      <c r="BO79" s="6"/>
      <c r="BP79" s="6"/>
      <c r="BQ79" s="6"/>
      <c r="BR79" s="5" t="s">
        <v>193</v>
      </c>
      <c r="BS79" s="5" t="s">
        <v>194</v>
      </c>
      <c r="BT79" s="6"/>
      <c r="BU79" s="6"/>
      <c r="BV79" s="6"/>
      <c r="BW79" s="6"/>
      <c r="BX79" s="6"/>
      <c r="BY79" s="6"/>
      <c r="BZ79" s="6"/>
      <c r="CA79" s="6"/>
      <c r="CB79" s="5" t="s">
        <v>665</v>
      </c>
      <c r="CC79" s="6"/>
      <c r="CD79" s="6"/>
      <c r="CE79" s="5" t="s">
        <v>115</v>
      </c>
      <c r="CF79" s="5" t="s">
        <v>1109</v>
      </c>
      <c r="CG79" s="6"/>
      <c r="CH79" s="6"/>
      <c r="CI79" s="6"/>
      <c r="CJ79" s="6"/>
      <c r="CK79" s="6"/>
      <c r="CL79" s="6"/>
      <c r="CM79" s="6"/>
      <c r="CN79" s="6"/>
      <c r="CO79" s="6"/>
      <c r="CP79" s="6"/>
    </row>
    <row r="80">
      <c r="A80" s="7" t="s">
        <v>1110</v>
      </c>
      <c r="B80" s="8" t="s">
        <v>1111</v>
      </c>
      <c r="C80" s="8" t="s">
        <v>1112</v>
      </c>
      <c r="D80" s="8" t="s">
        <v>94</v>
      </c>
      <c r="E80" s="8" t="s">
        <v>95</v>
      </c>
      <c r="F80" s="9"/>
      <c r="G80" s="8" t="s">
        <v>1113</v>
      </c>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t="str">
        <f t="shared" ref="AJ80:AJ84" si="10">CONCATENATE(J80,K80,L80,Q80,R80,X80,Y80,AA80,AG80)</f>
        <v/>
      </c>
      <c r="AK80" s="8"/>
      <c r="AL80" s="8"/>
      <c r="AM80" s="8" t="s">
        <v>105</v>
      </c>
      <c r="AN80" s="8" t="s">
        <v>1114</v>
      </c>
      <c r="AO80" s="9"/>
      <c r="AP80" s="9"/>
      <c r="AQ80" s="9"/>
      <c r="AR80" s="9"/>
      <c r="AS80" s="9"/>
      <c r="AT80" s="9"/>
      <c r="AU80" s="8" t="s">
        <v>1115</v>
      </c>
      <c r="AV80" s="8" t="s">
        <v>108</v>
      </c>
      <c r="AW80" s="9"/>
      <c r="AX80" s="9"/>
      <c r="AY80" s="8" t="s">
        <v>1107</v>
      </c>
      <c r="AZ80" s="8" t="b">
        <v>0</v>
      </c>
      <c r="BA80" s="8" t="s">
        <v>110</v>
      </c>
      <c r="BB80" s="8" t="s">
        <v>277</v>
      </c>
      <c r="BC80" s="9"/>
      <c r="BD80" s="8" t="s">
        <v>112</v>
      </c>
      <c r="BE80" s="8" t="s">
        <v>1116</v>
      </c>
      <c r="BF80" s="9"/>
      <c r="BG80" s="9"/>
      <c r="BH80" s="9"/>
      <c r="BI80" s="9"/>
      <c r="BJ80" s="9"/>
      <c r="BK80" s="9"/>
      <c r="BL80" s="9"/>
      <c r="BM80" s="9"/>
      <c r="BN80" s="9"/>
      <c r="BO80" s="9"/>
      <c r="BP80" s="9"/>
      <c r="BQ80" s="9"/>
      <c r="BR80" s="9"/>
      <c r="BS80" s="9"/>
      <c r="BT80" s="9"/>
      <c r="BU80" s="9"/>
      <c r="BV80" s="9"/>
      <c r="BW80" s="9"/>
      <c r="BX80" s="9"/>
      <c r="BY80" s="9"/>
      <c r="BZ80" s="9"/>
      <c r="CA80" s="9"/>
      <c r="CB80" s="8" t="s">
        <v>1117</v>
      </c>
      <c r="CC80" s="9"/>
      <c r="CD80" s="9"/>
      <c r="CE80" s="8" t="s">
        <v>450</v>
      </c>
      <c r="CF80" s="8" t="s">
        <v>1118</v>
      </c>
      <c r="CG80" s="9"/>
      <c r="CH80" s="9"/>
      <c r="CI80" s="9"/>
      <c r="CJ80" s="9"/>
      <c r="CK80" s="9"/>
      <c r="CL80" s="9"/>
      <c r="CM80" s="9"/>
      <c r="CN80" s="9"/>
      <c r="CO80" s="9"/>
      <c r="CP80" s="9"/>
    </row>
    <row r="81">
      <c r="A81" s="7" t="s">
        <v>1119</v>
      </c>
      <c r="B81" s="8" t="s">
        <v>1120</v>
      </c>
      <c r="C81" s="8" t="s">
        <v>1121</v>
      </c>
      <c r="D81" s="8" t="s">
        <v>94</v>
      </c>
      <c r="E81" s="8" t="s">
        <v>95</v>
      </c>
      <c r="F81" s="9"/>
      <c r="G81" s="8" t="s">
        <v>1122</v>
      </c>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t="str">
        <f t="shared" si="10"/>
        <v/>
      </c>
      <c r="AK81" s="8"/>
      <c r="AL81" s="8"/>
      <c r="AM81" s="8" t="s">
        <v>105</v>
      </c>
      <c r="AN81" s="8" t="s">
        <v>1123</v>
      </c>
      <c r="AO81" s="9"/>
      <c r="AP81" s="8" t="s">
        <v>713</v>
      </c>
      <c r="AQ81" s="9"/>
      <c r="AR81" s="9"/>
      <c r="AS81" s="9"/>
      <c r="AT81" s="9"/>
      <c r="AU81" s="8" t="s">
        <v>1124</v>
      </c>
      <c r="AV81" s="9"/>
      <c r="AW81" s="9"/>
      <c r="AX81" s="9"/>
      <c r="AY81" s="8" t="s">
        <v>1107</v>
      </c>
      <c r="AZ81" s="8" t="b">
        <v>0</v>
      </c>
      <c r="BA81" s="8" t="s">
        <v>190</v>
      </c>
      <c r="BB81" s="8" t="s">
        <v>628</v>
      </c>
      <c r="BC81" s="8" t="s">
        <v>629</v>
      </c>
      <c r="BD81" s="8" t="s">
        <v>630</v>
      </c>
      <c r="BE81" s="8" t="s">
        <v>1125</v>
      </c>
      <c r="BF81" s="8" t="s">
        <v>94</v>
      </c>
      <c r="BG81" s="8" t="s">
        <v>95</v>
      </c>
      <c r="BH81" s="8" t="s">
        <v>1126</v>
      </c>
      <c r="BI81" s="8" t="s">
        <v>115</v>
      </c>
      <c r="BJ81" s="9"/>
      <c r="BK81" s="8" t="s">
        <v>1127</v>
      </c>
      <c r="BL81" s="9"/>
      <c r="BM81" s="9"/>
      <c r="BN81" s="9"/>
      <c r="BO81" s="9"/>
      <c r="BP81" s="9"/>
      <c r="BQ81" s="9"/>
      <c r="BR81" s="8" t="s">
        <v>193</v>
      </c>
      <c r="BS81" s="9"/>
      <c r="BT81" s="9"/>
      <c r="BU81" s="9"/>
      <c r="BV81" s="8" t="s">
        <v>680</v>
      </c>
      <c r="BW81" s="9"/>
      <c r="BX81" s="9"/>
      <c r="BY81" s="9"/>
      <c r="BZ81" s="9"/>
      <c r="CA81" s="9"/>
      <c r="CB81" s="8" t="s">
        <v>1128</v>
      </c>
      <c r="CC81" s="8" t="s">
        <v>1129</v>
      </c>
      <c r="CD81" s="9"/>
      <c r="CE81" s="8" t="s">
        <v>115</v>
      </c>
      <c r="CF81" s="8" t="s">
        <v>1130</v>
      </c>
      <c r="CG81" s="9"/>
      <c r="CH81" s="9"/>
      <c r="CI81" s="9"/>
      <c r="CJ81" s="9"/>
      <c r="CK81" s="9"/>
      <c r="CL81" s="9"/>
      <c r="CM81" s="9"/>
      <c r="CN81" s="9"/>
      <c r="CO81" s="9"/>
      <c r="CP81" s="9"/>
    </row>
    <row r="82">
      <c r="A82" s="7" t="s">
        <v>1131</v>
      </c>
      <c r="B82" s="8" t="s">
        <v>1132</v>
      </c>
      <c r="C82" s="8" t="s">
        <v>1133</v>
      </c>
      <c r="D82" s="8" t="s">
        <v>94</v>
      </c>
      <c r="E82" s="8" t="s">
        <v>95</v>
      </c>
      <c r="F82" s="9"/>
      <c r="G82" s="8" t="s">
        <v>1134</v>
      </c>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t="str">
        <f t="shared" si="10"/>
        <v/>
      </c>
      <c r="AK82" s="8"/>
      <c r="AL82" s="8"/>
      <c r="AM82" s="8" t="s">
        <v>105</v>
      </c>
      <c r="AN82" s="8" t="s">
        <v>1123</v>
      </c>
      <c r="AO82" s="9"/>
      <c r="AP82" s="8" t="s">
        <v>899</v>
      </c>
      <c r="AQ82" s="9"/>
      <c r="AR82" s="9"/>
      <c r="AS82" s="9"/>
      <c r="AT82" s="9"/>
      <c r="AU82" s="8" t="s">
        <v>1135</v>
      </c>
      <c r="AV82" s="9"/>
      <c r="AW82" s="9"/>
      <c r="AX82" s="9"/>
      <c r="AY82" s="8" t="s">
        <v>1107</v>
      </c>
      <c r="AZ82" s="8" t="b">
        <v>0</v>
      </c>
      <c r="BA82" s="8" t="s">
        <v>190</v>
      </c>
      <c r="BB82" s="8" t="s">
        <v>1136</v>
      </c>
      <c r="BC82" s="9"/>
      <c r="BD82" s="8" t="s">
        <v>630</v>
      </c>
      <c r="BE82" s="8" t="s">
        <v>1137</v>
      </c>
      <c r="BF82" s="9"/>
      <c r="BG82" s="9"/>
      <c r="BH82" s="8" t="s">
        <v>1126</v>
      </c>
      <c r="BI82" s="8" t="s">
        <v>1138</v>
      </c>
      <c r="BJ82" s="8" t="s">
        <v>1139</v>
      </c>
      <c r="BK82" s="8" t="s">
        <v>1140</v>
      </c>
      <c r="BL82" s="9"/>
      <c r="BM82" s="9"/>
      <c r="BN82" s="9"/>
      <c r="BO82" s="9"/>
      <c r="BP82" s="9"/>
      <c r="BQ82" s="9"/>
      <c r="BR82" s="8" t="s">
        <v>193</v>
      </c>
      <c r="BS82" s="9"/>
      <c r="BT82" s="9"/>
      <c r="BU82" s="9"/>
      <c r="BV82" s="8" t="s">
        <v>680</v>
      </c>
      <c r="BW82" s="9"/>
      <c r="BX82" s="9"/>
      <c r="BY82" s="9"/>
      <c r="BZ82" s="9"/>
      <c r="CA82" s="9"/>
      <c r="CB82" s="8" t="s">
        <v>1128</v>
      </c>
      <c r="CC82" s="9"/>
      <c r="CD82" s="9"/>
      <c r="CE82" s="8" t="s">
        <v>115</v>
      </c>
      <c r="CF82" s="8" t="s">
        <v>1141</v>
      </c>
      <c r="CG82" s="9"/>
      <c r="CH82" s="9"/>
      <c r="CI82" s="9"/>
      <c r="CJ82" s="9"/>
      <c r="CK82" s="9"/>
      <c r="CL82" s="9"/>
      <c r="CM82" s="9"/>
      <c r="CN82" s="9"/>
      <c r="CO82" s="9"/>
      <c r="CP82" s="9"/>
    </row>
    <row r="83">
      <c r="A83" s="7" t="s">
        <v>1142</v>
      </c>
      <c r="B83" s="8" t="s">
        <v>1143</v>
      </c>
      <c r="C83" s="8" t="s">
        <v>1144</v>
      </c>
      <c r="D83" s="8" t="s">
        <v>94</v>
      </c>
      <c r="E83" s="8" t="s">
        <v>95</v>
      </c>
      <c r="F83" s="9"/>
      <c r="G83" s="8" t="s">
        <v>1145</v>
      </c>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t="str">
        <f t="shared" si="10"/>
        <v/>
      </c>
      <c r="AK83" s="8"/>
      <c r="AL83" s="8"/>
      <c r="AM83" s="8" t="s">
        <v>105</v>
      </c>
      <c r="AN83" s="8" t="s">
        <v>1123</v>
      </c>
      <c r="AO83" s="9"/>
      <c r="AP83" s="8" t="s">
        <v>642</v>
      </c>
      <c r="AQ83" s="9"/>
      <c r="AR83" s="9"/>
      <c r="AS83" s="9"/>
      <c r="AT83" s="9"/>
      <c r="AU83" s="8" t="s">
        <v>1146</v>
      </c>
      <c r="AV83" s="9"/>
      <c r="AW83" s="9"/>
      <c r="AX83" s="9"/>
      <c r="AY83" s="8" t="s">
        <v>1107</v>
      </c>
      <c r="AZ83" s="8" t="b">
        <v>0</v>
      </c>
      <c r="BA83" s="8" t="s">
        <v>190</v>
      </c>
      <c r="BB83" s="8" t="s">
        <v>628</v>
      </c>
      <c r="BC83" s="8" t="s">
        <v>629</v>
      </c>
      <c r="BD83" s="8" t="s">
        <v>630</v>
      </c>
      <c r="BE83" s="8" t="s">
        <v>1147</v>
      </c>
      <c r="BF83" s="9"/>
      <c r="BG83" s="9"/>
      <c r="BH83" s="9"/>
      <c r="BI83" s="8" t="s">
        <v>1148</v>
      </c>
      <c r="BJ83" s="8" t="s">
        <v>1149</v>
      </c>
      <c r="BK83" s="8" t="s">
        <v>217</v>
      </c>
      <c r="BL83" s="9"/>
      <c r="BM83" s="9"/>
      <c r="BN83" s="9"/>
      <c r="BO83" s="9"/>
      <c r="BP83" s="9"/>
      <c r="BQ83" s="9"/>
      <c r="BR83" s="8" t="s">
        <v>193</v>
      </c>
      <c r="BS83" s="8" t="s">
        <v>194</v>
      </c>
      <c r="BT83" s="9"/>
      <c r="BU83" s="9"/>
      <c r="BV83" s="8" t="s">
        <v>1150</v>
      </c>
      <c r="BW83" s="9"/>
      <c r="BX83" s="9"/>
      <c r="BY83" s="9"/>
      <c r="BZ83" s="9"/>
      <c r="CA83" s="9"/>
      <c r="CB83" s="8" t="s">
        <v>1151</v>
      </c>
      <c r="CC83" s="9"/>
      <c r="CD83" s="9"/>
      <c r="CE83" s="8" t="s">
        <v>115</v>
      </c>
      <c r="CF83" s="8" t="s">
        <v>1152</v>
      </c>
      <c r="CG83" s="9"/>
      <c r="CH83" s="9"/>
      <c r="CI83" s="9"/>
      <c r="CJ83" s="9"/>
      <c r="CK83" s="9"/>
      <c r="CL83" s="9"/>
      <c r="CM83" s="9"/>
      <c r="CN83" s="9"/>
      <c r="CO83" s="9"/>
      <c r="CP83" s="9"/>
    </row>
    <row r="84">
      <c r="A84" s="7" t="s">
        <v>1153</v>
      </c>
      <c r="B84" s="8" t="s">
        <v>1154</v>
      </c>
      <c r="C84" s="8" t="s">
        <v>1155</v>
      </c>
      <c r="D84" s="8" t="s">
        <v>94</v>
      </c>
      <c r="E84" s="8" t="s">
        <v>95</v>
      </c>
      <c r="F84" s="9"/>
      <c r="G84" s="8" t="s">
        <v>1156</v>
      </c>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t="str">
        <f t="shared" si="10"/>
        <v/>
      </c>
      <c r="AK84" s="8"/>
      <c r="AL84" s="8"/>
      <c r="AM84" s="8" t="s">
        <v>105</v>
      </c>
      <c r="AN84" s="8" t="s">
        <v>1123</v>
      </c>
      <c r="AO84" s="9"/>
      <c r="AP84" s="8" t="s">
        <v>734</v>
      </c>
      <c r="AQ84" s="9"/>
      <c r="AR84" s="9"/>
      <c r="AS84" s="9"/>
      <c r="AT84" s="9"/>
      <c r="AU84" s="8" t="s">
        <v>1157</v>
      </c>
      <c r="AV84" s="8" t="s">
        <v>108</v>
      </c>
      <c r="AW84" s="9"/>
      <c r="AX84" s="9"/>
      <c r="AY84" s="8" t="s">
        <v>1107</v>
      </c>
      <c r="AZ84" s="8" t="b">
        <v>0</v>
      </c>
      <c r="BA84" s="8" t="s">
        <v>110</v>
      </c>
      <c r="BB84" s="8" t="s">
        <v>1158</v>
      </c>
      <c r="BC84" s="9"/>
      <c r="BD84" s="8" t="s">
        <v>112</v>
      </c>
      <c r="BE84" s="8" t="s">
        <v>1159</v>
      </c>
      <c r="BF84" s="9"/>
      <c r="BG84" s="9"/>
      <c r="BH84" s="9"/>
      <c r="BI84" s="9"/>
      <c r="BJ84" s="9"/>
      <c r="BK84" s="9"/>
      <c r="BL84" s="9"/>
      <c r="BM84" s="9"/>
      <c r="BN84" s="9"/>
      <c r="BO84" s="9"/>
      <c r="BP84" s="9"/>
      <c r="BQ84" s="9"/>
      <c r="BR84" s="9"/>
      <c r="BS84" s="9"/>
      <c r="BT84" s="9"/>
      <c r="BU84" s="9"/>
      <c r="BV84" s="9"/>
      <c r="BW84" s="9"/>
      <c r="BX84" s="9"/>
      <c r="BY84" s="9"/>
      <c r="BZ84" s="9"/>
      <c r="CA84" s="9"/>
      <c r="CB84" s="8" t="s">
        <v>1151</v>
      </c>
      <c r="CC84" s="9"/>
      <c r="CD84" s="9"/>
      <c r="CE84" s="8" t="s">
        <v>115</v>
      </c>
      <c r="CF84" s="8" t="s">
        <v>1160</v>
      </c>
      <c r="CG84" s="9"/>
      <c r="CH84" s="9"/>
      <c r="CI84" s="9"/>
      <c r="CJ84" s="9"/>
      <c r="CK84" s="9"/>
      <c r="CL84" s="9"/>
      <c r="CM84" s="9"/>
      <c r="CN84" s="9"/>
      <c r="CO84" s="9"/>
      <c r="CP84" s="9"/>
    </row>
    <row r="85">
      <c r="A85" s="4" t="s">
        <v>1161</v>
      </c>
      <c r="B85" s="5" t="s">
        <v>1162</v>
      </c>
      <c r="C85" s="5" t="s">
        <v>1163</v>
      </c>
      <c r="D85" s="5" t="s">
        <v>94</v>
      </c>
      <c r="E85" s="5" t="s">
        <v>95</v>
      </c>
      <c r="F85" s="6"/>
      <c r="G85" s="5" t="s">
        <v>1164</v>
      </c>
      <c r="H85" s="5" t="s">
        <v>97</v>
      </c>
      <c r="I85" s="5" t="s">
        <v>653</v>
      </c>
      <c r="J85" s="5"/>
      <c r="K85" s="5"/>
      <c r="L85" s="5"/>
      <c r="M85" s="5" t="s">
        <v>1165</v>
      </c>
      <c r="N85" s="5" t="s">
        <v>100</v>
      </c>
      <c r="O85" s="5" t="s">
        <v>1166</v>
      </c>
      <c r="P85" s="5" t="s">
        <v>1167</v>
      </c>
      <c r="Q85" s="5"/>
      <c r="R85" s="5"/>
      <c r="S85" s="5" t="s">
        <v>100</v>
      </c>
      <c r="T85" s="5" t="s">
        <v>100</v>
      </c>
      <c r="U85" s="5" t="s">
        <v>100</v>
      </c>
      <c r="V85" s="5" t="s">
        <v>100</v>
      </c>
      <c r="W85" s="5" t="s">
        <v>100</v>
      </c>
      <c r="X85" s="5" t="s">
        <v>100</v>
      </c>
      <c r="Y85" s="5" t="s">
        <v>1168</v>
      </c>
      <c r="Z85" s="5" t="s">
        <v>1169</v>
      </c>
      <c r="AA85" s="5"/>
      <c r="AB85" s="5" t="s">
        <v>100</v>
      </c>
      <c r="AC85" s="5" t="s">
        <v>100</v>
      </c>
      <c r="AD85" s="5" t="s">
        <v>100</v>
      </c>
      <c r="AE85" s="5" t="s">
        <v>100</v>
      </c>
      <c r="AF85" s="5" t="s">
        <v>100</v>
      </c>
      <c r="AG85" s="5" t="s">
        <v>100</v>
      </c>
      <c r="AH85" s="5" t="s">
        <v>100</v>
      </c>
      <c r="AI85" s="5" t="s">
        <v>1170</v>
      </c>
      <c r="AJ85" s="5" t="s">
        <v>1171</v>
      </c>
      <c r="AK85" s="5" t="s">
        <v>124</v>
      </c>
      <c r="AL85" s="5" t="s">
        <v>124</v>
      </c>
      <c r="AM85" s="5" t="s">
        <v>105</v>
      </c>
      <c r="AN85" s="5" t="s">
        <v>1172</v>
      </c>
      <c r="AO85" s="6"/>
      <c r="AP85" s="6"/>
      <c r="AQ85" s="6"/>
      <c r="AR85" s="6"/>
      <c r="AS85" s="6"/>
      <c r="AT85" s="6"/>
      <c r="AU85" s="5" t="s">
        <v>1173</v>
      </c>
      <c r="AV85" s="6"/>
      <c r="AW85" s="6"/>
      <c r="AX85" s="6"/>
      <c r="AY85" s="5" t="s">
        <v>1174</v>
      </c>
      <c r="AZ85" s="5" t="b">
        <v>0</v>
      </c>
      <c r="BA85" s="5" t="s">
        <v>190</v>
      </c>
      <c r="BB85" s="5" t="s">
        <v>628</v>
      </c>
      <c r="BC85" s="6"/>
      <c r="BD85" s="6"/>
      <c r="BE85" s="5" t="s">
        <v>1175</v>
      </c>
      <c r="BF85" s="6"/>
      <c r="BG85" s="6"/>
      <c r="BH85" s="6"/>
      <c r="BI85" s="6"/>
      <c r="BJ85" s="6"/>
      <c r="BK85" s="6"/>
      <c r="BL85" s="6"/>
      <c r="BM85" s="6"/>
      <c r="BN85" s="6"/>
      <c r="BO85" s="6"/>
      <c r="BP85" s="6"/>
      <c r="BQ85" s="6"/>
      <c r="BR85" s="5" t="s">
        <v>193</v>
      </c>
      <c r="BS85" s="5" t="s">
        <v>194</v>
      </c>
      <c r="BT85" s="6"/>
      <c r="BU85" s="6"/>
      <c r="BV85" s="6"/>
      <c r="BW85" s="6"/>
      <c r="BX85" s="6"/>
      <c r="BY85" s="6"/>
      <c r="BZ85" s="6"/>
      <c r="CA85" s="6"/>
      <c r="CB85" s="5" t="s">
        <v>665</v>
      </c>
      <c r="CC85" s="6"/>
      <c r="CD85" s="6"/>
      <c r="CE85" s="5" t="s">
        <v>115</v>
      </c>
      <c r="CF85" s="5" t="s">
        <v>1176</v>
      </c>
      <c r="CG85" s="6"/>
      <c r="CH85" s="6"/>
      <c r="CI85" s="6"/>
      <c r="CJ85" s="6"/>
      <c r="CK85" s="6"/>
      <c r="CL85" s="6"/>
      <c r="CM85" s="6"/>
      <c r="CN85" s="6"/>
      <c r="CO85" s="6"/>
      <c r="CP85" s="6"/>
    </row>
    <row r="86">
      <c r="A86" s="4" t="s">
        <v>1177</v>
      </c>
      <c r="B86" s="5" t="s">
        <v>1178</v>
      </c>
      <c r="C86" s="5" t="s">
        <v>1179</v>
      </c>
      <c r="D86" s="5" t="s">
        <v>94</v>
      </c>
      <c r="E86" s="5" t="s">
        <v>95</v>
      </c>
      <c r="F86" s="6"/>
      <c r="G86" s="5" t="s">
        <v>1180</v>
      </c>
      <c r="H86" s="5" t="s">
        <v>97</v>
      </c>
      <c r="I86" s="5" t="s">
        <v>653</v>
      </c>
      <c r="J86" s="5"/>
      <c r="K86" s="5"/>
      <c r="L86" s="5"/>
      <c r="M86" s="5" t="s">
        <v>1181</v>
      </c>
      <c r="N86" s="5" t="s">
        <v>100</v>
      </c>
      <c r="O86" s="5" t="s">
        <v>1182</v>
      </c>
      <c r="P86" s="5" t="s">
        <v>1183</v>
      </c>
      <c r="Q86" s="5" t="s">
        <v>1184</v>
      </c>
      <c r="R86" s="5"/>
      <c r="S86" s="5" t="s">
        <v>100</v>
      </c>
      <c r="T86" s="5" t="s">
        <v>100</v>
      </c>
      <c r="U86" s="5" t="s">
        <v>100</v>
      </c>
      <c r="V86" s="5" t="s">
        <v>100</v>
      </c>
      <c r="W86" s="5" t="s">
        <v>100</v>
      </c>
      <c r="X86" s="5" t="s">
        <v>100</v>
      </c>
      <c r="Y86" s="5" t="s">
        <v>100</v>
      </c>
      <c r="Z86" s="5" t="s">
        <v>100</v>
      </c>
      <c r="AA86" s="5"/>
      <c r="AB86" s="5" t="s">
        <v>100</v>
      </c>
      <c r="AC86" s="5" t="s">
        <v>100</v>
      </c>
      <c r="AD86" s="5" t="s">
        <v>100</v>
      </c>
      <c r="AE86" s="5" t="s">
        <v>100</v>
      </c>
      <c r="AF86" s="5" t="s">
        <v>100</v>
      </c>
      <c r="AG86" s="5" t="s">
        <v>100</v>
      </c>
      <c r="AH86" s="5" t="s">
        <v>100</v>
      </c>
      <c r="AI86" s="5" t="s">
        <v>1185</v>
      </c>
      <c r="AJ86" s="5" t="s">
        <v>1186</v>
      </c>
      <c r="AK86" s="5" t="s">
        <v>124</v>
      </c>
      <c r="AL86" s="5" t="s">
        <v>124</v>
      </c>
      <c r="AM86" s="5" t="s">
        <v>105</v>
      </c>
      <c r="AN86" s="5" t="s">
        <v>1187</v>
      </c>
      <c r="AO86" s="6"/>
      <c r="AP86" s="6"/>
      <c r="AQ86" s="6"/>
      <c r="AR86" s="6"/>
      <c r="AS86" s="6"/>
      <c r="AT86" s="6"/>
      <c r="AU86" s="5" t="s">
        <v>1188</v>
      </c>
      <c r="AV86" s="5" t="s">
        <v>108</v>
      </c>
      <c r="AW86" s="6"/>
      <c r="AX86" s="6"/>
      <c r="AY86" s="5" t="s">
        <v>1174</v>
      </c>
      <c r="AZ86" s="5" t="b">
        <v>0</v>
      </c>
      <c r="BA86" s="5" t="s">
        <v>110</v>
      </c>
      <c r="BB86" s="5" t="s">
        <v>277</v>
      </c>
      <c r="BC86" s="6"/>
      <c r="BD86" s="6"/>
      <c r="BE86" s="5" t="s">
        <v>1189</v>
      </c>
      <c r="BF86" s="6"/>
      <c r="BG86" s="6"/>
      <c r="BH86" s="6"/>
      <c r="BI86" s="6"/>
      <c r="BJ86" s="6"/>
      <c r="BK86" s="6"/>
      <c r="BL86" s="6"/>
      <c r="BM86" s="6"/>
      <c r="BN86" s="6"/>
      <c r="BO86" s="6"/>
      <c r="BP86" s="6"/>
      <c r="BQ86" s="6"/>
      <c r="BR86" s="6"/>
      <c r="BS86" s="6"/>
      <c r="BT86" s="6"/>
      <c r="BU86" s="6"/>
      <c r="BV86" s="6"/>
      <c r="BW86" s="6"/>
      <c r="BX86" s="6"/>
      <c r="BY86" s="6"/>
      <c r="BZ86" s="6"/>
      <c r="CA86" s="6"/>
      <c r="CB86" s="5" t="s">
        <v>665</v>
      </c>
      <c r="CC86" s="6"/>
      <c r="CD86" s="6"/>
      <c r="CE86" s="5" t="s">
        <v>115</v>
      </c>
      <c r="CF86" s="5" t="s">
        <v>1190</v>
      </c>
      <c r="CG86" s="6"/>
      <c r="CH86" s="6"/>
      <c r="CI86" s="6"/>
      <c r="CJ86" s="6"/>
      <c r="CK86" s="6"/>
      <c r="CL86" s="6"/>
      <c r="CM86" s="6"/>
      <c r="CN86" s="6"/>
      <c r="CO86" s="6"/>
      <c r="CP86" s="6"/>
    </row>
    <row r="87">
      <c r="A87" s="4" t="s">
        <v>1191</v>
      </c>
      <c r="B87" s="5" t="s">
        <v>1192</v>
      </c>
      <c r="C87" s="5" t="s">
        <v>1193</v>
      </c>
      <c r="D87" s="5" t="s">
        <v>94</v>
      </c>
      <c r="E87" s="5" t="s">
        <v>95</v>
      </c>
      <c r="F87" s="6"/>
      <c r="G87" s="5" t="s">
        <v>1194</v>
      </c>
      <c r="H87" s="5" t="s">
        <v>97</v>
      </c>
      <c r="I87" s="5" t="s">
        <v>653</v>
      </c>
      <c r="J87" s="5" t="s">
        <v>1195</v>
      </c>
      <c r="K87" s="5" t="s">
        <v>100</v>
      </c>
      <c r="L87" s="5"/>
      <c r="M87" s="5" t="s">
        <v>1196</v>
      </c>
      <c r="N87" s="5" t="s">
        <v>100</v>
      </c>
      <c r="O87" s="5" t="s">
        <v>1197</v>
      </c>
      <c r="P87" s="5" t="s">
        <v>1198</v>
      </c>
      <c r="Q87" s="5" t="s">
        <v>1199</v>
      </c>
      <c r="R87" s="5" t="s">
        <v>100</v>
      </c>
      <c r="S87" s="5" t="s">
        <v>100</v>
      </c>
      <c r="T87" s="5" t="s">
        <v>100</v>
      </c>
      <c r="U87" s="5" t="s">
        <v>100</v>
      </c>
      <c r="V87" s="5" t="s">
        <v>100</v>
      </c>
      <c r="W87" s="5" t="s">
        <v>100</v>
      </c>
      <c r="X87" s="5" t="s">
        <v>100</v>
      </c>
      <c r="Y87" s="5" t="s">
        <v>100</v>
      </c>
      <c r="Z87" s="5" t="s">
        <v>100</v>
      </c>
      <c r="AA87" s="5" t="s">
        <v>100</v>
      </c>
      <c r="AB87" s="5" t="s">
        <v>100</v>
      </c>
      <c r="AC87" s="5" t="s">
        <v>100</v>
      </c>
      <c r="AD87" s="5" t="s">
        <v>100</v>
      </c>
      <c r="AE87" s="5" t="s">
        <v>100</v>
      </c>
      <c r="AF87" s="5" t="s">
        <v>100</v>
      </c>
      <c r="AG87" s="5" t="s">
        <v>100</v>
      </c>
      <c r="AH87" s="5" t="s">
        <v>100</v>
      </c>
      <c r="AI87" s="5"/>
      <c r="AJ87" s="10" t="s">
        <v>1200</v>
      </c>
      <c r="AK87" s="5" t="s">
        <v>124</v>
      </c>
      <c r="AL87" s="5" t="s">
        <v>124</v>
      </c>
      <c r="AM87" s="5" t="s">
        <v>105</v>
      </c>
      <c r="AN87" s="5" t="s">
        <v>1201</v>
      </c>
      <c r="AO87" s="6"/>
      <c r="AP87" s="6"/>
      <c r="AQ87" s="6"/>
      <c r="AR87" s="6"/>
      <c r="AS87" s="6"/>
      <c r="AT87" s="6"/>
      <c r="AU87" s="5" t="s">
        <v>1202</v>
      </c>
      <c r="AV87" s="5" t="s">
        <v>108</v>
      </c>
      <c r="AW87" s="6"/>
      <c r="AX87" s="6"/>
      <c r="AY87" s="5" t="s">
        <v>1174</v>
      </c>
      <c r="AZ87" s="5" t="b">
        <v>0</v>
      </c>
      <c r="BA87" s="5" t="s">
        <v>110</v>
      </c>
      <c r="BB87" s="5" t="s">
        <v>277</v>
      </c>
      <c r="BC87" s="6"/>
      <c r="BD87" s="6"/>
      <c r="BE87" s="5" t="s">
        <v>1203</v>
      </c>
      <c r="BF87" s="6"/>
      <c r="BG87" s="6"/>
      <c r="BH87" s="6"/>
      <c r="BI87" s="6"/>
      <c r="BJ87" s="6"/>
      <c r="BK87" s="6"/>
      <c r="BL87" s="6"/>
      <c r="BM87" s="6"/>
      <c r="BN87" s="6"/>
      <c r="BO87" s="6"/>
      <c r="BP87" s="6"/>
      <c r="BQ87" s="6"/>
      <c r="BR87" s="6"/>
      <c r="BS87" s="6"/>
      <c r="BT87" s="6"/>
      <c r="BU87" s="6"/>
      <c r="BV87" s="6"/>
      <c r="BW87" s="6"/>
      <c r="BX87" s="6"/>
      <c r="BY87" s="6"/>
      <c r="BZ87" s="6"/>
      <c r="CA87" s="6"/>
      <c r="CB87" s="5" t="s">
        <v>665</v>
      </c>
      <c r="CC87" s="6"/>
      <c r="CD87" s="6"/>
      <c r="CE87" s="5" t="s">
        <v>115</v>
      </c>
      <c r="CF87" s="5" t="s">
        <v>1204</v>
      </c>
      <c r="CG87" s="6"/>
      <c r="CH87" s="6"/>
      <c r="CI87" s="6"/>
      <c r="CJ87" s="6"/>
      <c r="CK87" s="6"/>
      <c r="CL87" s="6"/>
      <c r="CM87" s="6"/>
      <c r="CN87" s="6"/>
      <c r="CO87" s="6"/>
      <c r="CP87" s="6"/>
    </row>
    <row r="88">
      <c r="A88" s="4" t="s">
        <v>1205</v>
      </c>
      <c r="B88" s="5" t="s">
        <v>1206</v>
      </c>
      <c r="C88" s="5" t="s">
        <v>1207</v>
      </c>
      <c r="D88" s="5" t="s">
        <v>94</v>
      </c>
      <c r="E88" s="5" t="s">
        <v>95</v>
      </c>
      <c r="F88" s="6"/>
      <c r="G88" s="5" t="s">
        <v>1208</v>
      </c>
      <c r="H88" s="5" t="s">
        <v>97</v>
      </c>
      <c r="I88" s="5" t="s">
        <v>98</v>
      </c>
      <c r="J88" s="5" t="s">
        <v>1209</v>
      </c>
      <c r="K88" s="5"/>
      <c r="L88" s="5"/>
      <c r="M88" s="5"/>
      <c r="N88" s="5"/>
      <c r="O88" s="5"/>
      <c r="P88" s="5"/>
      <c r="Q88" s="5"/>
      <c r="R88" s="5"/>
      <c r="S88" s="5"/>
      <c r="T88" s="5"/>
      <c r="U88" s="5"/>
      <c r="V88" s="5"/>
      <c r="W88" s="5"/>
      <c r="X88" s="5"/>
      <c r="Y88" s="5"/>
      <c r="Z88" s="5"/>
      <c r="AA88" s="5"/>
      <c r="AB88" s="5"/>
      <c r="AC88" s="5"/>
      <c r="AD88" s="5"/>
      <c r="AE88" s="5"/>
      <c r="AF88" s="5"/>
      <c r="AG88" s="5"/>
      <c r="AH88" s="5"/>
      <c r="AI88" s="5"/>
      <c r="AJ88" s="5" t="str">
        <f t="shared" ref="AJ88:AJ89" si="11">CONCATENATE(J88,K88,L88,Q88,R88,X88,Y88,AA88,AG88)</f>
        <v>32, 33, 34, 35, 36, 37, 38, 39, 40, 41, 42, 43, 44, 45, 46, 47, 48, 49, 50, 51, 52, 53, 54, 55, 56, 57, 58, 59, 60, 61, 62, 63, 64, 65, 66, 67, 68, 69, 70, 71, 72, 73, 74, </v>
      </c>
      <c r="AK88" s="5" t="s">
        <v>103</v>
      </c>
      <c r="AL88" s="5" t="s">
        <v>124</v>
      </c>
      <c r="AM88" s="5" t="s">
        <v>105</v>
      </c>
      <c r="AN88" s="5" t="s">
        <v>1210</v>
      </c>
      <c r="AO88" s="6"/>
      <c r="AP88" s="5" t="s">
        <v>713</v>
      </c>
      <c r="AQ88" s="6"/>
      <c r="AR88" s="6"/>
      <c r="AS88" s="6"/>
      <c r="AT88" s="6"/>
      <c r="AU88" s="5" t="s">
        <v>1211</v>
      </c>
      <c r="AV88" s="6"/>
      <c r="AW88" s="6"/>
      <c r="AX88" s="6"/>
      <c r="AY88" s="5" t="s">
        <v>1174</v>
      </c>
      <c r="AZ88" s="5" t="b">
        <v>0</v>
      </c>
      <c r="BA88" s="5" t="s">
        <v>190</v>
      </c>
      <c r="BB88" s="5" t="s">
        <v>191</v>
      </c>
      <c r="BC88" s="6"/>
      <c r="BD88" s="5" t="s">
        <v>112</v>
      </c>
      <c r="BE88" s="5" t="s">
        <v>1212</v>
      </c>
      <c r="BF88" s="6"/>
      <c r="BG88" s="6"/>
      <c r="BH88" s="6"/>
      <c r="BI88" s="6"/>
      <c r="BJ88" s="6"/>
      <c r="BK88" s="6"/>
      <c r="BL88" s="6"/>
      <c r="BM88" s="6"/>
      <c r="BN88" s="6"/>
      <c r="BO88" s="6"/>
      <c r="BP88" s="6"/>
      <c r="BQ88" s="6"/>
      <c r="BR88" s="5" t="s">
        <v>193</v>
      </c>
      <c r="BS88" s="5" t="s">
        <v>194</v>
      </c>
      <c r="BT88" s="6"/>
      <c r="BU88" s="6"/>
      <c r="BV88" s="6"/>
      <c r="BW88" s="6"/>
      <c r="BX88" s="6"/>
      <c r="BY88" s="6"/>
      <c r="BZ88" s="6"/>
      <c r="CA88" s="6"/>
      <c r="CB88" s="5" t="s">
        <v>893</v>
      </c>
      <c r="CC88" s="6"/>
      <c r="CD88" s="6"/>
      <c r="CE88" s="5" t="s">
        <v>115</v>
      </c>
      <c r="CF88" s="5" t="s">
        <v>1213</v>
      </c>
      <c r="CG88" s="6"/>
      <c r="CH88" s="6"/>
      <c r="CI88" s="6"/>
      <c r="CJ88" s="6"/>
      <c r="CK88" s="6"/>
      <c r="CL88" s="6"/>
      <c r="CM88" s="6"/>
      <c r="CN88" s="6"/>
      <c r="CO88" s="6"/>
      <c r="CP88" s="6"/>
    </row>
    <row r="89">
      <c r="A89" s="7" t="s">
        <v>1214</v>
      </c>
      <c r="B89" s="8" t="s">
        <v>1215</v>
      </c>
      <c r="C89" s="8" t="s">
        <v>1215</v>
      </c>
      <c r="D89" s="8" t="s">
        <v>354</v>
      </c>
      <c r="E89" s="8" t="s">
        <v>355</v>
      </c>
      <c r="F89" s="9"/>
      <c r="G89" s="8" t="s">
        <v>1216</v>
      </c>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t="str">
        <f t="shared" si="11"/>
        <v/>
      </c>
      <c r="AK89" s="8"/>
      <c r="AL89" s="8"/>
      <c r="AM89" s="8" t="s">
        <v>1217</v>
      </c>
      <c r="AN89" s="9"/>
      <c r="AO89" s="9"/>
      <c r="AP89" s="9"/>
      <c r="AQ89" s="9"/>
      <c r="AR89" s="8" t="s">
        <v>1218</v>
      </c>
      <c r="AS89" s="8" t="s">
        <v>1219</v>
      </c>
      <c r="AT89" s="9"/>
      <c r="AU89" s="8" t="s">
        <v>1220</v>
      </c>
      <c r="AV89" s="9"/>
      <c r="AW89" s="8" t="s">
        <v>1221</v>
      </c>
      <c r="AX89" s="8" t="s">
        <v>115</v>
      </c>
      <c r="AY89" s="8" t="s">
        <v>1174</v>
      </c>
      <c r="AZ89" s="8" t="b">
        <v>0</v>
      </c>
      <c r="BA89" s="8" t="s">
        <v>190</v>
      </c>
      <c r="BB89" s="8" t="s">
        <v>1222</v>
      </c>
      <c r="BC89" s="9"/>
      <c r="BD89" s="9"/>
      <c r="BE89" s="8" t="s">
        <v>1223</v>
      </c>
      <c r="BF89" s="9"/>
      <c r="BG89" s="9"/>
      <c r="BH89" s="9"/>
      <c r="BI89" s="8" t="s">
        <v>1224</v>
      </c>
      <c r="BJ89" s="8" t="s">
        <v>1225</v>
      </c>
      <c r="BK89" s="9"/>
      <c r="BL89" s="9"/>
      <c r="BM89" s="9"/>
      <c r="BN89" s="9"/>
      <c r="BO89" s="9"/>
      <c r="BP89" s="9"/>
      <c r="BQ89" s="9"/>
      <c r="BR89" s="8" t="s">
        <v>1226</v>
      </c>
      <c r="BS89" s="8" t="s">
        <v>194</v>
      </c>
      <c r="BT89" s="9"/>
      <c r="BU89" s="8" t="s">
        <v>1227</v>
      </c>
      <c r="BV89" s="9"/>
      <c r="BW89" s="9"/>
      <c r="BX89" s="9"/>
      <c r="BY89" s="9"/>
      <c r="BZ89" s="9"/>
      <c r="CA89" s="9"/>
      <c r="CB89" s="8" t="s">
        <v>1228</v>
      </c>
      <c r="CC89" s="9"/>
      <c r="CD89" s="9"/>
      <c r="CE89" s="8" t="s">
        <v>366</v>
      </c>
      <c r="CF89" s="9"/>
      <c r="CG89" s="9"/>
      <c r="CH89" s="9"/>
      <c r="CI89" s="9"/>
      <c r="CJ89" s="9"/>
      <c r="CK89" s="9"/>
      <c r="CL89" s="9"/>
      <c r="CM89" s="9"/>
      <c r="CN89" s="9"/>
      <c r="CO89" s="9"/>
      <c r="CP89" s="9"/>
    </row>
    <row r="90">
      <c r="A90" s="4" t="s">
        <v>1229</v>
      </c>
      <c r="B90" s="5" t="s">
        <v>1230</v>
      </c>
      <c r="C90" s="5" t="s">
        <v>1231</v>
      </c>
      <c r="D90" s="5" t="s">
        <v>94</v>
      </c>
      <c r="E90" s="5" t="s">
        <v>95</v>
      </c>
      <c r="F90" s="6"/>
      <c r="G90" s="5" t="s">
        <v>1232</v>
      </c>
      <c r="H90" s="5" t="s">
        <v>97</v>
      </c>
      <c r="I90" s="5" t="s">
        <v>653</v>
      </c>
      <c r="J90" s="5"/>
      <c r="K90" s="5"/>
      <c r="L90" s="5"/>
      <c r="M90" s="5" t="s">
        <v>1233</v>
      </c>
      <c r="N90" s="5" t="s">
        <v>100</v>
      </c>
      <c r="O90" s="5" t="s">
        <v>1234</v>
      </c>
      <c r="P90" s="5" t="s">
        <v>1235</v>
      </c>
      <c r="Q90" s="5" t="s">
        <v>1236</v>
      </c>
      <c r="R90" s="5"/>
      <c r="S90" s="5" t="s">
        <v>100</v>
      </c>
      <c r="T90" s="5" t="s">
        <v>100</v>
      </c>
      <c r="U90" s="5" t="s">
        <v>100</v>
      </c>
      <c r="V90" s="5" t="s">
        <v>100</v>
      </c>
      <c r="W90" s="5" t="s">
        <v>100</v>
      </c>
      <c r="X90" s="5" t="s">
        <v>100</v>
      </c>
      <c r="Y90" s="5" t="s">
        <v>1237</v>
      </c>
      <c r="Z90" s="5" t="s">
        <v>1238</v>
      </c>
      <c r="AA90" s="5"/>
      <c r="AB90" s="5" t="s">
        <v>100</v>
      </c>
      <c r="AC90" s="5" t="s">
        <v>100</v>
      </c>
      <c r="AD90" s="5" t="s">
        <v>100</v>
      </c>
      <c r="AE90" s="5" t="s">
        <v>100</v>
      </c>
      <c r="AF90" s="5" t="s">
        <v>100</v>
      </c>
      <c r="AG90" s="5" t="s">
        <v>100</v>
      </c>
      <c r="AH90" s="5" t="s">
        <v>100</v>
      </c>
      <c r="AI90" s="5" t="s">
        <v>1239</v>
      </c>
      <c r="AJ90" s="5" t="s">
        <v>1240</v>
      </c>
      <c r="AK90" s="5" t="s">
        <v>124</v>
      </c>
      <c r="AL90" s="5" t="s">
        <v>124</v>
      </c>
      <c r="AM90" s="5" t="s">
        <v>105</v>
      </c>
      <c r="AN90" s="5" t="s">
        <v>1241</v>
      </c>
      <c r="AO90" s="6"/>
      <c r="AP90" s="6"/>
      <c r="AQ90" s="6"/>
      <c r="AR90" s="6"/>
      <c r="AS90" s="6"/>
      <c r="AT90" s="6"/>
      <c r="AU90" s="5" t="s">
        <v>1242</v>
      </c>
      <c r="AV90" s="5" t="s">
        <v>108</v>
      </c>
      <c r="AW90" s="6"/>
      <c r="AX90" s="6"/>
      <c r="AY90" s="5" t="s">
        <v>1243</v>
      </c>
      <c r="AZ90" s="5" t="b">
        <v>0</v>
      </c>
      <c r="BA90" s="5" t="s">
        <v>110</v>
      </c>
      <c r="BB90" s="5" t="s">
        <v>773</v>
      </c>
      <c r="BC90" s="6"/>
      <c r="BD90" s="6"/>
      <c r="BE90" s="5" t="s">
        <v>1244</v>
      </c>
      <c r="BF90" s="6"/>
      <c r="BG90" s="6"/>
      <c r="BH90" s="6"/>
      <c r="BI90" s="6"/>
      <c r="BJ90" s="6"/>
      <c r="BK90" s="6"/>
      <c r="BL90" s="6"/>
      <c r="BM90" s="6"/>
      <c r="BN90" s="6"/>
      <c r="BO90" s="6"/>
      <c r="BP90" s="6"/>
      <c r="BQ90" s="6"/>
      <c r="BR90" s="6"/>
      <c r="BS90" s="6"/>
      <c r="BT90" s="6"/>
      <c r="BU90" s="6"/>
      <c r="BV90" s="6"/>
      <c r="BW90" s="6"/>
      <c r="BX90" s="6"/>
      <c r="BY90" s="6"/>
      <c r="BZ90" s="6"/>
      <c r="CA90" s="6"/>
      <c r="CB90" s="5" t="s">
        <v>665</v>
      </c>
      <c r="CC90" s="6"/>
      <c r="CD90" s="6"/>
      <c r="CE90" s="5" t="s">
        <v>115</v>
      </c>
      <c r="CF90" s="5" t="s">
        <v>1245</v>
      </c>
      <c r="CG90" s="6"/>
      <c r="CH90" s="6"/>
      <c r="CI90" s="6"/>
      <c r="CJ90" s="6"/>
      <c r="CK90" s="6"/>
      <c r="CL90" s="6"/>
      <c r="CM90" s="6"/>
      <c r="CN90" s="6"/>
      <c r="CO90" s="6"/>
      <c r="CP90" s="6"/>
    </row>
    <row r="91">
      <c r="A91" s="4" t="s">
        <v>1246</v>
      </c>
      <c r="B91" s="5" t="s">
        <v>1247</v>
      </c>
      <c r="C91" s="5" t="s">
        <v>1248</v>
      </c>
      <c r="D91" s="5" t="s">
        <v>94</v>
      </c>
      <c r="E91" s="5" t="s">
        <v>95</v>
      </c>
      <c r="F91" s="6"/>
      <c r="G91" s="5" t="s">
        <v>1249</v>
      </c>
      <c r="H91" s="5" t="s">
        <v>97</v>
      </c>
      <c r="I91" s="5" t="s">
        <v>653</v>
      </c>
      <c r="J91" s="5" t="s">
        <v>1250</v>
      </c>
      <c r="K91" s="5" t="s">
        <v>100</v>
      </c>
      <c r="L91" s="5"/>
      <c r="M91" s="5" t="s">
        <v>1251</v>
      </c>
      <c r="N91" s="5"/>
      <c r="O91" s="5"/>
      <c r="P91" s="5" t="s">
        <v>1252</v>
      </c>
      <c r="Q91" s="5" t="s">
        <v>1253</v>
      </c>
      <c r="R91" s="5" t="s">
        <v>100</v>
      </c>
      <c r="S91" s="5"/>
      <c r="T91" s="5"/>
      <c r="U91" s="5"/>
      <c r="V91" s="5"/>
      <c r="W91" s="5"/>
      <c r="X91" s="5" t="s">
        <v>100</v>
      </c>
      <c r="Y91" s="5" t="s">
        <v>100</v>
      </c>
      <c r="Z91" s="5"/>
      <c r="AA91" s="5" t="s">
        <v>100</v>
      </c>
      <c r="AB91" s="5"/>
      <c r="AC91" s="5"/>
      <c r="AD91" s="5"/>
      <c r="AE91" s="5"/>
      <c r="AF91" s="5"/>
      <c r="AG91" s="5" t="s">
        <v>100</v>
      </c>
      <c r="AH91" s="5" t="s">
        <v>100</v>
      </c>
      <c r="AI91" s="5" t="s">
        <v>1185</v>
      </c>
      <c r="AJ91" s="10" t="s">
        <v>1254</v>
      </c>
      <c r="AK91" s="5" t="s">
        <v>124</v>
      </c>
      <c r="AL91" s="5" t="s">
        <v>124</v>
      </c>
      <c r="AM91" s="5" t="s">
        <v>105</v>
      </c>
      <c r="AN91" s="5" t="s">
        <v>1255</v>
      </c>
      <c r="AO91" s="6"/>
      <c r="AP91" s="6"/>
      <c r="AQ91" s="6"/>
      <c r="AR91" s="6"/>
      <c r="AS91" s="6"/>
      <c r="AT91" s="6"/>
      <c r="AU91" s="5" t="s">
        <v>1256</v>
      </c>
      <c r="AV91" s="5" t="s">
        <v>108</v>
      </c>
      <c r="AW91" s="6"/>
      <c r="AX91" s="6"/>
      <c r="AY91" s="5" t="s">
        <v>1243</v>
      </c>
      <c r="AZ91" s="5" t="b">
        <v>0</v>
      </c>
      <c r="BA91" s="5" t="s">
        <v>110</v>
      </c>
      <c r="BB91" s="5" t="s">
        <v>277</v>
      </c>
      <c r="BC91" s="6"/>
      <c r="BD91" s="6"/>
      <c r="BE91" s="5" t="s">
        <v>1257</v>
      </c>
      <c r="BF91" s="6"/>
      <c r="BG91" s="6"/>
      <c r="BH91" s="6"/>
      <c r="BI91" s="6"/>
      <c r="BJ91" s="6"/>
      <c r="BK91" s="6"/>
      <c r="BL91" s="6"/>
      <c r="BM91" s="6"/>
      <c r="BN91" s="6"/>
      <c r="BO91" s="6"/>
      <c r="BP91" s="6"/>
      <c r="BQ91" s="6"/>
      <c r="BR91" s="6"/>
      <c r="BS91" s="6"/>
      <c r="BT91" s="6"/>
      <c r="BU91" s="6"/>
      <c r="BV91" s="6"/>
      <c r="BW91" s="6"/>
      <c r="BX91" s="6"/>
      <c r="BY91" s="6"/>
      <c r="BZ91" s="6"/>
      <c r="CA91" s="6"/>
      <c r="CB91" s="5" t="s">
        <v>665</v>
      </c>
      <c r="CC91" s="6"/>
      <c r="CD91" s="6"/>
      <c r="CE91" s="5" t="s">
        <v>115</v>
      </c>
      <c r="CF91" s="5" t="s">
        <v>1258</v>
      </c>
      <c r="CG91" s="6"/>
      <c r="CH91" s="6"/>
      <c r="CI91" s="6"/>
      <c r="CJ91" s="6"/>
      <c r="CK91" s="6"/>
      <c r="CL91" s="6"/>
      <c r="CM91" s="6"/>
      <c r="CN91" s="6"/>
      <c r="CO91" s="6"/>
      <c r="CP91" s="6"/>
    </row>
    <row r="92">
      <c r="A92" s="7" t="s">
        <v>1259</v>
      </c>
      <c r="B92" s="8" t="s">
        <v>1260</v>
      </c>
      <c r="C92" s="8" t="s">
        <v>1260</v>
      </c>
      <c r="D92" s="8" t="s">
        <v>354</v>
      </c>
      <c r="E92" s="8" t="s">
        <v>355</v>
      </c>
      <c r="F92" s="9"/>
      <c r="G92" s="8" t="s">
        <v>1261</v>
      </c>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t="str">
        <f>CONCATENATE(J92,K92,L92,Q92,R92,X92,Y92,AA92,AG92)</f>
        <v/>
      </c>
      <c r="AK92" s="8"/>
      <c r="AL92" s="8"/>
      <c r="AM92" s="8" t="s">
        <v>1217</v>
      </c>
      <c r="AN92" s="9"/>
      <c r="AO92" s="9"/>
      <c r="AP92" s="9"/>
      <c r="AQ92" s="9"/>
      <c r="AR92" s="8" t="s">
        <v>1218</v>
      </c>
      <c r="AS92" s="8" t="s">
        <v>1219</v>
      </c>
      <c r="AT92" s="9"/>
      <c r="AU92" s="8" t="s">
        <v>1262</v>
      </c>
      <c r="AV92" s="9"/>
      <c r="AW92" s="8" t="s">
        <v>1263</v>
      </c>
      <c r="AX92" s="8" t="s">
        <v>115</v>
      </c>
      <c r="AY92" s="8" t="s">
        <v>1243</v>
      </c>
      <c r="AZ92" s="8" t="b">
        <v>0</v>
      </c>
      <c r="BA92" s="8" t="s">
        <v>190</v>
      </c>
      <c r="BB92" s="8" t="s">
        <v>1222</v>
      </c>
      <c r="BC92" s="9"/>
      <c r="BD92" s="9"/>
      <c r="BE92" s="8" t="s">
        <v>1264</v>
      </c>
      <c r="BF92" s="9"/>
      <c r="BG92" s="9"/>
      <c r="BH92" s="9"/>
      <c r="BI92" s="8" t="s">
        <v>1265</v>
      </c>
      <c r="BJ92" s="8" t="s">
        <v>1266</v>
      </c>
      <c r="BK92" s="9"/>
      <c r="BL92" s="9"/>
      <c r="BM92" s="9"/>
      <c r="BN92" s="9"/>
      <c r="BO92" s="9"/>
      <c r="BP92" s="9"/>
      <c r="BQ92" s="9"/>
      <c r="BR92" s="8" t="s">
        <v>193</v>
      </c>
      <c r="BS92" s="8" t="s">
        <v>1267</v>
      </c>
      <c r="BT92" s="9"/>
      <c r="BU92" s="9"/>
      <c r="BV92" s="9"/>
      <c r="BW92" s="9"/>
      <c r="BX92" s="9"/>
      <c r="BY92" s="9"/>
      <c r="BZ92" s="9"/>
      <c r="CA92" s="9"/>
      <c r="CB92" s="8" t="s">
        <v>1268</v>
      </c>
      <c r="CC92" s="9"/>
      <c r="CD92" s="9"/>
      <c r="CE92" s="8" t="s">
        <v>366</v>
      </c>
      <c r="CF92" s="9"/>
      <c r="CG92" s="9"/>
      <c r="CH92" s="9"/>
      <c r="CI92" s="9"/>
      <c r="CJ92" s="9"/>
      <c r="CK92" s="9"/>
      <c r="CL92" s="9"/>
      <c r="CM92" s="9"/>
      <c r="CN92" s="9"/>
      <c r="CO92" s="9"/>
      <c r="CP92" s="9"/>
    </row>
    <row r="93">
      <c r="A93" s="4" t="s">
        <v>1269</v>
      </c>
      <c r="B93" s="5" t="s">
        <v>1270</v>
      </c>
      <c r="C93" s="5" t="s">
        <v>1271</v>
      </c>
      <c r="D93" s="5" t="s">
        <v>94</v>
      </c>
      <c r="E93" s="5" t="s">
        <v>95</v>
      </c>
      <c r="F93" s="6"/>
      <c r="G93" s="5" t="s">
        <v>1272</v>
      </c>
      <c r="H93" s="5" t="s">
        <v>97</v>
      </c>
      <c r="I93" s="5" t="s">
        <v>653</v>
      </c>
      <c r="J93" s="5" t="s">
        <v>1273</v>
      </c>
      <c r="K93" s="5" t="s">
        <v>100</v>
      </c>
      <c r="L93" s="5" t="s">
        <v>1274</v>
      </c>
      <c r="M93" s="5"/>
      <c r="N93" s="5"/>
      <c r="O93" s="5"/>
      <c r="P93" s="5"/>
      <c r="Q93" s="5" t="s">
        <v>1275</v>
      </c>
      <c r="R93" s="5" t="s">
        <v>100</v>
      </c>
      <c r="S93" s="5"/>
      <c r="T93" s="5"/>
      <c r="U93" s="5"/>
      <c r="V93" s="5"/>
      <c r="W93" s="5"/>
      <c r="X93" s="5" t="s">
        <v>100</v>
      </c>
      <c r="Y93" s="5" t="s">
        <v>100</v>
      </c>
      <c r="Z93" s="5"/>
      <c r="AA93" s="5" t="s">
        <v>100</v>
      </c>
      <c r="AB93" s="5"/>
      <c r="AC93" s="5"/>
      <c r="AD93" s="5"/>
      <c r="AE93" s="5"/>
      <c r="AF93" s="5"/>
      <c r="AG93" s="5" t="s">
        <v>100</v>
      </c>
      <c r="AH93" s="5" t="s">
        <v>100</v>
      </c>
      <c r="AI93" s="5" t="s">
        <v>1276</v>
      </c>
      <c r="AJ93" s="10" t="s">
        <v>1277</v>
      </c>
      <c r="AK93" s="5" t="s">
        <v>124</v>
      </c>
      <c r="AL93" s="5" t="s">
        <v>124</v>
      </c>
      <c r="AM93" s="5" t="s">
        <v>105</v>
      </c>
      <c r="AN93" s="5" t="s">
        <v>1278</v>
      </c>
      <c r="AO93" s="6"/>
      <c r="AP93" s="6"/>
      <c r="AQ93" s="6"/>
      <c r="AR93" s="6"/>
      <c r="AS93" s="6"/>
      <c r="AT93" s="6"/>
      <c r="AU93" s="5" t="s">
        <v>1279</v>
      </c>
      <c r="AV93" s="5" t="s">
        <v>108</v>
      </c>
      <c r="AW93" s="6"/>
      <c r="AX93" s="6"/>
      <c r="AY93" s="5" t="s">
        <v>1280</v>
      </c>
      <c r="AZ93" s="5" t="b">
        <v>0</v>
      </c>
      <c r="BA93" s="5" t="s">
        <v>110</v>
      </c>
      <c r="BB93" s="5" t="s">
        <v>277</v>
      </c>
      <c r="BC93" s="6"/>
      <c r="BD93" s="6"/>
      <c r="BE93" s="5" t="s">
        <v>1281</v>
      </c>
      <c r="BF93" s="6"/>
      <c r="BG93" s="6"/>
      <c r="BH93" s="6"/>
      <c r="BI93" s="6"/>
      <c r="BJ93" s="6"/>
      <c r="BK93" s="6"/>
      <c r="BL93" s="6"/>
      <c r="BM93" s="6"/>
      <c r="BN93" s="6"/>
      <c r="BO93" s="6"/>
      <c r="BP93" s="6"/>
      <c r="BQ93" s="6"/>
      <c r="BR93" s="6"/>
      <c r="BS93" s="6"/>
      <c r="BT93" s="6"/>
      <c r="BU93" s="6"/>
      <c r="BV93" s="6"/>
      <c r="BW93" s="6"/>
      <c r="BX93" s="6"/>
      <c r="BY93" s="6"/>
      <c r="BZ93" s="6"/>
      <c r="CA93" s="6"/>
      <c r="CB93" s="5" t="s">
        <v>665</v>
      </c>
      <c r="CC93" s="6"/>
      <c r="CD93" s="6"/>
      <c r="CE93" s="5" t="s">
        <v>115</v>
      </c>
      <c r="CF93" s="5" t="s">
        <v>1282</v>
      </c>
      <c r="CG93" s="6"/>
      <c r="CH93" s="6"/>
      <c r="CI93" s="6"/>
      <c r="CJ93" s="6"/>
      <c r="CK93" s="6"/>
      <c r="CL93" s="6"/>
      <c r="CM93" s="6"/>
      <c r="CN93" s="6"/>
      <c r="CO93" s="6"/>
      <c r="CP93" s="6"/>
    </row>
    <row r="94">
      <c r="A94" s="7" t="s">
        <v>1283</v>
      </c>
      <c r="B94" s="8" t="s">
        <v>1284</v>
      </c>
      <c r="C94" s="8" t="s">
        <v>1284</v>
      </c>
      <c r="D94" s="8" t="s">
        <v>354</v>
      </c>
      <c r="E94" s="8" t="s">
        <v>355</v>
      </c>
      <c r="F94" s="9"/>
      <c r="G94" s="8" t="s">
        <v>1285</v>
      </c>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t="str">
        <f t="shared" ref="AJ94:AJ96" si="12">CONCATENATE(J94,K94,L94,Q94,R94,X94,Y94,AA94,AG94)</f>
        <v/>
      </c>
      <c r="AK94" s="8"/>
      <c r="AL94" s="8"/>
      <c r="AM94" s="8" t="s">
        <v>1286</v>
      </c>
      <c r="AN94" s="9"/>
      <c r="AO94" s="9"/>
      <c r="AP94" s="9"/>
      <c r="AQ94" s="9"/>
      <c r="AR94" s="9"/>
      <c r="AS94" s="9"/>
      <c r="AT94" s="9"/>
      <c r="AU94" s="8" t="s">
        <v>1287</v>
      </c>
      <c r="AV94" s="9"/>
      <c r="AW94" s="8" t="s">
        <v>1288</v>
      </c>
      <c r="AX94" s="8" t="s">
        <v>115</v>
      </c>
      <c r="AY94" s="8" t="s">
        <v>1280</v>
      </c>
      <c r="AZ94" s="8" t="b">
        <v>0</v>
      </c>
      <c r="BA94" s="8" t="s">
        <v>190</v>
      </c>
      <c r="BB94" s="8" t="s">
        <v>1222</v>
      </c>
      <c r="BC94" s="9"/>
      <c r="BD94" s="9"/>
      <c r="BE94" s="8" t="s">
        <v>361</v>
      </c>
      <c r="BF94" s="9"/>
      <c r="BG94" s="9"/>
      <c r="BH94" s="9"/>
      <c r="BI94" s="8" t="s">
        <v>861</v>
      </c>
      <c r="BJ94" s="8" t="s">
        <v>1289</v>
      </c>
      <c r="BK94" s="9"/>
      <c r="BL94" s="9"/>
      <c r="BM94" s="9"/>
      <c r="BN94" s="9"/>
      <c r="BO94" s="9"/>
      <c r="BP94" s="9"/>
      <c r="BQ94" s="9"/>
      <c r="BR94" s="8" t="s">
        <v>193</v>
      </c>
      <c r="BS94" s="8" t="s">
        <v>194</v>
      </c>
      <c r="BT94" s="9"/>
      <c r="BU94" s="9"/>
      <c r="BV94" s="8" t="s">
        <v>1290</v>
      </c>
      <c r="BW94" s="9"/>
      <c r="BX94" s="9"/>
      <c r="BY94" s="9"/>
      <c r="BZ94" s="9"/>
      <c r="CA94" s="9"/>
      <c r="CB94" s="8" t="s">
        <v>1268</v>
      </c>
      <c r="CC94" s="9"/>
      <c r="CD94" s="9"/>
      <c r="CE94" s="8" t="s">
        <v>366</v>
      </c>
      <c r="CF94" s="9"/>
      <c r="CG94" s="9"/>
      <c r="CH94" s="9"/>
      <c r="CI94" s="9"/>
      <c r="CJ94" s="9"/>
      <c r="CK94" s="9"/>
      <c r="CL94" s="9"/>
      <c r="CM94" s="9"/>
      <c r="CN94" s="9"/>
      <c r="CO94" s="9"/>
      <c r="CP94" s="9"/>
    </row>
    <row r="95">
      <c r="A95" s="7" t="s">
        <v>1291</v>
      </c>
      <c r="B95" s="8" t="s">
        <v>1292</v>
      </c>
      <c r="C95" s="8" t="s">
        <v>1292</v>
      </c>
      <c r="D95" s="8" t="s">
        <v>354</v>
      </c>
      <c r="E95" s="8" t="s">
        <v>355</v>
      </c>
      <c r="F95" s="9"/>
      <c r="G95" s="8" t="s">
        <v>1293</v>
      </c>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t="str">
        <f t="shared" si="12"/>
        <v/>
      </c>
      <c r="AK95" s="8"/>
      <c r="AL95" s="8"/>
      <c r="AM95" s="8" t="s">
        <v>1217</v>
      </c>
      <c r="AN95" s="9"/>
      <c r="AO95" s="9"/>
      <c r="AP95" s="9"/>
      <c r="AQ95" s="9"/>
      <c r="AR95" s="8" t="s">
        <v>1218</v>
      </c>
      <c r="AS95" s="8" t="s">
        <v>1219</v>
      </c>
      <c r="AT95" s="9"/>
      <c r="AU95" s="8" t="s">
        <v>1294</v>
      </c>
      <c r="AV95" s="9"/>
      <c r="AW95" s="8" t="s">
        <v>1288</v>
      </c>
      <c r="AX95" s="8" t="s">
        <v>115</v>
      </c>
      <c r="AY95" s="8" t="s">
        <v>1280</v>
      </c>
      <c r="AZ95" s="8" t="b">
        <v>0</v>
      </c>
      <c r="BA95" s="8" t="s">
        <v>190</v>
      </c>
      <c r="BB95" s="8" t="s">
        <v>1222</v>
      </c>
      <c r="BC95" s="9"/>
      <c r="BD95" s="9"/>
      <c r="BE95" s="8" t="s">
        <v>1295</v>
      </c>
      <c r="BF95" s="9"/>
      <c r="BG95" s="9"/>
      <c r="BH95" s="9"/>
      <c r="BI95" s="8" t="s">
        <v>1296</v>
      </c>
      <c r="BJ95" s="8" t="s">
        <v>1297</v>
      </c>
      <c r="BK95" s="9"/>
      <c r="BL95" s="9"/>
      <c r="BM95" s="9"/>
      <c r="BN95" s="9"/>
      <c r="BO95" s="9"/>
      <c r="BP95" s="9"/>
      <c r="BQ95" s="9"/>
      <c r="BR95" s="8" t="s">
        <v>193</v>
      </c>
      <c r="BS95" s="8" t="s">
        <v>194</v>
      </c>
      <c r="BT95" s="9"/>
      <c r="BU95" s="9"/>
      <c r="BV95" s="8" t="s">
        <v>1290</v>
      </c>
      <c r="BW95" s="9"/>
      <c r="BX95" s="9"/>
      <c r="BY95" s="9"/>
      <c r="BZ95" s="9"/>
      <c r="CA95" s="9"/>
      <c r="CB95" s="8" t="s">
        <v>1268</v>
      </c>
      <c r="CC95" s="9"/>
      <c r="CD95" s="9"/>
      <c r="CE95" s="8" t="s">
        <v>366</v>
      </c>
      <c r="CF95" s="9"/>
      <c r="CG95" s="9"/>
      <c r="CH95" s="9"/>
      <c r="CI95" s="9"/>
      <c r="CJ95" s="9"/>
      <c r="CK95" s="9"/>
      <c r="CL95" s="9"/>
      <c r="CM95" s="9"/>
      <c r="CN95" s="9"/>
      <c r="CO95" s="9"/>
      <c r="CP95" s="9"/>
    </row>
    <row r="96">
      <c r="A96" s="7" t="s">
        <v>1298</v>
      </c>
      <c r="B96" s="8" t="s">
        <v>1299</v>
      </c>
      <c r="C96" s="8" t="s">
        <v>1299</v>
      </c>
      <c r="D96" s="8" t="s">
        <v>354</v>
      </c>
      <c r="E96" s="8" t="s">
        <v>355</v>
      </c>
      <c r="F96" s="9"/>
      <c r="G96" s="8" t="s">
        <v>1300</v>
      </c>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t="str">
        <f t="shared" si="12"/>
        <v/>
      </c>
      <c r="AK96" s="8"/>
      <c r="AL96" s="8"/>
      <c r="AM96" s="8" t="s">
        <v>1217</v>
      </c>
      <c r="AN96" s="9"/>
      <c r="AO96" s="9"/>
      <c r="AP96" s="9"/>
      <c r="AQ96" s="9"/>
      <c r="AR96" s="8" t="s">
        <v>1218</v>
      </c>
      <c r="AS96" s="8" t="s">
        <v>1219</v>
      </c>
      <c r="AT96" s="9"/>
      <c r="AU96" s="8" t="s">
        <v>1301</v>
      </c>
      <c r="AV96" s="9"/>
      <c r="AW96" s="8" t="s">
        <v>1288</v>
      </c>
      <c r="AX96" s="8" t="s">
        <v>115</v>
      </c>
      <c r="AY96" s="8" t="s">
        <v>1280</v>
      </c>
      <c r="AZ96" s="8" t="b">
        <v>0</v>
      </c>
      <c r="BA96" s="8" t="s">
        <v>190</v>
      </c>
      <c r="BB96" s="8" t="s">
        <v>1222</v>
      </c>
      <c r="BC96" s="9"/>
      <c r="BD96" s="9"/>
      <c r="BE96" s="8" t="s">
        <v>1302</v>
      </c>
      <c r="BF96" s="9"/>
      <c r="BG96" s="9"/>
      <c r="BH96" s="9"/>
      <c r="BI96" s="8" t="s">
        <v>1303</v>
      </c>
      <c r="BJ96" s="8" t="s">
        <v>1304</v>
      </c>
      <c r="BK96" s="9"/>
      <c r="BL96" s="9"/>
      <c r="BM96" s="9"/>
      <c r="BN96" s="9"/>
      <c r="BO96" s="9"/>
      <c r="BP96" s="9"/>
      <c r="BQ96" s="9"/>
      <c r="BR96" s="8" t="s">
        <v>193</v>
      </c>
      <c r="BS96" s="8" t="s">
        <v>1305</v>
      </c>
      <c r="BT96" s="9"/>
      <c r="BU96" s="9"/>
      <c r="BV96" s="9"/>
      <c r="BW96" s="9"/>
      <c r="BX96" s="9"/>
      <c r="BY96" s="9"/>
      <c r="BZ96" s="9"/>
      <c r="CA96" s="9"/>
      <c r="CB96" s="8" t="s">
        <v>1268</v>
      </c>
      <c r="CC96" s="9"/>
      <c r="CD96" s="9"/>
      <c r="CE96" s="8" t="s">
        <v>366</v>
      </c>
      <c r="CF96" s="9"/>
      <c r="CG96" s="9"/>
      <c r="CH96" s="9"/>
      <c r="CI96" s="9"/>
      <c r="CJ96" s="9"/>
      <c r="CK96" s="9"/>
      <c r="CL96" s="9"/>
      <c r="CM96" s="9"/>
      <c r="CN96" s="9"/>
      <c r="CO96" s="9"/>
      <c r="CP96" s="9"/>
    </row>
    <row r="97">
      <c r="A97" s="4" t="s">
        <v>1306</v>
      </c>
      <c r="B97" s="5" t="s">
        <v>1307</v>
      </c>
      <c r="C97" s="5" t="s">
        <v>1308</v>
      </c>
      <c r="D97" s="5" t="s">
        <v>94</v>
      </c>
      <c r="E97" s="5" t="s">
        <v>95</v>
      </c>
      <c r="F97" s="6"/>
      <c r="G97" s="5" t="s">
        <v>1309</v>
      </c>
      <c r="H97" s="5" t="s">
        <v>97</v>
      </c>
      <c r="I97" s="5" t="s">
        <v>653</v>
      </c>
      <c r="J97" s="5" t="s">
        <v>1310</v>
      </c>
      <c r="K97" s="5"/>
      <c r="L97" s="5" t="s">
        <v>1311</v>
      </c>
      <c r="M97" s="5"/>
      <c r="N97" s="5"/>
      <c r="O97" s="5"/>
      <c r="P97" s="5"/>
      <c r="Q97" s="5" t="s">
        <v>1312</v>
      </c>
      <c r="R97" s="5" t="s">
        <v>100</v>
      </c>
      <c r="S97" s="5"/>
      <c r="T97" s="5"/>
      <c r="U97" s="5"/>
      <c r="V97" s="5"/>
      <c r="W97" s="5"/>
      <c r="X97" s="5"/>
      <c r="Y97" s="5"/>
      <c r="Z97" s="5"/>
      <c r="AA97" s="5"/>
      <c r="AB97" s="5"/>
      <c r="AC97" s="5"/>
      <c r="AD97" s="5"/>
      <c r="AE97" s="5"/>
      <c r="AF97" s="5"/>
      <c r="AG97" s="5"/>
      <c r="AH97" s="5"/>
      <c r="AI97" s="10"/>
      <c r="AJ97" s="10" t="s">
        <v>1313</v>
      </c>
      <c r="AK97" s="5" t="s">
        <v>124</v>
      </c>
      <c r="AL97" s="5" t="s">
        <v>124</v>
      </c>
      <c r="AM97" s="5" t="s">
        <v>105</v>
      </c>
      <c r="AN97" s="5" t="s">
        <v>1314</v>
      </c>
      <c r="AO97" s="6"/>
      <c r="AP97" s="6"/>
      <c r="AQ97" s="6"/>
      <c r="AR97" s="6"/>
      <c r="AS97" s="6"/>
      <c r="AT97" s="6"/>
      <c r="AU97" s="5" t="s">
        <v>1315</v>
      </c>
      <c r="AV97" s="5" t="s">
        <v>108</v>
      </c>
      <c r="AW97" s="6"/>
      <c r="AX97" s="6"/>
      <c r="AY97" s="5" t="s">
        <v>1316</v>
      </c>
      <c r="AZ97" s="5" t="b">
        <v>0</v>
      </c>
      <c r="BA97" s="5" t="s">
        <v>110</v>
      </c>
      <c r="BB97" s="5" t="s">
        <v>277</v>
      </c>
      <c r="BC97" s="6"/>
      <c r="BD97" s="6"/>
      <c r="BE97" s="5" t="s">
        <v>1317</v>
      </c>
      <c r="BF97" s="6"/>
      <c r="BG97" s="6"/>
      <c r="BH97" s="6"/>
      <c r="BI97" s="6"/>
      <c r="BJ97" s="6"/>
      <c r="BK97" s="6"/>
      <c r="BL97" s="6"/>
      <c r="BM97" s="6"/>
      <c r="BN97" s="6"/>
      <c r="BO97" s="6"/>
      <c r="BP97" s="6"/>
      <c r="BQ97" s="6"/>
      <c r="BR97" s="6"/>
      <c r="BS97" s="6"/>
      <c r="BT97" s="6"/>
      <c r="BU97" s="6"/>
      <c r="BV97" s="6"/>
      <c r="BW97" s="6"/>
      <c r="BX97" s="6"/>
      <c r="BY97" s="6"/>
      <c r="BZ97" s="6"/>
      <c r="CA97" s="6"/>
      <c r="CB97" s="5" t="s">
        <v>665</v>
      </c>
      <c r="CC97" s="6"/>
      <c r="CD97" s="6"/>
      <c r="CE97" s="5" t="s">
        <v>115</v>
      </c>
      <c r="CF97" s="5" t="s">
        <v>1318</v>
      </c>
      <c r="CG97" s="6"/>
      <c r="CH97" s="6"/>
      <c r="CI97" s="6"/>
      <c r="CJ97" s="6"/>
      <c r="CK97" s="6"/>
      <c r="CL97" s="6"/>
      <c r="CM97" s="6"/>
      <c r="CN97" s="6"/>
      <c r="CO97" s="6"/>
      <c r="CP97" s="6"/>
    </row>
    <row r="98">
      <c r="A98" s="7" t="s">
        <v>1319</v>
      </c>
      <c r="B98" s="8" t="s">
        <v>1320</v>
      </c>
      <c r="C98" s="8" t="s">
        <v>1320</v>
      </c>
      <c r="D98" s="8" t="s">
        <v>354</v>
      </c>
      <c r="E98" s="8" t="s">
        <v>355</v>
      </c>
      <c r="F98" s="9"/>
      <c r="G98" s="8" t="s">
        <v>1321</v>
      </c>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t="str">
        <f>CONCATENATE(J98,K98,L98,Q98,R98,X98,Y98,AA98,AG98)</f>
        <v/>
      </c>
      <c r="AK98" s="8"/>
      <c r="AL98" s="8"/>
      <c r="AM98" s="8" t="s">
        <v>1217</v>
      </c>
      <c r="AN98" s="9"/>
      <c r="AO98" s="9"/>
      <c r="AP98" s="9"/>
      <c r="AQ98" s="9"/>
      <c r="AR98" s="8" t="s">
        <v>1218</v>
      </c>
      <c r="AS98" s="8" t="s">
        <v>1219</v>
      </c>
      <c r="AT98" s="9"/>
      <c r="AU98" s="8" t="s">
        <v>1322</v>
      </c>
      <c r="AV98" s="9"/>
      <c r="AW98" s="8" t="s">
        <v>1127</v>
      </c>
      <c r="AX98" s="8" t="s">
        <v>197</v>
      </c>
      <c r="AY98" s="8" t="s">
        <v>1316</v>
      </c>
      <c r="AZ98" s="8" t="b">
        <v>0</v>
      </c>
      <c r="BA98" s="8" t="s">
        <v>190</v>
      </c>
      <c r="BB98" s="8" t="s">
        <v>1222</v>
      </c>
      <c r="BC98" s="9"/>
      <c r="BD98" s="9"/>
      <c r="BE98" s="8" t="s">
        <v>1264</v>
      </c>
      <c r="BF98" s="9"/>
      <c r="BG98" s="9"/>
      <c r="BH98" s="9"/>
      <c r="BI98" s="8" t="s">
        <v>786</v>
      </c>
      <c r="BJ98" s="8" t="s">
        <v>1323</v>
      </c>
      <c r="BK98" s="9"/>
      <c r="BL98" s="9"/>
      <c r="BM98" s="9"/>
      <c r="BN98" s="9"/>
      <c r="BO98" s="9"/>
      <c r="BP98" s="9"/>
      <c r="BQ98" s="9"/>
      <c r="BR98" s="8" t="s">
        <v>193</v>
      </c>
      <c r="BS98" s="8" t="s">
        <v>1324</v>
      </c>
      <c r="BT98" s="9"/>
      <c r="BU98" s="9"/>
      <c r="BV98" s="9"/>
      <c r="BW98" s="9"/>
      <c r="BX98" s="9"/>
      <c r="BY98" s="9"/>
      <c r="BZ98" s="9"/>
      <c r="CA98" s="9"/>
      <c r="CB98" s="8" t="s">
        <v>1268</v>
      </c>
      <c r="CC98" s="9"/>
      <c r="CD98" s="9"/>
      <c r="CE98" s="8" t="s">
        <v>366</v>
      </c>
      <c r="CF98" s="9"/>
      <c r="CG98" s="9"/>
      <c r="CH98" s="9"/>
      <c r="CI98" s="9"/>
      <c r="CJ98" s="9"/>
      <c r="CK98" s="9"/>
      <c r="CL98" s="9"/>
      <c r="CM98" s="9"/>
      <c r="CN98" s="9"/>
      <c r="CO98" s="9"/>
      <c r="CP98" s="9"/>
    </row>
    <row r="99">
      <c r="A99" s="4" t="s">
        <v>1325</v>
      </c>
      <c r="B99" s="5" t="s">
        <v>1326</v>
      </c>
      <c r="C99" s="5" t="s">
        <v>1327</v>
      </c>
      <c r="D99" s="5" t="s">
        <v>94</v>
      </c>
      <c r="E99" s="5" t="s">
        <v>95</v>
      </c>
      <c r="F99" s="6"/>
      <c r="G99" s="5" t="s">
        <v>1328</v>
      </c>
      <c r="H99" s="5" t="s">
        <v>97</v>
      </c>
      <c r="I99" s="5" t="s">
        <v>1329</v>
      </c>
      <c r="J99" s="5"/>
      <c r="K99" s="5"/>
      <c r="L99" s="5"/>
      <c r="M99" s="5" t="s">
        <v>1330</v>
      </c>
      <c r="N99" s="5" t="s">
        <v>100</v>
      </c>
      <c r="O99" s="5" t="s">
        <v>1331</v>
      </c>
      <c r="P99" s="5" t="s">
        <v>1332</v>
      </c>
      <c r="Q99" s="5"/>
      <c r="R99" s="5"/>
      <c r="S99" s="5" t="s">
        <v>100</v>
      </c>
      <c r="T99" s="5" t="s">
        <v>100</v>
      </c>
      <c r="U99" s="5" t="s">
        <v>100</v>
      </c>
      <c r="V99" s="5" t="s">
        <v>100</v>
      </c>
      <c r="W99" s="5" t="s">
        <v>100</v>
      </c>
      <c r="X99" s="5" t="s">
        <v>100</v>
      </c>
      <c r="Y99" s="5" t="s">
        <v>1333</v>
      </c>
      <c r="Z99" s="5" t="s">
        <v>100</v>
      </c>
      <c r="AA99" s="5"/>
      <c r="AB99" s="5" t="s">
        <v>100</v>
      </c>
      <c r="AC99" s="5" t="s">
        <v>100</v>
      </c>
      <c r="AD99" s="5" t="s">
        <v>100</v>
      </c>
      <c r="AE99" s="5" t="s">
        <v>100</v>
      </c>
      <c r="AF99" s="5" t="s">
        <v>100</v>
      </c>
      <c r="AG99" s="5" t="s">
        <v>100</v>
      </c>
      <c r="AH99" s="5" t="s">
        <v>100</v>
      </c>
      <c r="AI99" s="5" t="s">
        <v>1334</v>
      </c>
      <c r="AJ99" s="5" t="s">
        <v>1335</v>
      </c>
      <c r="AK99" s="5" t="s">
        <v>124</v>
      </c>
      <c r="AL99" s="5" t="s">
        <v>124</v>
      </c>
      <c r="AM99" s="5" t="s">
        <v>105</v>
      </c>
      <c r="AN99" s="5" t="s">
        <v>1336</v>
      </c>
      <c r="AO99" s="6"/>
      <c r="AP99" s="6"/>
      <c r="AQ99" s="6"/>
      <c r="AR99" s="6"/>
      <c r="AS99" s="6"/>
      <c r="AT99" s="6"/>
      <c r="AU99" s="5" t="s">
        <v>1337</v>
      </c>
      <c r="AV99" s="5" t="s">
        <v>108</v>
      </c>
      <c r="AW99" s="6"/>
      <c r="AX99" s="6"/>
      <c r="AY99" s="5" t="s">
        <v>1338</v>
      </c>
      <c r="AZ99" s="5" t="b">
        <v>0</v>
      </c>
      <c r="BA99" s="5" t="s">
        <v>110</v>
      </c>
      <c r="BB99" s="5" t="s">
        <v>773</v>
      </c>
      <c r="BC99" s="6"/>
      <c r="BD99" s="6"/>
      <c r="BE99" s="5" t="s">
        <v>1339</v>
      </c>
      <c r="BF99" s="6"/>
      <c r="BG99" s="6"/>
      <c r="BH99" s="6"/>
      <c r="BI99" s="6"/>
      <c r="BJ99" s="6"/>
      <c r="BK99" s="6"/>
      <c r="BL99" s="6"/>
      <c r="BM99" s="6"/>
      <c r="BN99" s="6"/>
      <c r="BO99" s="6"/>
      <c r="BP99" s="6"/>
      <c r="BQ99" s="6"/>
      <c r="BR99" s="6"/>
      <c r="BS99" s="6"/>
      <c r="BT99" s="6"/>
      <c r="BU99" s="6"/>
      <c r="BV99" s="6"/>
      <c r="BW99" s="6"/>
      <c r="BX99" s="6"/>
      <c r="BY99" s="6"/>
      <c r="BZ99" s="6"/>
      <c r="CA99" s="6"/>
      <c r="CB99" s="5" t="s">
        <v>665</v>
      </c>
      <c r="CC99" s="6"/>
      <c r="CD99" s="6"/>
      <c r="CE99" s="5" t="s">
        <v>115</v>
      </c>
      <c r="CF99" s="5" t="s">
        <v>1340</v>
      </c>
      <c r="CG99" s="6"/>
      <c r="CH99" s="6"/>
      <c r="CI99" s="6"/>
      <c r="CJ99" s="6"/>
      <c r="CK99" s="6"/>
      <c r="CL99" s="6"/>
      <c r="CM99" s="6"/>
      <c r="CN99" s="6"/>
      <c r="CO99" s="6"/>
      <c r="CP99" s="6"/>
    </row>
    <row r="100">
      <c r="A100" s="4" t="s">
        <v>1341</v>
      </c>
      <c r="B100" s="5" t="s">
        <v>1342</v>
      </c>
      <c r="C100" s="5" t="s">
        <v>1343</v>
      </c>
      <c r="D100" s="5" t="s">
        <v>94</v>
      </c>
      <c r="E100" s="5" t="s">
        <v>95</v>
      </c>
      <c r="F100" s="6"/>
      <c r="G100" s="5" t="s">
        <v>1344</v>
      </c>
      <c r="H100" s="5" t="s">
        <v>97</v>
      </c>
      <c r="I100" s="5" t="s">
        <v>653</v>
      </c>
      <c r="J100" s="5" t="s">
        <v>1345</v>
      </c>
      <c r="K100" s="5"/>
      <c r="L100" s="5" t="s">
        <v>1346</v>
      </c>
      <c r="M100" s="5"/>
      <c r="N100" s="5"/>
      <c r="O100" s="5"/>
      <c r="P100" s="5"/>
      <c r="Q100" s="5" t="s">
        <v>1347</v>
      </c>
      <c r="R100" s="5"/>
      <c r="S100" s="5"/>
      <c r="T100" s="5"/>
      <c r="U100" s="5"/>
      <c r="V100" s="5"/>
      <c r="W100" s="5"/>
      <c r="X100" s="5"/>
      <c r="Y100" s="5"/>
      <c r="Z100" s="5"/>
      <c r="AA100" s="5"/>
      <c r="AB100" s="5"/>
      <c r="AC100" s="5"/>
      <c r="AD100" s="5"/>
      <c r="AE100" s="5"/>
      <c r="AF100" s="5"/>
      <c r="AG100" s="5"/>
      <c r="AH100" s="5"/>
      <c r="AI100" s="5"/>
      <c r="AJ100" s="5" t="str">
        <f>CONCATENATE(J100, L100, Q100)</f>
        <v>100, 101, 103, 104, 105, 106, 107, 108, 110, 111, 112, 113, 114, 115, 116, 117, 118, 119, 120, 121, 122, 123, 124, 125, 126, 127, 128, 129, 130, 131, 132, 133, 135, 138, 139, 140, 141, 142, 143, 144, 145, 146, 147, 148, 149, 150, 151, 154, 155, 156, 157, 158, 159, 160, 161, 162, 163, 164, 165, 166, 167, 168, 169, 170, 171, 172, 174, 175, 176, 177, 178, 181, 182, 184, 185, 188, 189, 190, 191, 192, 194, 195, 196, 197, 199, 200, 201, 203, 204, 205, 207, 208, 209, 210, 213, 215, 216, 219, 220, 222, 223, 224, 225, 226, 228, 229, 23, 230, 231, 232, 233, 234, 235, 237, 238, 24, 240, 242, 243, 244, 245, 246, 247, 248, 249, 25, 250, 251, 252, 253, 255, 256, 257, 258, 259, 26, 260, 261, 262, 263, 264, 265, 266, 267, 268, 269, 27, 270, 272, 273, 274, 275, 276, 277, 278, 28, 280, 281, 282, 283, 285, 287, 288, 29, 290, 291, 293, 294, 295, 30, 301, 302, 305, 306, 307, 309, 31, 310, 311, 312, 313, 317, 32, 321, 322, 323, 324, 325, 327, 329, 33, 330, 331, 332, 333, 336, 337, 338, 339, 34, 341, 343, 344, 345, 346, 35, 353, 356, 357, 358, 359, 360, 361, 363, 366, 367, 37, 38, 42, 45, 46, 49, 50, 51, 52, 53, 54, 55, 57, 59, 62, 63, 65, 66, 67, 69, 70, 71, 73, 76, 77, 78, 79, 80, 81, 82, 84, 85, 86, 87, 89, 90, 91, 92, 93, 94, 95, 96, 97, 98, 99, 136, 137, 148, 150, 152, 153, 179, 180, 187, 211, 212, 217, 218, 227, 236, 241, 289, 292, 304, 319, 320, 348, 349, 350, 351, 352, 354, 43, 44, 46, 47, 48, 52, 56, 59, 60, 64, 72, 75, 83, 88, 326, 173, 183, 186, 193, 198, 202, 206, 214, 221, 241, 271, 279, 296, 298, 299, 300, 316, 328, 334, 340, 347, 355, 314, 315, 318, 326, </v>
      </c>
      <c r="AK100" s="5" t="s">
        <v>124</v>
      </c>
      <c r="AL100" s="5" t="s">
        <v>124</v>
      </c>
      <c r="AM100" s="5" t="s">
        <v>105</v>
      </c>
      <c r="AN100" s="5" t="s">
        <v>1348</v>
      </c>
      <c r="AO100" s="6"/>
      <c r="AP100" s="6"/>
      <c r="AQ100" s="6"/>
      <c r="AR100" s="6"/>
      <c r="AS100" s="6"/>
      <c r="AT100" s="6"/>
      <c r="AU100" s="5" t="s">
        <v>1349</v>
      </c>
      <c r="AV100" s="5" t="s">
        <v>108</v>
      </c>
      <c r="AW100" s="6"/>
      <c r="AX100" s="6"/>
      <c r="AY100" s="5" t="s">
        <v>1338</v>
      </c>
      <c r="AZ100" s="5" t="b">
        <v>0</v>
      </c>
      <c r="BA100" s="5" t="s">
        <v>110</v>
      </c>
      <c r="BB100" s="5" t="s">
        <v>277</v>
      </c>
      <c r="BC100" s="6"/>
      <c r="BD100" s="6"/>
      <c r="BE100" s="5" t="s">
        <v>1350</v>
      </c>
      <c r="BF100" s="6"/>
      <c r="BG100" s="6"/>
      <c r="BH100" s="6"/>
      <c r="BI100" s="6"/>
      <c r="BJ100" s="6"/>
      <c r="BK100" s="6"/>
      <c r="BL100" s="6"/>
      <c r="BM100" s="6"/>
      <c r="BN100" s="6"/>
      <c r="BO100" s="6"/>
      <c r="BP100" s="6"/>
      <c r="BQ100" s="6"/>
      <c r="BR100" s="6"/>
      <c r="BS100" s="6"/>
      <c r="BT100" s="6"/>
      <c r="BU100" s="6"/>
      <c r="BV100" s="6"/>
      <c r="BW100" s="6"/>
      <c r="BX100" s="6"/>
      <c r="BY100" s="6"/>
      <c r="BZ100" s="6"/>
      <c r="CA100" s="6"/>
      <c r="CB100" s="5" t="s">
        <v>665</v>
      </c>
      <c r="CC100" s="6"/>
      <c r="CD100" s="6"/>
      <c r="CE100" s="5" t="s">
        <v>115</v>
      </c>
      <c r="CF100" s="5" t="s">
        <v>1351</v>
      </c>
      <c r="CG100" s="6"/>
      <c r="CH100" s="6"/>
      <c r="CI100" s="6"/>
      <c r="CJ100" s="6"/>
      <c r="CK100" s="6"/>
      <c r="CL100" s="6"/>
      <c r="CM100" s="6"/>
      <c r="CN100" s="6"/>
      <c r="CO100" s="6"/>
      <c r="CP100" s="6"/>
    </row>
    <row r="101">
      <c r="A101" s="7" t="s">
        <v>1352</v>
      </c>
      <c r="B101" s="8" t="s">
        <v>1353</v>
      </c>
      <c r="C101" s="8" t="s">
        <v>1353</v>
      </c>
      <c r="D101" s="8" t="s">
        <v>354</v>
      </c>
      <c r="E101" s="8" t="s">
        <v>355</v>
      </c>
      <c r="F101" s="9"/>
      <c r="G101" s="8" t="s">
        <v>1354</v>
      </c>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t="str">
        <f t="shared" ref="AJ101:AJ102" si="13">CONCATENATE(J101,K101,L101,Q101,R101,X101,Y101,AA101,AG101)</f>
        <v/>
      </c>
      <c r="AK101" s="8"/>
      <c r="AL101" s="8"/>
      <c r="AM101" s="8" t="s">
        <v>1217</v>
      </c>
      <c r="AN101" s="9"/>
      <c r="AO101" s="9"/>
      <c r="AP101" s="9"/>
      <c r="AQ101" s="9"/>
      <c r="AR101" s="8" t="s">
        <v>1218</v>
      </c>
      <c r="AS101" s="8" t="s">
        <v>1219</v>
      </c>
      <c r="AT101" s="9"/>
      <c r="AU101" s="8" t="s">
        <v>1355</v>
      </c>
      <c r="AV101" s="9"/>
      <c r="AW101" s="8" t="s">
        <v>106</v>
      </c>
      <c r="AX101" s="8" t="s">
        <v>197</v>
      </c>
      <c r="AY101" s="8" t="s">
        <v>1338</v>
      </c>
      <c r="AZ101" s="8" t="b">
        <v>0</v>
      </c>
      <c r="BA101" s="8" t="s">
        <v>190</v>
      </c>
      <c r="BB101" s="8" t="s">
        <v>1222</v>
      </c>
      <c r="BC101" s="9"/>
      <c r="BD101" s="9"/>
      <c r="BE101" s="8" t="s">
        <v>1356</v>
      </c>
      <c r="BF101" s="9"/>
      <c r="BG101" s="9"/>
      <c r="BH101" s="9"/>
      <c r="BI101" s="8" t="s">
        <v>1357</v>
      </c>
      <c r="BJ101" s="8" t="s">
        <v>1358</v>
      </c>
      <c r="BK101" s="9"/>
      <c r="BL101" s="9"/>
      <c r="BM101" s="9"/>
      <c r="BN101" s="9"/>
      <c r="BO101" s="9"/>
      <c r="BP101" s="9"/>
      <c r="BQ101" s="9"/>
      <c r="BR101" s="9"/>
      <c r="BS101" s="9"/>
      <c r="BT101" s="9"/>
      <c r="BU101" s="9"/>
      <c r="BV101" s="9"/>
      <c r="BW101" s="9"/>
      <c r="BX101" s="9"/>
      <c r="BY101" s="9"/>
      <c r="BZ101" s="9"/>
      <c r="CA101" s="9"/>
      <c r="CB101" s="8" t="s">
        <v>878</v>
      </c>
      <c r="CC101" s="9"/>
      <c r="CD101" s="9"/>
      <c r="CE101" s="8" t="s">
        <v>366</v>
      </c>
      <c r="CF101" s="9"/>
      <c r="CG101" s="9"/>
      <c r="CH101" s="9"/>
      <c r="CI101" s="9"/>
      <c r="CJ101" s="9"/>
      <c r="CK101" s="9"/>
      <c r="CL101" s="9"/>
      <c r="CM101" s="9"/>
      <c r="CN101" s="9"/>
      <c r="CO101" s="9"/>
      <c r="CP101" s="9"/>
    </row>
    <row r="102">
      <c r="A102" s="7" t="s">
        <v>1359</v>
      </c>
      <c r="B102" s="8" t="s">
        <v>1360</v>
      </c>
      <c r="C102" s="8" t="s">
        <v>1360</v>
      </c>
      <c r="D102" s="8" t="s">
        <v>354</v>
      </c>
      <c r="E102" s="8" t="s">
        <v>355</v>
      </c>
      <c r="F102" s="9"/>
      <c r="G102" s="8" t="s">
        <v>1361</v>
      </c>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t="str">
        <f t="shared" si="13"/>
        <v/>
      </c>
      <c r="AK102" s="8"/>
      <c r="AL102" s="8"/>
      <c r="AM102" s="8" t="s">
        <v>1217</v>
      </c>
      <c r="AN102" s="9"/>
      <c r="AO102" s="9"/>
      <c r="AP102" s="9"/>
      <c r="AQ102" s="9"/>
      <c r="AR102" s="8" t="s">
        <v>1218</v>
      </c>
      <c r="AS102" s="8" t="s">
        <v>1219</v>
      </c>
      <c r="AT102" s="9"/>
      <c r="AU102" s="8" t="s">
        <v>1362</v>
      </c>
      <c r="AV102" s="9"/>
      <c r="AW102" s="8" t="s">
        <v>106</v>
      </c>
      <c r="AX102" s="8" t="s">
        <v>197</v>
      </c>
      <c r="AY102" s="8" t="s">
        <v>1338</v>
      </c>
      <c r="AZ102" s="8" t="b">
        <v>0</v>
      </c>
      <c r="BA102" s="8" t="s">
        <v>190</v>
      </c>
      <c r="BB102" s="8" t="s">
        <v>1222</v>
      </c>
      <c r="BC102" s="9"/>
      <c r="BD102" s="9"/>
      <c r="BE102" s="8" t="s">
        <v>1302</v>
      </c>
      <c r="BF102" s="9"/>
      <c r="BG102" s="9"/>
      <c r="BH102" s="9"/>
      <c r="BI102" s="8" t="s">
        <v>1363</v>
      </c>
      <c r="BJ102" s="8" t="s">
        <v>1364</v>
      </c>
      <c r="BK102" s="9"/>
      <c r="BL102" s="9"/>
      <c r="BM102" s="9"/>
      <c r="BN102" s="9"/>
      <c r="BO102" s="9"/>
      <c r="BP102" s="9"/>
      <c r="BQ102" s="9"/>
      <c r="BR102" s="8" t="s">
        <v>193</v>
      </c>
      <c r="BS102" s="8" t="s">
        <v>194</v>
      </c>
      <c r="BT102" s="9"/>
      <c r="BU102" s="9"/>
      <c r="BV102" s="8" t="s">
        <v>1365</v>
      </c>
      <c r="BW102" s="9"/>
      <c r="BX102" s="9"/>
      <c r="BY102" s="9"/>
      <c r="BZ102" s="9"/>
      <c r="CA102" s="9"/>
      <c r="CB102" s="8" t="s">
        <v>1366</v>
      </c>
      <c r="CC102" s="9"/>
      <c r="CD102" s="9"/>
      <c r="CE102" s="8" t="s">
        <v>366</v>
      </c>
      <c r="CF102" s="9"/>
      <c r="CG102" s="9"/>
      <c r="CH102" s="9"/>
      <c r="CI102" s="9"/>
      <c r="CJ102" s="9"/>
      <c r="CK102" s="9"/>
      <c r="CL102" s="9"/>
      <c r="CM102" s="9"/>
      <c r="CN102" s="9"/>
      <c r="CO102" s="9"/>
      <c r="CP102" s="9"/>
    </row>
    <row r="103">
      <c r="A103" s="4" t="s">
        <v>1367</v>
      </c>
      <c r="B103" s="5" t="s">
        <v>1368</v>
      </c>
      <c r="C103" s="5" t="s">
        <v>1369</v>
      </c>
      <c r="D103" s="5" t="s">
        <v>94</v>
      </c>
      <c r="E103" s="5" t="s">
        <v>95</v>
      </c>
      <c r="F103" s="6"/>
      <c r="G103" s="5" t="s">
        <v>1370</v>
      </c>
      <c r="H103" s="5" t="s">
        <v>97</v>
      </c>
      <c r="I103" s="5" t="s">
        <v>1329</v>
      </c>
      <c r="J103" s="5"/>
      <c r="K103" s="5"/>
      <c r="L103" s="5"/>
      <c r="M103" s="5" t="s">
        <v>1371</v>
      </c>
      <c r="N103" s="5" t="s">
        <v>1372</v>
      </c>
      <c r="O103" s="5" t="s">
        <v>1373</v>
      </c>
      <c r="P103" s="5" t="s">
        <v>1374</v>
      </c>
      <c r="Q103" s="5"/>
      <c r="R103" s="5"/>
      <c r="S103" s="5" t="s">
        <v>100</v>
      </c>
      <c r="T103" s="5" t="s">
        <v>100</v>
      </c>
      <c r="U103" s="5" t="s">
        <v>100</v>
      </c>
      <c r="V103" s="5" t="s">
        <v>100</v>
      </c>
      <c r="W103" s="5" t="s">
        <v>100</v>
      </c>
      <c r="X103" s="5" t="s">
        <v>100</v>
      </c>
      <c r="Y103" s="5" t="s">
        <v>1375</v>
      </c>
      <c r="Z103" s="5" t="s">
        <v>100</v>
      </c>
      <c r="AA103" s="5"/>
      <c r="AB103" s="5" t="s">
        <v>100</v>
      </c>
      <c r="AC103" s="5" t="s">
        <v>100</v>
      </c>
      <c r="AD103" s="5" t="s">
        <v>100</v>
      </c>
      <c r="AE103" s="5" t="s">
        <v>100</v>
      </c>
      <c r="AF103" s="5" t="s">
        <v>100</v>
      </c>
      <c r="AG103" s="5" t="s">
        <v>100</v>
      </c>
      <c r="AH103" s="5" t="s">
        <v>100</v>
      </c>
      <c r="AI103" s="5" t="s">
        <v>1376</v>
      </c>
      <c r="AJ103" s="5" t="s">
        <v>1377</v>
      </c>
      <c r="AK103" s="5" t="s">
        <v>124</v>
      </c>
      <c r="AL103" s="5" t="s">
        <v>124</v>
      </c>
      <c r="AM103" s="5" t="s">
        <v>105</v>
      </c>
      <c r="AN103" s="5" t="s">
        <v>1378</v>
      </c>
      <c r="AO103" s="6"/>
      <c r="AP103" s="6"/>
      <c r="AQ103" s="6"/>
      <c r="AR103" s="6"/>
      <c r="AS103" s="6"/>
      <c r="AT103" s="6"/>
      <c r="AU103" s="5" t="s">
        <v>1379</v>
      </c>
      <c r="AV103" s="5" t="s">
        <v>108</v>
      </c>
      <c r="AW103" s="6"/>
      <c r="AX103" s="6"/>
      <c r="AY103" s="5" t="s">
        <v>1380</v>
      </c>
      <c r="AZ103" s="5" t="b">
        <v>0</v>
      </c>
      <c r="BA103" s="5" t="s">
        <v>110</v>
      </c>
      <c r="BB103" s="5" t="s">
        <v>773</v>
      </c>
      <c r="BC103" s="6"/>
      <c r="BD103" s="6"/>
      <c r="BE103" s="5" t="s">
        <v>1381</v>
      </c>
      <c r="BF103" s="6"/>
      <c r="BG103" s="6"/>
      <c r="BH103" s="6"/>
      <c r="BI103" s="6"/>
      <c r="BJ103" s="6"/>
      <c r="BK103" s="6"/>
      <c r="BL103" s="6"/>
      <c r="BM103" s="6"/>
      <c r="BN103" s="6"/>
      <c r="BO103" s="6"/>
      <c r="BP103" s="6"/>
      <c r="BQ103" s="6"/>
      <c r="BR103" s="6"/>
      <c r="BS103" s="6"/>
      <c r="BT103" s="6"/>
      <c r="BU103" s="6"/>
      <c r="BV103" s="6"/>
      <c r="BW103" s="6"/>
      <c r="BX103" s="6"/>
      <c r="BY103" s="6"/>
      <c r="BZ103" s="6"/>
      <c r="CA103" s="6"/>
      <c r="CB103" s="5" t="s">
        <v>665</v>
      </c>
      <c r="CC103" s="6"/>
      <c r="CD103" s="6"/>
      <c r="CE103" s="5" t="s">
        <v>115</v>
      </c>
      <c r="CF103" s="5" t="s">
        <v>1382</v>
      </c>
      <c r="CG103" s="6"/>
      <c r="CH103" s="6"/>
      <c r="CI103" s="6"/>
      <c r="CJ103" s="6"/>
      <c r="CK103" s="6"/>
      <c r="CL103" s="6"/>
      <c r="CM103" s="6"/>
      <c r="CN103" s="6"/>
      <c r="CO103" s="6"/>
      <c r="CP103" s="6"/>
    </row>
    <row r="104">
      <c r="A104" s="7" t="s">
        <v>1383</v>
      </c>
      <c r="B104" s="8" t="s">
        <v>1384</v>
      </c>
      <c r="C104" s="8" t="s">
        <v>1385</v>
      </c>
      <c r="D104" s="8" t="s">
        <v>94</v>
      </c>
      <c r="E104" s="8" t="s">
        <v>95</v>
      </c>
      <c r="F104" s="9"/>
      <c r="G104" s="8" t="s">
        <v>1386</v>
      </c>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t="str">
        <f t="shared" ref="AJ104:AJ107" si="14">CONCATENATE(J104,K104,L104,Q104,R104,X104,Y104,AA104,AG104)</f>
        <v/>
      </c>
      <c r="AK104" s="8"/>
      <c r="AL104" s="8"/>
      <c r="AM104" s="8" t="s">
        <v>105</v>
      </c>
      <c r="AN104" s="8" t="s">
        <v>1387</v>
      </c>
      <c r="AO104" s="9"/>
      <c r="AP104" s="8" t="s">
        <v>899</v>
      </c>
      <c r="AQ104" s="9"/>
      <c r="AR104" s="9"/>
      <c r="AS104" s="9"/>
      <c r="AT104" s="9"/>
      <c r="AU104" s="8" t="s">
        <v>1388</v>
      </c>
      <c r="AV104" s="9"/>
      <c r="AW104" s="9"/>
      <c r="AX104" s="9"/>
      <c r="AY104" s="8" t="s">
        <v>1380</v>
      </c>
      <c r="AZ104" s="8" t="b">
        <v>0</v>
      </c>
      <c r="BA104" s="8" t="s">
        <v>190</v>
      </c>
      <c r="BB104" s="8" t="s">
        <v>191</v>
      </c>
      <c r="BC104" s="8" t="s">
        <v>629</v>
      </c>
      <c r="BD104" s="8" t="s">
        <v>630</v>
      </c>
      <c r="BE104" s="8" t="s">
        <v>1389</v>
      </c>
      <c r="BF104" s="9"/>
      <c r="BG104" s="9"/>
      <c r="BH104" s="9"/>
      <c r="BI104" s="8" t="s">
        <v>187</v>
      </c>
      <c r="BJ104" s="8" t="s">
        <v>1224</v>
      </c>
      <c r="BK104" s="8" t="s">
        <v>1390</v>
      </c>
      <c r="BL104" s="9"/>
      <c r="BM104" s="9"/>
      <c r="BN104" s="9"/>
      <c r="BO104" s="9"/>
      <c r="BP104" s="9"/>
      <c r="BQ104" s="9"/>
      <c r="BR104" s="8" t="s">
        <v>193</v>
      </c>
      <c r="BS104" s="9"/>
      <c r="BT104" s="9"/>
      <c r="BU104" s="9"/>
      <c r="BV104" s="9"/>
      <c r="BW104" s="9"/>
      <c r="BX104" s="9"/>
      <c r="BY104" s="9"/>
      <c r="BZ104" s="9"/>
      <c r="CA104" s="9"/>
      <c r="CB104" s="8" t="s">
        <v>1391</v>
      </c>
      <c r="CC104" s="9"/>
      <c r="CD104" s="9"/>
      <c r="CE104" s="8" t="s">
        <v>393</v>
      </c>
      <c r="CF104" s="8" t="s">
        <v>1392</v>
      </c>
      <c r="CG104" s="9"/>
      <c r="CH104" s="9"/>
      <c r="CI104" s="9"/>
      <c r="CJ104" s="9"/>
      <c r="CK104" s="9"/>
      <c r="CL104" s="9"/>
      <c r="CM104" s="9"/>
      <c r="CN104" s="9"/>
      <c r="CO104" s="9"/>
      <c r="CP104" s="9"/>
    </row>
    <row r="105">
      <c r="A105" s="13" t="s">
        <v>1393</v>
      </c>
      <c r="B105" s="8" t="s">
        <v>1394</v>
      </c>
      <c r="C105" s="8" t="s">
        <v>1395</v>
      </c>
      <c r="D105" s="8" t="s">
        <v>94</v>
      </c>
      <c r="E105" s="8" t="s">
        <v>95</v>
      </c>
      <c r="F105" s="9"/>
      <c r="G105" s="8" t="s">
        <v>1396</v>
      </c>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t="str">
        <f t="shared" si="14"/>
        <v/>
      </c>
      <c r="AK105" s="8"/>
      <c r="AL105" s="8"/>
      <c r="AM105" s="8" t="s">
        <v>105</v>
      </c>
      <c r="AN105" s="8" t="s">
        <v>1397</v>
      </c>
      <c r="AO105" s="9"/>
      <c r="AP105" s="9"/>
      <c r="AQ105" s="9"/>
      <c r="AR105" s="9"/>
      <c r="AS105" s="9"/>
      <c r="AT105" s="9"/>
      <c r="AU105" s="8" t="s">
        <v>1398</v>
      </c>
      <c r="AV105" s="8" t="s">
        <v>108</v>
      </c>
      <c r="AW105" s="9"/>
      <c r="AX105" s="9"/>
      <c r="AY105" s="8" t="s">
        <v>1399</v>
      </c>
      <c r="AZ105" s="8" t="b">
        <v>0</v>
      </c>
      <c r="BA105" s="8" t="s">
        <v>110</v>
      </c>
      <c r="BB105" s="8" t="s">
        <v>773</v>
      </c>
      <c r="BC105" s="9"/>
      <c r="BD105" s="9"/>
      <c r="BE105" s="8" t="s">
        <v>1400</v>
      </c>
      <c r="BF105" s="9"/>
      <c r="BG105" s="9"/>
      <c r="BH105" s="9"/>
      <c r="BI105" s="9"/>
      <c r="BJ105" s="9"/>
      <c r="BK105" s="9"/>
      <c r="BL105" s="9"/>
      <c r="BM105" s="9"/>
      <c r="BN105" s="9"/>
      <c r="BO105" s="9"/>
      <c r="BP105" s="9"/>
      <c r="BQ105" s="9"/>
      <c r="BR105" s="9"/>
      <c r="BS105" s="9"/>
      <c r="BT105" s="9"/>
      <c r="BU105" s="9"/>
      <c r="BV105" s="9"/>
      <c r="BW105" s="9"/>
      <c r="BX105" s="9"/>
      <c r="BY105" s="9"/>
      <c r="BZ105" s="9"/>
      <c r="CA105" s="9"/>
      <c r="CB105" s="8" t="s">
        <v>665</v>
      </c>
      <c r="CC105" s="9"/>
      <c r="CD105" s="9"/>
      <c r="CE105" s="8" t="s">
        <v>115</v>
      </c>
      <c r="CF105" s="8" t="s">
        <v>1401</v>
      </c>
      <c r="CG105" s="9"/>
      <c r="CH105" s="9"/>
      <c r="CI105" s="9"/>
      <c r="CJ105" s="9"/>
      <c r="CK105" s="9"/>
      <c r="CL105" s="9"/>
      <c r="CM105" s="9"/>
      <c r="CN105" s="9"/>
      <c r="CO105" s="9"/>
      <c r="CP105" s="9"/>
    </row>
    <row r="106">
      <c r="A106" s="4" t="s">
        <v>1402</v>
      </c>
      <c r="B106" s="5" t="s">
        <v>1403</v>
      </c>
      <c r="C106" s="5" t="s">
        <v>1404</v>
      </c>
      <c r="D106" s="5" t="s">
        <v>94</v>
      </c>
      <c r="E106" s="5" t="s">
        <v>95</v>
      </c>
      <c r="F106" s="6"/>
      <c r="G106" s="5" t="s">
        <v>1405</v>
      </c>
      <c r="H106" s="5" t="s">
        <v>97</v>
      </c>
      <c r="I106" s="5" t="s">
        <v>1406</v>
      </c>
      <c r="J106" s="5" t="s">
        <v>1407</v>
      </c>
      <c r="K106" s="5"/>
      <c r="L106" s="5" t="s">
        <v>1408</v>
      </c>
      <c r="M106" s="5"/>
      <c r="N106" s="5"/>
      <c r="O106" s="5"/>
      <c r="P106" s="5"/>
      <c r="Q106" s="5" t="s">
        <v>1409</v>
      </c>
      <c r="R106" s="5"/>
      <c r="S106" s="5"/>
      <c r="T106" s="5"/>
      <c r="U106" s="5"/>
      <c r="V106" s="5"/>
      <c r="W106" s="5"/>
      <c r="X106" s="5"/>
      <c r="Y106" s="5"/>
      <c r="Z106" s="5"/>
      <c r="AA106" s="5"/>
      <c r="AB106" s="5"/>
      <c r="AC106" s="5"/>
      <c r="AD106" s="5"/>
      <c r="AE106" s="5"/>
      <c r="AF106" s="5"/>
      <c r="AG106" s="5"/>
      <c r="AH106" s="5"/>
      <c r="AI106" s="5"/>
      <c r="AJ106" s="5" t="str">
        <f t="shared" si="14"/>
        <v>101, 102, 103, 104, 105, 106, 107, 108, 109, 110, 111, 112, 113, 114, 115, 116, 117, 118, 119, 120, 121, 122, 123, 124, 125, 126, 127, 129, 130, 131, 132, 133, 134, 135, 136, 137, 138, 139, 140, 141, 142, 143, 144, 145, 146, 147, 148, 149, 150, 151, 152, 153, 154, 155, 156, 157, 158, 159, 260, 161, 162, 165, 166, 167, 168, 169,170, 171, 172, 173, 174, 175, 176, 179, 180, 182, 183, 184, 185, 186, 187, 188, 189, 190, 191, 192, 193, 194, 195, 196, 198, 201, 202, 204, 205, 206, 211, 212, 213, 214, 215, 216, 22, 220, 221, 222, 223, 224, 226, 228, 229, 23, 230, 232, 233, 234, 235, 238, 24, 240, 242, 246, 247, 249, 25, 250, 251, 252, 253, 255, 256, 257, 258, 260, 261, 262, 263, 264, 265, 266, 267, 268, 269, 270, 271, 272, 273, 274, 275, 276, 277, 278, 28, 281, 282, 283, 284, 285, 286, 288, 289, 290, 292, 293, 294, 295, 296, 298, 299, 30, 300, 301, 302, 303, 304, 305, 306, 308, 309, 31, 310, 312, 313, 314, 316, 318, 319, 32, 321, 322, 323, 324, 325, 326, 327, 328, 33, 332, 335, 336, 337, 338, 339, 34, 341, 343, 344, 345, 346, 347, 349, 35, 350, 351, 352, 353, 355, 356, 357, 358, 359, 36, 366, 369, 37, 370, 371, 372, 373, 374, 38, 39, 40, 41, 42, 43, 44, 45, 46, 47, 48, 49, 50, 51, 52, 54, 55, 56, 59, 60, 61, 62, 63, 64, 65, 66, 68, 69, 70, 72, 73, 74, 75, 77, 78, 79, 80, 82, 83, 84, 85, 87, 88, 90, 91, 92, 93, 94, 95, 96, 97, 98, 99100, 163, 164, 175, 177, 178, 199, 200, 208, 209, 210, 236, 237, 243, 244, 245, 254, 259, 307, 311, 320, 334, 340, 361, 362, 363, 364, 368, 46, 53, 56, 57, 58, 62, 66, 67, 70, 71, 76, 85, 86, 89, 365, 147, 148, 181, 197, 203, 207, 21, 217, 218, 219, 225, 227, 231, 239, 248, 26, 27, 29, 291, 297, 315, 317, 329, 330, 331, 333, 340, 342, 348, 354, 360, 367, 81, </v>
      </c>
      <c r="AK106" s="5" t="s">
        <v>124</v>
      </c>
      <c r="AL106" s="5" t="s">
        <v>124</v>
      </c>
      <c r="AM106" s="5" t="s">
        <v>105</v>
      </c>
      <c r="AN106" s="5" t="s">
        <v>1410</v>
      </c>
      <c r="AO106" s="6"/>
      <c r="AP106" s="6"/>
      <c r="AQ106" s="6"/>
      <c r="AR106" s="6"/>
      <c r="AS106" s="6"/>
      <c r="AT106" s="6"/>
      <c r="AU106" s="5" t="s">
        <v>1411</v>
      </c>
      <c r="AV106" s="5" t="s">
        <v>108</v>
      </c>
      <c r="AW106" s="6"/>
      <c r="AX106" s="6"/>
      <c r="AY106" s="5" t="s">
        <v>1412</v>
      </c>
      <c r="AZ106" s="5" t="b">
        <v>0</v>
      </c>
      <c r="BA106" s="5" t="s">
        <v>110</v>
      </c>
      <c r="BB106" s="5" t="s">
        <v>277</v>
      </c>
      <c r="BC106" s="6"/>
      <c r="BD106" s="6"/>
      <c r="BE106" s="5" t="s">
        <v>1413</v>
      </c>
      <c r="BF106" s="6"/>
      <c r="BG106" s="6"/>
      <c r="BH106" s="6"/>
      <c r="BI106" s="6"/>
      <c r="BJ106" s="6"/>
      <c r="BK106" s="6"/>
      <c r="BL106" s="6"/>
      <c r="BM106" s="6"/>
      <c r="BN106" s="6"/>
      <c r="BO106" s="6"/>
      <c r="BP106" s="6"/>
      <c r="BQ106" s="6"/>
      <c r="BR106" s="6"/>
      <c r="BS106" s="6"/>
      <c r="BT106" s="6"/>
      <c r="BU106" s="6"/>
      <c r="BV106" s="6"/>
      <c r="BW106" s="6"/>
      <c r="BX106" s="6"/>
      <c r="BY106" s="6"/>
      <c r="BZ106" s="6"/>
      <c r="CA106" s="6"/>
      <c r="CB106" s="5" t="s">
        <v>665</v>
      </c>
      <c r="CC106" s="6"/>
      <c r="CD106" s="6"/>
      <c r="CE106" s="5" t="s">
        <v>115</v>
      </c>
      <c r="CF106" s="5" t="s">
        <v>1414</v>
      </c>
      <c r="CG106" s="6"/>
      <c r="CH106" s="6"/>
      <c r="CI106" s="6"/>
      <c r="CJ106" s="6"/>
      <c r="CK106" s="6"/>
      <c r="CL106" s="6"/>
      <c r="CM106" s="6"/>
      <c r="CN106" s="6"/>
      <c r="CO106" s="6"/>
      <c r="CP106" s="6"/>
    </row>
    <row r="107">
      <c r="A107" s="7" t="s">
        <v>1415</v>
      </c>
      <c r="B107" s="8" t="s">
        <v>1416</v>
      </c>
      <c r="C107" s="8" t="s">
        <v>1417</v>
      </c>
      <c r="D107" s="8" t="s">
        <v>94</v>
      </c>
      <c r="E107" s="8" t="s">
        <v>95</v>
      </c>
      <c r="F107" s="9"/>
      <c r="G107" s="8" t="s">
        <v>1418</v>
      </c>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t="str">
        <f t="shared" si="14"/>
        <v/>
      </c>
      <c r="AK107" s="8"/>
      <c r="AL107" s="8"/>
      <c r="AM107" s="8" t="s">
        <v>105</v>
      </c>
      <c r="AN107" s="8" t="s">
        <v>1419</v>
      </c>
      <c r="AO107" s="9"/>
      <c r="AP107" s="9"/>
      <c r="AQ107" s="9"/>
      <c r="AR107" s="9"/>
      <c r="AS107" s="9"/>
      <c r="AT107" s="9"/>
      <c r="AU107" s="8" t="s">
        <v>1420</v>
      </c>
      <c r="AV107" s="9"/>
      <c r="AW107" s="9"/>
      <c r="AX107" s="9"/>
      <c r="AY107" s="8" t="s">
        <v>1412</v>
      </c>
      <c r="AZ107" s="8" t="b">
        <v>0</v>
      </c>
      <c r="BA107" s="8" t="s">
        <v>190</v>
      </c>
      <c r="BB107" s="8" t="s">
        <v>628</v>
      </c>
      <c r="BC107" s="8" t="s">
        <v>1421</v>
      </c>
      <c r="BD107" s="8" t="s">
        <v>112</v>
      </c>
      <c r="BE107" s="8" t="s">
        <v>1422</v>
      </c>
      <c r="BF107" s="9"/>
      <c r="BG107" s="9"/>
      <c r="BH107" s="9"/>
      <c r="BI107" s="9"/>
      <c r="BJ107" s="9"/>
      <c r="BK107" s="8" t="s">
        <v>1423</v>
      </c>
      <c r="BL107" s="9"/>
      <c r="BM107" s="9"/>
      <c r="BN107" s="9"/>
      <c r="BO107" s="9"/>
      <c r="BP107" s="9"/>
      <c r="BQ107" s="9"/>
      <c r="BR107" s="8" t="s">
        <v>193</v>
      </c>
      <c r="BS107" s="8" t="s">
        <v>194</v>
      </c>
      <c r="BT107" s="9"/>
      <c r="BU107" s="9"/>
      <c r="BV107" s="8" t="s">
        <v>1424</v>
      </c>
      <c r="BW107" s="9"/>
      <c r="BX107" s="9"/>
      <c r="BY107" s="8" t="s">
        <v>1425</v>
      </c>
      <c r="BZ107" s="9"/>
      <c r="CA107" s="9"/>
      <c r="CB107" s="8" t="s">
        <v>1426</v>
      </c>
      <c r="CC107" s="9"/>
      <c r="CD107" s="9"/>
      <c r="CE107" s="8" t="s">
        <v>359</v>
      </c>
      <c r="CF107" s="8" t="s">
        <v>1427</v>
      </c>
      <c r="CG107" s="9"/>
      <c r="CH107" s="9"/>
      <c r="CI107" s="9"/>
      <c r="CJ107" s="9"/>
      <c r="CK107" s="9"/>
      <c r="CL107" s="9"/>
      <c r="CM107" s="9"/>
      <c r="CN107" s="9"/>
      <c r="CO107" s="9"/>
      <c r="CP107" s="9"/>
    </row>
    <row r="108">
      <c r="A108" s="7" t="s">
        <v>1428</v>
      </c>
      <c r="B108" s="8" t="s">
        <v>1429</v>
      </c>
      <c r="C108" s="8" t="s">
        <v>1430</v>
      </c>
      <c r="D108" s="8" t="s">
        <v>94</v>
      </c>
      <c r="E108" s="8" t="s">
        <v>95</v>
      </c>
      <c r="F108" s="9"/>
      <c r="G108" s="8" t="s">
        <v>1431</v>
      </c>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t="s">
        <v>105</v>
      </c>
      <c r="AN108" s="8" t="s">
        <v>1432</v>
      </c>
      <c r="AO108" s="9"/>
      <c r="AP108" s="9"/>
      <c r="AQ108" s="9"/>
      <c r="AR108" s="9"/>
      <c r="AS108" s="9"/>
      <c r="AT108" s="9"/>
      <c r="AU108" s="8" t="s">
        <v>1433</v>
      </c>
      <c r="AV108" s="8" t="s">
        <v>108</v>
      </c>
      <c r="AW108" s="9"/>
      <c r="AX108" s="9"/>
      <c r="AY108" s="8" t="s">
        <v>1434</v>
      </c>
      <c r="AZ108" s="8" t="b">
        <v>0</v>
      </c>
      <c r="BA108" s="8" t="s">
        <v>110</v>
      </c>
      <c r="BB108" s="8" t="s">
        <v>277</v>
      </c>
      <c r="BC108" s="9"/>
      <c r="BD108" s="9"/>
      <c r="BE108" s="8" t="s">
        <v>1435</v>
      </c>
      <c r="BF108" s="9"/>
      <c r="BG108" s="9"/>
      <c r="BH108" s="9"/>
      <c r="BI108" s="9"/>
      <c r="BJ108" s="9"/>
      <c r="BK108" s="9"/>
      <c r="BL108" s="9"/>
      <c r="BM108" s="9"/>
      <c r="BN108" s="9"/>
      <c r="BO108" s="9"/>
      <c r="BP108" s="9"/>
      <c r="BQ108" s="9"/>
      <c r="BR108" s="9"/>
      <c r="BS108" s="9"/>
      <c r="BT108" s="9"/>
      <c r="BU108" s="9"/>
      <c r="BV108" s="9"/>
      <c r="BW108" s="9"/>
      <c r="BX108" s="9"/>
      <c r="BY108" s="9"/>
      <c r="BZ108" s="9"/>
      <c r="CA108" s="9"/>
      <c r="CB108" s="8" t="s">
        <v>665</v>
      </c>
      <c r="CC108" s="9"/>
      <c r="CD108" s="9"/>
      <c r="CE108" s="8" t="s">
        <v>115</v>
      </c>
      <c r="CF108" s="8" t="s">
        <v>1436</v>
      </c>
      <c r="CG108" s="9"/>
      <c r="CH108" s="9"/>
      <c r="CI108" s="9"/>
      <c r="CJ108" s="9"/>
      <c r="CK108" s="9"/>
      <c r="CL108" s="9"/>
      <c r="CM108" s="9"/>
      <c r="CN108" s="9"/>
      <c r="CO108" s="9"/>
      <c r="CP108" s="9"/>
    </row>
    <row r="109">
      <c r="A109" s="7" t="s">
        <v>1437</v>
      </c>
      <c r="B109" s="8" t="s">
        <v>1438</v>
      </c>
      <c r="C109" s="8" t="s">
        <v>1439</v>
      </c>
      <c r="D109" s="8" t="s">
        <v>94</v>
      </c>
      <c r="E109" s="8" t="s">
        <v>95</v>
      </c>
      <c r="F109" s="9"/>
      <c r="G109" s="8" t="s">
        <v>1440</v>
      </c>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t="str">
        <f>CONCATENATE(J109,K109,L109,Q109,R109,X109,Y109,AA109,AG109)</f>
        <v/>
      </c>
      <c r="AK109" s="8"/>
      <c r="AL109" s="8"/>
      <c r="AM109" s="8" t="s">
        <v>105</v>
      </c>
      <c r="AN109" s="8" t="s">
        <v>1441</v>
      </c>
      <c r="AO109" s="9"/>
      <c r="AP109" s="9"/>
      <c r="AQ109" s="9"/>
      <c r="AR109" s="9"/>
      <c r="AS109" s="9"/>
      <c r="AT109" s="9"/>
      <c r="AU109" s="8" t="s">
        <v>1442</v>
      </c>
      <c r="AV109" s="9"/>
      <c r="AW109" s="9"/>
      <c r="AX109" s="9"/>
      <c r="AY109" s="8" t="s">
        <v>1434</v>
      </c>
      <c r="AZ109" s="8" t="b">
        <v>0</v>
      </c>
      <c r="BA109" s="8" t="s">
        <v>190</v>
      </c>
      <c r="BB109" s="8" t="s">
        <v>628</v>
      </c>
      <c r="BC109" s="8" t="s">
        <v>629</v>
      </c>
      <c r="BD109" s="8" t="s">
        <v>630</v>
      </c>
      <c r="BE109" s="8" t="s">
        <v>1443</v>
      </c>
      <c r="BF109" s="9"/>
      <c r="BG109" s="9"/>
      <c r="BH109" s="9"/>
      <c r="BI109" s="9"/>
      <c r="BJ109" s="9"/>
      <c r="BK109" s="8" t="s">
        <v>1444</v>
      </c>
      <c r="BL109" s="9"/>
      <c r="BM109" s="9"/>
      <c r="BN109" s="9"/>
      <c r="BO109" s="9"/>
      <c r="BP109" s="9"/>
      <c r="BQ109" s="9"/>
      <c r="BR109" s="8" t="s">
        <v>193</v>
      </c>
      <c r="BS109" s="9"/>
      <c r="BT109" s="9"/>
      <c r="BU109" s="9"/>
      <c r="BV109" s="9"/>
      <c r="BW109" s="9"/>
      <c r="BX109" s="9"/>
      <c r="BY109" s="9"/>
      <c r="BZ109" s="9"/>
      <c r="CA109" s="9"/>
      <c r="CB109" s="8" t="s">
        <v>1445</v>
      </c>
      <c r="CC109" s="9"/>
      <c r="CD109" s="9"/>
      <c r="CE109" s="8" t="s">
        <v>115</v>
      </c>
      <c r="CF109" s="8" t="s">
        <v>1446</v>
      </c>
      <c r="CG109" s="9"/>
      <c r="CH109" s="9"/>
      <c r="CI109" s="9"/>
      <c r="CJ109" s="9"/>
      <c r="CK109" s="9"/>
      <c r="CL109" s="9"/>
      <c r="CM109" s="9"/>
      <c r="CN109" s="9"/>
      <c r="CO109" s="9"/>
      <c r="CP109" s="9"/>
    </row>
    <row r="110">
      <c r="A110" s="7" t="s">
        <v>1447</v>
      </c>
      <c r="B110" s="8" t="s">
        <v>1448</v>
      </c>
      <c r="C110" s="8" t="s">
        <v>1449</v>
      </c>
      <c r="D110" s="8" t="s">
        <v>94</v>
      </c>
      <c r="E110" s="8" t="s">
        <v>95</v>
      </c>
      <c r="F110" s="9"/>
      <c r="G110" s="8" t="s">
        <v>1450</v>
      </c>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t="s">
        <v>105</v>
      </c>
      <c r="AN110" s="8" t="s">
        <v>1451</v>
      </c>
      <c r="AO110" s="9"/>
      <c r="AP110" s="9"/>
      <c r="AQ110" s="9"/>
      <c r="AR110" s="9"/>
      <c r="AS110" s="9"/>
      <c r="AT110" s="9"/>
      <c r="AU110" s="8" t="s">
        <v>1452</v>
      </c>
      <c r="AV110" s="8" t="s">
        <v>108</v>
      </c>
      <c r="AW110" s="9"/>
      <c r="AX110" s="9"/>
      <c r="AY110" s="8" t="s">
        <v>1453</v>
      </c>
      <c r="AZ110" s="8" t="b">
        <v>0</v>
      </c>
      <c r="BA110" s="8" t="s">
        <v>110</v>
      </c>
      <c r="BB110" s="8" t="s">
        <v>277</v>
      </c>
      <c r="BC110" s="9"/>
      <c r="BD110" s="9"/>
      <c r="BE110" s="8" t="s">
        <v>1454</v>
      </c>
      <c r="BF110" s="9"/>
      <c r="BG110" s="9"/>
      <c r="BH110" s="9"/>
      <c r="BI110" s="9"/>
      <c r="BJ110" s="9"/>
      <c r="BK110" s="9"/>
      <c r="BL110" s="9"/>
      <c r="BM110" s="9"/>
      <c r="BN110" s="9"/>
      <c r="BO110" s="9"/>
      <c r="BP110" s="9"/>
      <c r="BQ110" s="9"/>
      <c r="BR110" s="9"/>
      <c r="BS110" s="9"/>
      <c r="BT110" s="9"/>
      <c r="BU110" s="9"/>
      <c r="BV110" s="9"/>
      <c r="BW110" s="9"/>
      <c r="BX110" s="9"/>
      <c r="BY110" s="9"/>
      <c r="BZ110" s="9"/>
      <c r="CA110" s="9"/>
      <c r="CB110" s="8" t="s">
        <v>665</v>
      </c>
      <c r="CC110" s="9"/>
      <c r="CD110" s="9"/>
      <c r="CE110" s="8" t="s">
        <v>115</v>
      </c>
      <c r="CF110" s="8" t="s">
        <v>1455</v>
      </c>
      <c r="CG110" s="9"/>
      <c r="CH110" s="9"/>
      <c r="CI110" s="9"/>
      <c r="CJ110" s="9"/>
      <c r="CK110" s="9"/>
      <c r="CL110" s="9"/>
      <c r="CM110" s="9"/>
      <c r="CN110" s="9"/>
      <c r="CO110" s="9"/>
      <c r="CP110" s="9"/>
    </row>
    <row r="111">
      <c r="A111" s="7" t="s">
        <v>1456</v>
      </c>
      <c r="B111" s="8" t="s">
        <v>1457</v>
      </c>
      <c r="C111" s="8" t="s">
        <v>1457</v>
      </c>
      <c r="D111" s="8" t="s">
        <v>354</v>
      </c>
      <c r="E111" s="8" t="s">
        <v>355</v>
      </c>
      <c r="F111" s="9"/>
      <c r="G111" s="8" t="s">
        <v>1458</v>
      </c>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t="str">
        <f t="shared" ref="AJ111:AJ116" si="15">CONCATENATE(J111,K111,L111,Q111,R111,X111,Y111,AA111,AG111)</f>
        <v/>
      </c>
      <c r="AK111" s="8"/>
      <c r="AL111" s="8"/>
      <c r="AM111" s="8" t="s">
        <v>1217</v>
      </c>
      <c r="AN111" s="9"/>
      <c r="AO111" s="9"/>
      <c r="AP111" s="9"/>
      <c r="AQ111" s="9"/>
      <c r="AR111" s="8" t="s">
        <v>1218</v>
      </c>
      <c r="AS111" s="8" t="s">
        <v>1219</v>
      </c>
      <c r="AT111" s="9"/>
      <c r="AU111" s="8" t="s">
        <v>1459</v>
      </c>
      <c r="AV111" s="9"/>
      <c r="AW111" s="8" t="s">
        <v>1460</v>
      </c>
      <c r="AX111" s="8" t="s">
        <v>197</v>
      </c>
      <c r="AY111" s="8" t="s">
        <v>1453</v>
      </c>
      <c r="AZ111" s="8" t="b">
        <v>0</v>
      </c>
      <c r="BA111" s="8" t="s">
        <v>190</v>
      </c>
      <c r="BB111" s="8" t="s">
        <v>1222</v>
      </c>
      <c r="BC111" s="9"/>
      <c r="BD111" s="9"/>
      <c r="BE111" s="8" t="s">
        <v>1461</v>
      </c>
      <c r="BF111" s="9"/>
      <c r="BG111" s="9"/>
      <c r="BH111" s="9"/>
      <c r="BI111" s="8" t="s">
        <v>1303</v>
      </c>
      <c r="BJ111" s="8" t="s">
        <v>1462</v>
      </c>
      <c r="BK111" s="9"/>
      <c r="BL111" s="9"/>
      <c r="BM111" s="9"/>
      <c r="BN111" s="9"/>
      <c r="BO111" s="9"/>
      <c r="BP111" s="9"/>
      <c r="BQ111" s="9"/>
      <c r="BR111" s="8" t="s">
        <v>193</v>
      </c>
      <c r="BS111" s="8" t="s">
        <v>194</v>
      </c>
      <c r="BT111" s="9"/>
      <c r="BU111" s="8" t="s">
        <v>1227</v>
      </c>
      <c r="BV111" s="9"/>
      <c r="BW111" s="9"/>
      <c r="BX111" s="9"/>
      <c r="BY111" s="9"/>
      <c r="BZ111" s="9"/>
      <c r="CA111" s="9"/>
      <c r="CB111" s="8" t="s">
        <v>1463</v>
      </c>
      <c r="CC111" s="9"/>
      <c r="CD111" s="9"/>
      <c r="CE111" s="8" t="s">
        <v>366</v>
      </c>
      <c r="CF111" s="9"/>
      <c r="CG111" s="9"/>
      <c r="CH111" s="9"/>
      <c r="CI111" s="9"/>
      <c r="CJ111" s="9"/>
      <c r="CK111" s="9"/>
      <c r="CL111" s="9"/>
      <c r="CM111" s="9"/>
      <c r="CN111" s="9"/>
      <c r="CO111" s="9"/>
      <c r="CP111" s="9"/>
    </row>
    <row r="112">
      <c r="A112" s="7" t="s">
        <v>1464</v>
      </c>
      <c r="B112" s="8" t="s">
        <v>1465</v>
      </c>
      <c r="C112" s="8" t="s">
        <v>1466</v>
      </c>
      <c r="D112" s="8" t="s">
        <v>94</v>
      </c>
      <c r="E112" s="8" t="s">
        <v>95</v>
      </c>
      <c r="F112" s="9"/>
      <c r="G112" s="8" t="s">
        <v>1467</v>
      </c>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t="str">
        <f t="shared" si="15"/>
        <v/>
      </c>
      <c r="AK112" s="8"/>
      <c r="AL112" s="8"/>
      <c r="AM112" s="8" t="s">
        <v>105</v>
      </c>
      <c r="AN112" s="8" t="s">
        <v>1468</v>
      </c>
      <c r="AO112" s="9"/>
      <c r="AP112" s="9"/>
      <c r="AQ112" s="9"/>
      <c r="AR112" s="9"/>
      <c r="AS112" s="9"/>
      <c r="AT112" s="9"/>
      <c r="AU112" s="8" t="s">
        <v>1469</v>
      </c>
      <c r="AV112" s="8" t="s">
        <v>108</v>
      </c>
      <c r="AW112" s="9"/>
      <c r="AX112" s="9"/>
      <c r="AY112" s="8" t="s">
        <v>1470</v>
      </c>
      <c r="AZ112" s="8" t="b">
        <v>0</v>
      </c>
      <c r="BA112" s="8" t="s">
        <v>110</v>
      </c>
      <c r="BB112" s="8" t="s">
        <v>773</v>
      </c>
      <c r="BC112" s="9"/>
      <c r="BD112" s="9"/>
      <c r="BE112" s="8" t="s">
        <v>1471</v>
      </c>
      <c r="BF112" s="9"/>
      <c r="BG112" s="9"/>
      <c r="BH112" s="9"/>
      <c r="BI112" s="9"/>
      <c r="BJ112" s="9"/>
      <c r="BK112" s="9"/>
      <c r="BL112" s="9"/>
      <c r="BM112" s="9"/>
      <c r="BN112" s="9"/>
      <c r="BO112" s="9"/>
      <c r="BP112" s="9"/>
      <c r="BQ112" s="9"/>
      <c r="BR112" s="9"/>
      <c r="BS112" s="9"/>
      <c r="BT112" s="9"/>
      <c r="BU112" s="9"/>
      <c r="BV112" s="9"/>
      <c r="BW112" s="9"/>
      <c r="BX112" s="9"/>
      <c r="BY112" s="9"/>
      <c r="BZ112" s="9"/>
      <c r="CA112" s="9"/>
      <c r="CB112" s="8" t="s">
        <v>665</v>
      </c>
      <c r="CC112" s="9"/>
      <c r="CD112" s="9"/>
      <c r="CE112" s="8" t="s">
        <v>115</v>
      </c>
      <c r="CF112" s="8" t="s">
        <v>1472</v>
      </c>
      <c r="CG112" s="9"/>
      <c r="CH112" s="9"/>
      <c r="CI112" s="9"/>
      <c r="CJ112" s="9"/>
      <c r="CK112" s="9"/>
      <c r="CL112" s="9"/>
      <c r="CM112" s="9"/>
      <c r="CN112" s="9"/>
      <c r="CO112" s="9"/>
      <c r="CP112" s="9"/>
    </row>
    <row r="113">
      <c r="A113" s="7" t="s">
        <v>1473</v>
      </c>
      <c r="B113" s="8" t="s">
        <v>1474</v>
      </c>
      <c r="C113" s="8" t="s">
        <v>1475</v>
      </c>
      <c r="D113" s="8" t="s">
        <v>94</v>
      </c>
      <c r="E113" s="8" t="s">
        <v>95</v>
      </c>
      <c r="F113" s="9"/>
      <c r="G113" s="8" t="s">
        <v>1476</v>
      </c>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t="str">
        <f t="shared" si="15"/>
        <v/>
      </c>
      <c r="AK113" s="8"/>
      <c r="AL113" s="8"/>
      <c r="AM113" s="8" t="s">
        <v>1477</v>
      </c>
      <c r="AN113" s="8" t="s">
        <v>1478</v>
      </c>
      <c r="AO113" s="9"/>
      <c r="AP113" s="9"/>
      <c r="AQ113" s="9"/>
      <c r="AR113" s="8" t="s">
        <v>1479</v>
      </c>
      <c r="AS113" s="8" t="s">
        <v>1480</v>
      </c>
      <c r="AT113" s="9"/>
      <c r="AU113" s="8" t="s">
        <v>1481</v>
      </c>
      <c r="AV113" s="8" t="s">
        <v>108</v>
      </c>
      <c r="AW113" s="9"/>
      <c r="AX113" s="9"/>
      <c r="AY113" s="8" t="s">
        <v>1470</v>
      </c>
      <c r="AZ113" s="8" t="b">
        <v>0</v>
      </c>
      <c r="BA113" s="8" t="s">
        <v>110</v>
      </c>
      <c r="BB113" s="9"/>
      <c r="BC113" s="9"/>
      <c r="BD113" s="9"/>
      <c r="BE113" s="8" t="s">
        <v>1482</v>
      </c>
      <c r="BF113" s="9"/>
      <c r="BG113" s="9"/>
      <c r="BH113" s="9"/>
      <c r="BI113" s="9"/>
      <c r="BJ113" s="9"/>
      <c r="BK113" s="9"/>
      <c r="BL113" s="9"/>
      <c r="BM113" s="9"/>
      <c r="BN113" s="9"/>
      <c r="BO113" s="9"/>
      <c r="BP113" s="9"/>
      <c r="BQ113" s="9"/>
      <c r="BR113" s="9"/>
      <c r="BS113" s="9"/>
      <c r="BT113" s="9"/>
      <c r="BU113" s="9"/>
      <c r="BV113" s="9"/>
      <c r="BW113" s="9"/>
      <c r="BX113" s="9"/>
      <c r="BY113" s="9"/>
      <c r="BZ113" s="9"/>
      <c r="CA113" s="9"/>
      <c r="CB113" s="8" t="s">
        <v>1483</v>
      </c>
      <c r="CC113" s="9"/>
      <c r="CD113" s="9"/>
      <c r="CE113" s="8" t="s">
        <v>366</v>
      </c>
      <c r="CF113" s="8" t="s">
        <v>1484</v>
      </c>
      <c r="CG113" s="9"/>
      <c r="CH113" s="9"/>
      <c r="CI113" s="9"/>
      <c r="CJ113" s="9"/>
      <c r="CK113" s="9"/>
      <c r="CL113" s="9"/>
      <c r="CM113" s="9"/>
      <c r="CN113" s="9"/>
      <c r="CO113" s="9"/>
      <c r="CP113" s="9"/>
    </row>
    <row r="114">
      <c r="A114" s="7" t="s">
        <v>1485</v>
      </c>
      <c r="B114" s="8" t="s">
        <v>1486</v>
      </c>
      <c r="C114" s="8" t="s">
        <v>1487</v>
      </c>
      <c r="D114" s="8" t="s">
        <v>94</v>
      </c>
      <c r="E114" s="8" t="s">
        <v>95</v>
      </c>
      <c r="F114" s="9"/>
      <c r="G114" s="8" t="s">
        <v>1488</v>
      </c>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t="str">
        <f t="shared" si="15"/>
        <v/>
      </c>
      <c r="AK114" s="8"/>
      <c r="AL114" s="8"/>
      <c r="AM114" s="8" t="s">
        <v>1477</v>
      </c>
      <c r="AN114" s="8" t="s">
        <v>1489</v>
      </c>
      <c r="AO114" s="9"/>
      <c r="AP114" s="9"/>
      <c r="AQ114" s="9"/>
      <c r="AR114" s="8" t="s">
        <v>1479</v>
      </c>
      <c r="AS114" s="8" t="s">
        <v>1480</v>
      </c>
      <c r="AT114" s="9"/>
      <c r="AU114" s="8" t="s">
        <v>1490</v>
      </c>
      <c r="AV114" s="8" t="s">
        <v>108</v>
      </c>
      <c r="AW114" s="9"/>
      <c r="AX114" s="9"/>
      <c r="AY114" s="8" t="s">
        <v>1470</v>
      </c>
      <c r="AZ114" s="8" t="b">
        <v>0</v>
      </c>
      <c r="BA114" s="8" t="s">
        <v>110</v>
      </c>
      <c r="BB114" s="9"/>
      <c r="BC114" s="9"/>
      <c r="BD114" s="9"/>
      <c r="BE114" s="8" t="s">
        <v>1482</v>
      </c>
      <c r="BF114" s="9"/>
      <c r="BG114" s="9"/>
      <c r="BH114" s="9"/>
      <c r="BI114" s="9"/>
      <c r="BJ114" s="9"/>
      <c r="BK114" s="9"/>
      <c r="BL114" s="9"/>
      <c r="BM114" s="9"/>
      <c r="BN114" s="9"/>
      <c r="BO114" s="9"/>
      <c r="BP114" s="9"/>
      <c r="BQ114" s="9"/>
      <c r="BR114" s="9"/>
      <c r="BS114" s="9"/>
      <c r="BT114" s="9"/>
      <c r="BU114" s="9"/>
      <c r="BV114" s="9"/>
      <c r="BW114" s="9"/>
      <c r="BX114" s="9"/>
      <c r="BY114" s="9"/>
      <c r="BZ114" s="9"/>
      <c r="CA114" s="9"/>
      <c r="CB114" s="8" t="s">
        <v>1491</v>
      </c>
      <c r="CC114" s="9"/>
      <c r="CD114" s="9"/>
      <c r="CE114" s="8" t="s">
        <v>366</v>
      </c>
      <c r="CF114" s="8" t="s">
        <v>1492</v>
      </c>
      <c r="CG114" s="9"/>
      <c r="CH114" s="9"/>
      <c r="CI114" s="9"/>
      <c r="CJ114" s="9"/>
      <c r="CK114" s="9"/>
      <c r="CL114" s="9"/>
      <c r="CM114" s="9"/>
      <c r="CN114" s="9"/>
      <c r="CO114" s="9"/>
      <c r="CP114" s="9"/>
    </row>
    <row r="115">
      <c r="A115" s="7" t="s">
        <v>1493</v>
      </c>
      <c r="B115" s="8" t="s">
        <v>1494</v>
      </c>
      <c r="C115" s="8" t="s">
        <v>1495</v>
      </c>
      <c r="D115" s="8" t="s">
        <v>94</v>
      </c>
      <c r="E115" s="8" t="s">
        <v>95</v>
      </c>
      <c r="F115" s="9"/>
      <c r="G115" s="8" t="s">
        <v>1496</v>
      </c>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t="str">
        <f t="shared" si="15"/>
        <v/>
      </c>
      <c r="AK115" s="8"/>
      <c r="AL115" s="8"/>
      <c r="AM115" s="8" t="s">
        <v>1477</v>
      </c>
      <c r="AN115" s="8" t="s">
        <v>1497</v>
      </c>
      <c r="AO115" s="9"/>
      <c r="AP115" s="9"/>
      <c r="AQ115" s="9"/>
      <c r="AR115" s="8" t="s">
        <v>1479</v>
      </c>
      <c r="AS115" s="8" t="s">
        <v>1480</v>
      </c>
      <c r="AT115" s="9"/>
      <c r="AU115" s="8" t="s">
        <v>1498</v>
      </c>
      <c r="AV115" s="8" t="s">
        <v>108</v>
      </c>
      <c r="AW115" s="9"/>
      <c r="AX115" s="9"/>
      <c r="AY115" s="8" t="s">
        <v>1470</v>
      </c>
      <c r="AZ115" s="8" t="b">
        <v>0</v>
      </c>
      <c r="BA115" s="8" t="s">
        <v>110</v>
      </c>
      <c r="BB115" s="9"/>
      <c r="BC115" s="9"/>
      <c r="BD115" s="9"/>
      <c r="BE115" s="8" t="s">
        <v>1499</v>
      </c>
      <c r="BF115" s="9"/>
      <c r="BG115" s="9"/>
      <c r="BH115" s="9"/>
      <c r="BI115" s="9"/>
      <c r="BJ115" s="9"/>
      <c r="BK115" s="9"/>
      <c r="BL115" s="9"/>
      <c r="BM115" s="9"/>
      <c r="BN115" s="9"/>
      <c r="BO115" s="9"/>
      <c r="BP115" s="9"/>
      <c r="BQ115" s="9"/>
      <c r="BR115" s="9"/>
      <c r="BS115" s="9"/>
      <c r="BT115" s="9"/>
      <c r="BU115" s="9"/>
      <c r="BV115" s="9"/>
      <c r="BW115" s="9"/>
      <c r="BX115" s="9"/>
      <c r="BY115" s="9"/>
      <c r="BZ115" s="9"/>
      <c r="CA115" s="9"/>
      <c r="CB115" s="8" t="s">
        <v>1500</v>
      </c>
      <c r="CC115" s="9"/>
      <c r="CD115" s="9"/>
      <c r="CE115" s="8" t="s">
        <v>366</v>
      </c>
      <c r="CF115" s="8" t="s">
        <v>1501</v>
      </c>
      <c r="CG115" s="9"/>
      <c r="CH115" s="9"/>
      <c r="CI115" s="9"/>
      <c r="CJ115" s="9"/>
      <c r="CK115" s="9"/>
      <c r="CL115" s="9"/>
      <c r="CM115" s="9"/>
      <c r="CN115" s="9"/>
      <c r="CO115" s="9"/>
      <c r="CP115" s="9"/>
    </row>
    <row r="116">
      <c r="A116" s="7" t="s">
        <v>1502</v>
      </c>
      <c r="B116" s="8" t="s">
        <v>1503</v>
      </c>
      <c r="C116" s="8" t="s">
        <v>1503</v>
      </c>
      <c r="D116" s="8" t="s">
        <v>354</v>
      </c>
      <c r="E116" s="8" t="s">
        <v>355</v>
      </c>
      <c r="F116" s="9"/>
      <c r="G116" s="8" t="s">
        <v>1504</v>
      </c>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t="str">
        <f t="shared" si="15"/>
        <v/>
      </c>
      <c r="AK116" s="8"/>
      <c r="AL116" s="8"/>
      <c r="AM116" s="8" t="s">
        <v>1217</v>
      </c>
      <c r="AN116" s="9"/>
      <c r="AO116" s="9"/>
      <c r="AP116" s="9"/>
      <c r="AQ116" s="9"/>
      <c r="AR116" s="8" t="s">
        <v>1218</v>
      </c>
      <c r="AS116" s="8" t="s">
        <v>1219</v>
      </c>
      <c r="AT116" s="9"/>
      <c r="AU116" s="8" t="s">
        <v>1505</v>
      </c>
      <c r="AV116" s="9"/>
      <c r="AW116" s="8" t="s">
        <v>1506</v>
      </c>
      <c r="AX116" s="8" t="s">
        <v>115</v>
      </c>
      <c r="AY116" s="8" t="s">
        <v>1470</v>
      </c>
      <c r="AZ116" s="8" t="b">
        <v>0</v>
      </c>
      <c r="BA116" s="8" t="s">
        <v>190</v>
      </c>
      <c r="BB116" s="8" t="s">
        <v>1222</v>
      </c>
      <c r="BC116" s="9"/>
      <c r="BD116" s="9"/>
      <c r="BE116" s="8" t="s">
        <v>1223</v>
      </c>
      <c r="BF116" s="9"/>
      <c r="BG116" s="9"/>
      <c r="BH116" s="9"/>
      <c r="BI116" s="8" t="s">
        <v>1507</v>
      </c>
      <c r="BJ116" s="8" t="s">
        <v>1508</v>
      </c>
      <c r="BK116" s="9"/>
      <c r="BL116" s="9"/>
      <c r="BM116" s="9"/>
      <c r="BN116" s="9"/>
      <c r="BO116" s="9"/>
      <c r="BP116" s="9"/>
      <c r="BQ116" s="9"/>
      <c r="BR116" s="8" t="s">
        <v>193</v>
      </c>
      <c r="BS116" s="8" t="s">
        <v>194</v>
      </c>
      <c r="BT116" s="9"/>
      <c r="BU116" s="9"/>
      <c r="BV116" s="8" t="s">
        <v>1509</v>
      </c>
      <c r="BW116" s="9"/>
      <c r="BX116" s="9"/>
      <c r="BY116" s="9"/>
      <c r="BZ116" s="9"/>
      <c r="CA116" s="9"/>
      <c r="CB116" s="8" t="s">
        <v>1463</v>
      </c>
      <c r="CC116" s="9"/>
      <c r="CD116" s="9"/>
      <c r="CE116" s="8" t="s">
        <v>366</v>
      </c>
      <c r="CF116" s="9"/>
      <c r="CG116" s="9"/>
      <c r="CH116" s="9"/>
      <c r="CI116" s="9"/>
      <c r="CJ116" s="9"/>
      <c r="CK116" s="9"/>
      <c r="CL116" s="9"/>
      <c r="CM116" s="9"/>
      <c r="CN116" s="9"/>
      <c r="CO116" s="9"/>
      <c r="CP116" s="9"/>
    </row>
    <row r="117">
      <c r="A117" s="4" t="s">
        <v>1510</v>
      </c>
      <c r="B117" s="5" t="s">
        <v>1511</v>
      </c>
      <c r="C117" s="5" t="s">
        <v>1512</v>
      </c>
      <c r="D117" s="5" t="s">
        <v>94</v>
      </c>
      <c r="E117" s="5" t="s">
        <v>95</v>
      </c>
      <c r="F117" s="6"/>
      <c r="G117" s="5" t="s">
        <v>1513</v>
      </c>
      <c r="H117" s="5" t="s">
        <v>97</v>
      </c>
      <c r="I117" s="5" t="s">
        <v>1329</v>
      </c>
      <c r="J117" s="5"/>
      <c r="K117" s="5"/>
      <c r="L117" s="5"/>
      <c r="M117" s="5" t="s">
        <v>1514</v>
      </c>
      <c r="N117" s="5" t="s">
        <v>1515</v>
      </c>
      <c r="O117" s="5" t="s">
        <v>1516</v>
      </c>
      <c r="P117" s="5" t="s">
        <v>1517</v>
      </c>
      <c r="Q117" s="5"/>
      <c r="R117" s="5"/>
      <c r="S117" s="5" t="s">
        <v>100</v>
      </c>
      <c r="T117" s="5" t="s">
        <v>100</v>
      </c>
      <c r="U117" s="5" t="s">
        <v>100</v>
      </c>
      <c r="V117" s="5" t="s">
        <v>100</v>
      </c>
      <c r="W117" s="5" t="s">
        <v>100</v>
      </c>
      <c r="X117" s="5" t="s">
        <v>100</v>
      </c>
      <c r="Y117" s="5" t="s">
        <v>1518</v>
      </c>
      <c r="Z117" s="5" t="s">
        <v>1519</v>
      </c>
      <c r="AA117" s="5"/>
      <c r="AB117" s="5" t="s">
        <v>100</v>
      </c>
      <c r="AC117" s="5" t="s">
        <v>100</v>
      </c>
      <c r="AD117" s="5" t="s">
        <v>100</v>
      </c>
      <c r="AE117" s="5" t="s">
        <v>100</v>
      </c>
      <c r="AF117" s="5" t="s">
        <v>100</v>
      </c>
      <c r="AG117" s="5" t="s">
        <v>100</v>
      </c>
      <c r="AH117" s="5" t="s">
        <v>100</v>
      </c>
      <c r="AI117" s="5" t="s">
        <v>1520</v>
      </c>
      <c r="AJ117" s="5" t="s">
        <v>1521</v>
      </c>
      <c r="AK117" s="5" t="s">
        <v>124</v>
      </c>
      <c r="AL117" s="5" t="s">
        <v>124</v>
      </c>
      <c r="AM117" s="5" t="s">
        <v>105</v>
      </c>
      <c r="AN117" s="5" t="s">
        <v>1522</v>
      </c>
      <c r="AO117" s="6"/>
      <c r="AP117" s="6"/>
      <c r="AQ117" s="6"/>
      <c r="AR117" s="6"/>
      <c r="AS117" s="6"/>
      <c r="AT117" s="6"/>
      <c r="AU117" s="5" t="s">
        <v>1523</v>
      </c>
      <c r="AV117" s="5" t="s">
        <v>108</v>
      </c>
      <c r="AW117" s="6"/>
      <c r="AX117" s="6"/>
      <c r="AY117" s="5" t="s">
        <v>1524</v>
      </c>
      <c r="AZ117" s="5" t="b">
        <v>0</v>
      </c>
      <c r="BA117" s="5" t="s">
        <v>110</v>
      </c>
      <c r="BB117" s="5" t="s">
        <v>773</v>
      </c>
      <c r="BC117" s="6"/>
      <c r="BD117" s="6"/>
      <c r="BE117" s="5" t="s">
        <v>1525</v>
      </c>
      <c r="BF117" s="6"/>
      <c r="BG117" s="6"/>
      <c r="BH117" s="6"/>
      <c r="BI117" s="6"/>
      <c r="BJ117" s="6"/>
      <c r="BK117" s="6"/>
      <c r="BL117" s="6"/>
      <c r="BM117" s="6"/>
      <c r="BN117" s="6"/>
      <c r="BO117" s="6"/>
      <c r="BP117" s="6"/>
      <c r="BQ117" s="6"/>
      <c r="BR117" s="6"/>
      <c r="BS117" s="6"/>
      <c r="BT117" s="6"/>
      <c r="BU117" s="6"/>
      <c r="BV117" s="6"/>
      <c r="BW117" s="6"/>
      <c r="BX117" s="6"/>
      <c r="BY117" s="6"/>
      <c r="BZ117" s="6"/>
      <c r="CA117" s="6"/>
      <c r="CB117" s="5" t="s">
        <v>665</v>
      </c>
      <c r="CC117" s="6"/>
      <c r="CD117" s="6"/>
      <c r="CE117" s="5" t="s">
        <v>115</v>
      </c>
      <c r="CF117" s="5" t="s">
        <v>1526</v>
      </c>
      <c r="CG117" s="6"/>
      <c r="CH117" s="6"/>
      <c r="CI117" s="6"/>
      <c r="CJ117" s="6"/>
      <c r="CK117" s="6"/>
      <c r="CL117" s="6"/>
      <c r="CM117" s="6"/>
      <c r="CN117" s="6"/>
      <c r="CO117" s="6"/>
      <c r="CP117" s="6"/>
    </row>
    <row r="118">
      <c r="A118" s="7" t="s">
        <v>1527</v>
      </c>
      <c r="B118" s="8" t="s">
        <v>1528</v>
      </c>
      <c r="C118" s="8" t="s">
        <v>1529</v>
      </c>
      <c r="D118" s="8" t="s">
        <v>94</v>
      </c>
      <c r="E118" s="8" t="s">
        <v>95</v>
      </c>
      <c r="F118" s="9"/>
      <c r="G118" s="8" t="s">
        <v>1530</v>
      </c>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t="str">
        <f t="shared" ref="AJ118:AJ120" si="16">CONCATENATE(J118,K118,L118,Q118,R118,X118,Y118,AA118,AG118)</f>
        <v/>
      </c>
      <c r="AK118" s="8"/>
      <c r="AL118" s="8"/>
      <c r="AM118" s="8" t="s">
        <v>1477</v>
      </c>
      <c r="AN118" s="8" t="s">
        <v>1531</v>
      </c>
      <c r="AO118" s="9"/>
      <c r="AP118" s="9"/>
      <c r="AQ118" s="9"/>
      <c r="AR118" s="8" t="s">
        <v>1479</v>
      </c>
      <c r="AS118" s="8" t="s">
        <v>1480</v>
      </c>
      <c r="AT118" s="9"/>
      <c r="AU118" s="8" t="s">
        <v>1532</v>
      </c>
      <c r="AV118" s="8" t="s">
        <v>108</v>
      </c>
      <c r="AW118" s="9"/>
      <c r="AX118" s="9"/>
      <c r="AY118" s="8" t="s">
        <v>1524</v>
      </c>
      <c r="AZ118" s="8" t="b">
        <v>0</v>
      </c>
      <c r="BA118" s="8" t="s">
        <v>110</v>
      </c>
      <c r="BB118" s="9"/>
      <c r="BC118" s="9"/>
      <c r="BD118" s="9"/>
      <c r="BE118" s="8" t="s">
        <v>1533</v>
      </c>
      <c r="BF118" s="9"/>
      <c r="BG118" s="9"/>
      <c r="BH118" s="9"/>
      <c r="BI118" s="9"/>
      <c r="BJ118" s="9"/>
      <c r="BK118" s="9"/>
      <c r="BL118" s="9"/>
      <c r="BM118" s="9"/>
      <c r="BN118" s="9"/>
      <c r="BO118" s="9"/>
      <c r="BP118" s="9"/>
      <c r="BQ118" s="9"/>
      <c r="BR118" s="9"/>
      <c r="BS118" s="9"/>
      <c r="BT118" s="9"/>
      <c r="BU118" s="9"/>
      <c r="BV118" s="9"/>
      <c r="BW118" s="9"/>
      <c r="BX118" s="9"/>
      <c r="BY118" s="9"/>
      <c r="BZ118" s="9"/>
      <c r="CA118" s="9"/>
      <c r="CB118" s="8" t="s">
        <v>1534</v>
      </c>
      <c r="CC118" s="9"/>
      <c r="CD118" s="9"/>
      <c r="CE118" s="8" t="s">
        <v>366</v>
      </c>
      <c r="CF118" s="8" t="s">
        <v>1535</v>
      </c>
      <c r="CG118" s="9"/>
      <c r="CH118" s="9"/>
      <c r="CI118" s="9"/>
      <c r="CJ118" s="9"/>
      <c r="CK118" s="9"/>
      <c r="CL118" s="9"/>
      <c r="CM118" s="9"/>
      <c r="CN118" s="9"/>
      <c r="CO118" s="9"/>
      <c r="CP118" s="9"/>
    </row>
    <row r="119">
      <c r="A119" s="7" t="s">
        <v>1536</v>
      </c>
      <c r="B119" s="8" t="s">
        <v>1537</v>
      </c>
      <c r="C119" s="8" t="s">
        <v>1538</v>
      </c>
      <c r="D119" s="8" t="s">
        <v>94</v>
      </c>
      <c r="E119" s="8" t="s">
        <v>95</v>
      </c>
      <c r="F119" s="9"/>
      <c r="G119" s="8" t="s">
        <v>1539</v>
      </c>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t="str">
        <f t="shared" si="16"/>
        <v/>
      </c>
      <c r="AK119" s="8"/>
      <c r="AL119" s="8"/>
      <c r="AM119" s="8" t="s">
        <v>1477</v>
      </c>
      <c r="AN119" s="8" t="s">
        <v>1540</v>
      </c>
      <c r="AO119" s="9"/>
      <c r="AP119" s="9"/>
      <c r="AQ119" s="9"/>
      <c r="AR119" s="8" t="s">
        <v>1479</v>
      </c>
      <c r="AS119" s="8" t="s">
        <v>1480</v>
      </c>
      <c r="AT119" s="9"/>
      <c r="AU119" s="8" t="s">
        <v>1541</v>
      </c>
      <c r="AV119" s="8" t="s">
        <v>108</v>
      </c>
      <c r="AW119" s="9"/>
      <c r="AX119" s="9"/>
      <c r="AY119" s="8" t="s">
        <v>1524</v>
      </c>
      <c r="AZ119" s="8" t="b">
        <v>0</v>
      </c>
      <c r="BA119" s="8" t="s">
        <v>110</v>
      </c>
      <c r="BB119" s="9"/>
      <c r="BC119" s="9"/>
      <c r="BD119" s="8" t="s">
        <v>112</v>
      </c>
      <c r="BE119" s="8" t="s">
        <v>1542</v>
      </c>
      <c r="BF119" s="9"/>
      <c r="BG119" s="9"/>
      <c r="BH119" s="9"/>
      <c r="BI119" s="9"/>
      <c r="BJ119" s="9"/>
      <c r="BK119" s="9"/>
      <c r="BL119" s="9"/>
      <c r="BM119" s="9"/>
      <c r="BN119" s="9"/>
      <c r="BO119" s="9"/>
      <c r="BP119" s="9"/>
      <c r="BQ119" s="9"/>
      <c r="BR119" s="9"/>
      <c r="BS119" s="9"/>
      <c r="BT119" s="9"/>
      <c r="BU119" s="9"/>
      <c r="BV119" s="9"/>
      <c r="BW119" s="9"/>
      <c r="BX119" s="9"/>
      <c r="BY119" s="9"/>
      <c r="BZ119" s="9"/>
      <c r="CA119" s="9"/>
      <c r="CB119" s="8" t="s">
        <v>665</v>
      </c>
      <c r="CC119" s="9"/>
      <c r="CD119" s="9"/>
      <c r="CE119" s="8" t="s">
        <v>366</v>
      </c>
      <c r="CF119" s="8" t="s">
        <v>1543</v>
      </c>
      <c r="CG119" s="9"/>
      <c r="CH119" s="9"/>
      <c r="CI119" s="9"/>
      <c r="CJ119" s="9"/>
      <c r="CK119" s="9"/>
      <c r="CL119" s="9"/>
      <c r="CM119" s="9"/>
      <c r="CN119" s="9"/>
      <c r="CO119" s="9"/>
      <c r="CP119" s="9"/>
    </row>
    <row r="120">
      <c r="A120" s="7" t="s">
        <v>1544</v>
      </c>
      <c r="B120" s="8" t="s">
        <v>1545</v>
      </c>
      <c r="C120" s="8" t="s">
        <v>1545</v>
      </c>
      <c r="D120" s="8" t="s">
        <v>94</v>
      </c>
      <c r="E120" s="8" t="s">
        <v>1546</v>
      </c>
      <c r="F120" s="9"/>
      <c r="G120" s="8" t="s">
        <v>1547</v>
      </c>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t="str">
        <f t="shared" si="16"/>
        <v/>
      </c>
      <c r="AK120" s="8"/>
      <c r="AL120" s="8"/>
      <c r="AM120" s="9"/>
      <c r="AN120" s="9"/>
      <c r="AO120" s="9"/>
      <c r="AP120" s="9"/>
      <c r="AQ120" s="9"/>
      <c r="AR120" s="9"/>
      <c r="AS120" s="9"/>
      <c r="AT120" s="9"/>
      <c r="AU120" s="8" t="s">
        <v>1548</v>
      </c>
      <c r="AV120" s="9"/>
      <c r="AW120" s="9"/>
      <c r="AX120" s="9"/>
      <c r="AY120" s="8" t="s">
        <v>1524</v>
      </c>
      <c r="AZ120" s="8" t="b">
        <v>0</v>
      </c>
      <c r="BA120" s="8" t="s">
        <v>190</v>
      </c>
      <c r="BB120" s="8" t="s">
        <v>191</v>
      </c>
      <c r="BC120" s="9"/>
      <c r="BD120" s="8" t="s">
        <v>112</v>
      </c>
      <c r="BE120" s="8" t="s">
        <v>1549</v>
      </c>
      <c r="BF120" s="9"/>
      <c r="BG120" s="9"/>
      <c r="BH120" s="9"/>
      <c r="BI120" s="9"/>
      <c r="BJ120" s="9"/>
      <c r="BK120" s="8" t="s">
        <v>1550</v>
      </c>
      <c r="BL120" s="9"/>
      <c r="BM120" s="9"/>
      <c r="BN120" s="9"/>
      <c r="BO120" s="9"/>
      <c r="BP120" s="9"/>
      <c r="BQ120" s="9"/>
      <c r="BR120" s="8" t="s">
        <v>193</v>
      </c>
      <c r="BS120" s="8" t="s">
        <v>194</v>
      </c>
      <c r="BT120" s="9"/>
      <c r="BU120" s="8" t="s">
        <v>1551</v>
      </c>
      <c r="BV120" s="8" t="s">
        <v>1552</v>
      </c>
      <c r="BW120" s="9"/>
      <c r="BX120" s="9"/>
      <c r="BY120" s="9"/>
      <c r="BZ120" s="9"/>
      <c r="CA120" s="9"/>
      <c r="CB120" s="8" t="s">
        <v>1553</v>
      </c>
      <c r="CC120" s="9"/>
      <c r="CD120" s="9"/>
      <c r="CE120" s="8" t="s">
        <v>115</v>
      </c>
      <c r="CF120" s="8" t="s">
        <v>1554</v>
      </c>
      <c r="CG120" s="9"/>
      <c r="CH120" s="9"/>
      <c r="CI120" s="9"/>
      <c r="CJ120" s="9"/>
      <c r="CK120" s="9"/>
      <c r="CL120" s="9"/>
      <c r="CM120" s="9"/>
      <c r="CN120" s="9"/>
      <c r="CO120" s="9"/>
      <c r="CP120" s="9"/>
    </row>
    <row r="121">
      <c r="A121" s="4" t="s">
        <v>1555</v>
      </c>
      <c r="B121" s="5" t="s">
        <v>1556</v>
      </c>
      <c r="C121" s="5" t="s">
        <v>1557</v>
      </c>
      <c r="D121" s="5" t="s">
        <v>94</v>
      </c>
      <c r="E121" s="5" t="s">
        <v>95</v>
      </c>
      <c r="F121" s="6"/>
      <c r="G121" s="5" t="s">
        <v>1558</v>
      </c>
      <c r="H121" s="5" t="s">
        <v>97</v>
      </c>
      <c r="I121" s="5" t="s">
        <v>1329</v>
      </c>
      <c r="J121" s="5"/>
      <c r="K121" s="5"/>
      <c r="L121" s="5"/>
      <c r="M121" s="5" t="s">
        <v>1559</v>
      </c>
      <c r="N121" s="5" t="s">
        <v>100</v>
      </c>
      <c r="O121" s="5" t="s">
        <v>100</v>
      </c>
      <c r="P121" s="5" t="s">
        <v>1560</v>
      </c>
      <c r="Q121" s="5"/>
      <c r="R121" s="5"/>
      <c r="S121" s="5" t="s">
        <v>100</v>
      </c>
      <c r="T121" s="5" t="s">
        <v>100</v>
      </c>
      <c r="U121" s="5" t="s">
        <v>100</v>
      </c>
      <c r="V121" s="5" t="s">
        <v>100</v>
      </c>
      <c r="W121" s="5" t="s">
        <v>100</v>
      </c>
      <c r="X121" s="5" t="s">
        <v>100</v>
      </c>
      <c r="Y121" s="5" t="s">
        <v>100</v>
      </c>
      <c r="Z121" s="5" t="s">
        <v>100</v>
      </c>
      <c r="AA121" s="5"/>
      <c r="AB121" s="5" t="s">
        <v>100</v>
      </c>
      <c r="AC121" s="5" t="s">
        <v>100</v>
      </c>
      <c r="AD121" s="5" t="s">
        <v>100</v>
      </c>
      <c r="AE121" s="5" t="s">
        <v>100</v>
      </c>
      <c r="AF121" s="5" t="s">
        <v>100</v>
      </c>
      <c r="AG121" s="5" t="s">
        <v>100</v>
      </c>
      <c r="AH121" s="5" t="s">
        <v>100</v>
      </c>
      <c r="AI121" s="5" t="s">
        <v>1561</v>
      </c>
      <c r="AJ121" s="5" t="s">
        <v>1562</v>
      </c>
      <c r="AK121" s="5" t="s">
        <v>124</v>
      </c>
      <c r="AL121" s="5" t="s">
        <v>124</v>
      </c>
      <c r="AM121" s="5" t="s">
        <v>105</v>
      </c>
      <c r="AN121" s="5" t="s">
        <v>1563</v>
      </c>
      <c r="AO121" s="6"/>
      <c r="AP121" s="6"/>
      <c r="AQ121" s="6"/>
      <c r="AR121" s="6"/>
      <c r="AS121" s="6"/>
      <c r="AT121" s="6"/>
      <c r="AU121" s="5" t="s">
        <v>1564</v>
      </c>
      <c r="AV121" s="6"/>
      <c r="AW121" s="6"/>
      <c r="AX121" s="6"/>
      <c r="AY121" s="5" t="s">
        <v>1565</v>
      </c>
      <c r="AZ121" s="5" t="b">
        <v>0</v>
      </c>
      <c r="BA121" s="5" t="s">
        <v>190</v>
      </c>
      <c r="BB121" s="5" t="s">
        <v>628</v>
      </c>
      <c r="BC121" s="5" t="s">
        <v>629</v>
      </c>
      <c r="BD121" s="5" t="s">
        <v>630</v>
      </c>
      <c r="BE121" s="5" t="s">
        <v>1566</v>
      </c>
      <c r="BF121" s="6"/>
      <c r="BG121" s="6"/>
      <c r="BH121" s="6"/>
      <c r="BI121" s="6"/>
      <c r="BJ121" s="6"/>
      <c r="BK121" s="5" t="s">
        <v>1567</v>
      </c>
      <c r="BL121" s="6"/>
      <c r="BM121" s="6"/>
      <c r="BN121" s="6"/>
      <c r="BO121" s="6"/>
      <c r="BP121" s="6"/>
      <c r="BQ121" s="6"/>
      <c r="BR121" s="5" t="s">
        <v>193</v>
      </c>
      <c r="BS121" s="6"/>
      <c r="BT121" s="6"/>
      <c r="BU121" s="6"/>
      <c r="BV121" s="5" t="s">
        <v>1568</v>
      </c>
      <c r="BW121" s="6"/>
      <c r="BX121" s="6"/>
      <c r="BY121" s="6"/>
      <c r="BZ121" s="6"/>
      <c r="CA121" s="6"/>
      <c r="CB121" s="5" t="s">
        <v>1569</v>
      </c>
      <c r="CC121" s="6"/>
      <c r="CD121" s="6"/>
      <c r="CE121" s="5" t="s">
        <v>197</v>
      </c>
      <c r="CF121" s="5" t="s">
        <v>1570</v>
      </c>
      <c r="CG121" s="6"/>
      <c r="CH121" s="6"/>
      <c r="CI121" s="6"/>
      <c r="CJ121" s="6"/>
      <c r="CK121" s="6"/>
      <c r="CL121" s="6"/>
      <c r="CM121" s="6"/>
      <c r="CN121" s="6"/>
      <c r="CO121" s="6"/>
      <c r="CP121" s="6"/>
    </row>
    <row r="122">
      <c r="A122" s="7" t="s">
        <v>1571</v>
      </c>
      <c r="B122" s="8" t="s">
        <v>1572</v>
      </c>
      <c r="C122" s="8" t="s">
        <v>1573</v>
      </c>
      <c r="D122" s="8" t="s">
        <v>94</v>
      </c>
      <c r="E122" s="8" t="s">
        <v>95</v>
      </c>
      <c r="F122" s="9"/>
      <c r="G122" s="8" t="s">
        <v>1574</v>
      </c>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t="s">
        <v>105</v>
      </c>
      <c r="AN122" s="8" t="s">
        <v>1575</v>
      </c>
      <c r="AO122" s="9"/>
      <c r="AP122" s="9"/>
      <c r="AQ122" s="9"/>
      <c r="AR122" s="9"/>
      <c r="AS122" s="9"/>
      <c r="AT122" s="9"/>
      <c r="AU122" s="8" t="s">
        <v>1576</v>
      </c>
      <c r="AV122" s="8" t="s">
        <v>108</v>
      </c>
      <c r="AW122" s="9"/>
      <c r="AX122" s="9"/>
      <c r="AY122" s="8" t="s">
        <v>1565</v>
      </c>
      <c r="AZ122" s="8" t="b">
        <v>0</v>
      </c>
      <c r="BA122" s="8" t="s">
        <v>110</v>
      </c>
      <c r="BB122" s="8" t="s">
        <v>277</v>
      </c>
      <c r="BC122" s="9"/>
      <c r="BD122" s="9"/>
      <c r="BE122" s="8" t="s">
        <v>1577</v>
      </c>
      <c r="BF122" s="9"/>
      <c r="BG122" s="9"/>
      <c r="BH122" s="9"/>
      <c r="BI122" s="9"/>
      <c r="BJ122" s="9"/>
      <c r="BK122" s="9"/>
      <c r="BL122" s="9"/>
      <c r="BM122" s="9"/>
      <c r="BN122" s="9"/>
      <c r="BO122" s="9"/>
      <c r="BP122" s="9"/>
      <c r="BQ122" s="9"/>
      <c r="BR122" s="9"/>
      <c r="BS122" s="9"/>
      <c r="BT122" s="9"/>
      <c r="BU122" s="9"/>
      <c r="BV122" s="9"/>
      <c r="BW122" s="9"/>
      <c r="BX122" s="9"/>
      <c r="BY122" s="9"/>
      <c r="BZ122" s="9"/>
      <c r="CA122" s="9"/>
      <c r="CB122" s="8" t="s">
        <v>665</v>
      </c>
      <c r="CC122" s="9"/>
      <c r="CD122" s="9"/>
      <c r="CE122" s="8" t="s">
        <v>115</v>
      </c>
      <c r="CF122" s="8" t="s">
        <v>1578</v>
      </c>
      <c r="CG122" s="9"/>
      <c r="CH122" s="9"/>
      <c r="CI122" s="9"/>
      <c r="CJ122" s="9"/>
      <c r="CK122" s="9"/>
      <c r="CL122" s="9"/>
      <c r="CM122" s="9"/>
      <c r="CN122" s="9"/>
      <c r="CO122" s="9"/>
      <c r="CP122" s="9"/>
    </row>
    <row r="123">
      <c r="A123" s="7" t="s">
        <v>1579</v>
      </c>
      <c r="B123" s="8" t="s">
        <v>1580</v>
      </c>
      <c r="C123" s="8" t="s">
        <v>1581</v>
      </c>
      <c r="D123" s="8" t="s">
        <v>94</v>
      </c>
      <c r="E123" s="8" t="s">
        <v>95</v>
      </c>
      <c r="F123" s="9"/>
      <c r="G123" s="8" t="s">
        <v>1582</v>
      </c>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t="str">
        <f t="shared" ref="AJ123:AJ125" si="17">CONCATENATE(J123,K123,L123,Q123,R123,X123,Y123,AA123,AG123)</f>
        <v/>
      </c>
      <c r="AK123" s="8"/>
      <c r="AL123" s="8"/>
      <c r="AM123" s="8" t="s">
        <v>1583</v>
      </c>
      <c r="AN123" s="8" t="s">
        <v>903</v>
      </c>
      <c r="AO123" s="9"/>
      <c r="AP123" s="9"/>
      <c r="AQ123" s="9"/>
      <c r="AR123" s="9"/>
      <c r="AS123" s="9"/>
      <c r="AT123" s="9"/>
      <c r="AU123" s="8" t="s">
        <v>1584</v>
      </c>
      <c r="AV123" s="8" t="s">
        <v>108</v>
      </c>
      <c r="AW123" s="9"/>
      <c r="AX123" s="9"/>
      <c r="AY123" s="8" t="s">
        <v>1565</v>
      </c>
      <c r="AZ123" s="8" t="b">
        <v>0</v>
      </c>
      <c r="BA123" s="8" t="s">
        <v>110</v>
      </c>
      <c r="BB123" s="9"/>
      <c r="BC123" s="9"/>
      <c r="BD123" s="9"/>
      <c r="BE123" s="8" t="s">
        <v>1585</v>
      </c>
      <c r="BF123" s="9"/>
      <c r="BG123" s="9"/>
      <c r="BH123" s="9"/>
      <c r="BI123" s="9"/>
      <c r="BJ123" s="9"/>
      <c r="BK123" s="9"/>
      <c r="BL123" s="9"/>
      <c r="BM123" s="9"/>
      <c r="BN123" s="9"/>
      <c r="BO123" s="9"/>
      <c r="BP123" s="9"/>
      <c r="BQ123" s="9"/>
      <c r="BR123" s="9"/>
      <c r="BS123" s="9"/>
      <c r="BT123" s="9"/>
      <c r="BU123" s="9"/>
      <c r="BV123" s="9"/>
      <c r="BW123" s="9"/>
      <c r="BX123" s="9"/>
      <c r="BY123" s="8" t="s">
        <v>1586</v>
      </c>
      <c r="BZ123" s="9"/>
      <c r="CA123" s="9"/>
      <c r="CB123" s="8" t="s">
        <v>1587</v>
      </c>
      <c r="CC123" s="9"/>
      <c r="CD123" s="9"/>
      <c r="CE123" s="8" t="s">
        <v>115</v>
      </c>
      <c r="CF123" s="8" t="s">
        <v>1588</v>
      </c>
      <c r="CG123" s="9"/>
      <c r="CH123" s="9"/>
      <c r="CI123" s="9"/>
      <c r="CJ123" s="9"/>
      <c r="CK123" s="9"/>
      <c r="CL123" s="9"/>
      <c r="CM123" s="9"/>
      <c r="CN123" s="9"/>
      <c r="CO123" s="9"/>
      <c r="CP123" s="9"/>
    </row>
    <row r="124">
      <c r="A124" s="7" t="s">
        <v>1589</v>
      </c>
      <c r="B124" s="8" t="s">
        <v>1590</v>
      </c>
      <c r="C124" s="8" t="s">
        <v>1590</v>
      </c>
      <c r="D124" s="8" t="s">
        <v>354</v>
      </c>
      <c r="E124" s="8" t="s">
        <v>355</v>
      </c>
      <c r="F124" s="9"/>
      <c r="G124" s="8" t="s">
        <v>1591</v>
      </c>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t="str">
        <f t="shared" si="17"/>
        <v/>
      </c>
      <c r="AK124" s="8"/>
      <c r="AL124" s="8"/>
      <c r="AM124" s="8" t="s">
        <v>1592</v>
      </c>
      <c r="AN124" s="9"/>
      <c r="AO124" s="9"/>
      <c r="AP124" s="9"/>
      <c r="AQ124" s="9"/>
      <c r="AR124" s="9"/>
      <c r="AS124" s="9"/>
      <c r="AT124" s="9"/>
      <c r="AU124" s="8" t="s">
        <v>1593</v>
      </c>
      <c r="AV124" s="9"/>
      <c r="AW124" s="8" t="s">
        <v>99</v>
      </c>
      <c r="AX124" s="8" t="s">
        <v>412</v>
      </c>
      <c r="AY124" s="8" t="s">
        <v>1565</v>
      </c>
      <c r="AZ124" s="8" t="b">
        <v>0</v>
      </c>
      <c r="BA124" s="8" t="s">
        <v>190</v>
      </c>
      <c r="BB124" s="8" t="s">
        <v>1594</v>
      </c>
      <c r="BC124" s="9"/>
      <c r="BD124" s="9"/>
      <c r="BE124" s="8" t="s">
        <v>1595</v>
      </c>
      <c r="BF124" s="9"/>
      <c r="BG124" s="9"/>
      <c r="BH124" s="9"/>
      <c r="BI124" s="8" t="s">
        <v>1596</v>
      </c>
      <c r="BJ124" s="8" t="s">
        <v>1597</v>
      </c>
      <c r="BK124" s="9"/>
      <c r="BL124" s="9"/>
      <c r="BM124" s="9"/>
      <c r="BN124" s="9"/>
      <c r="BO124" s="9"/>
      <c r="BP124" s="9"/>
      <c r="BQ124" s="9"/>
      <c r="BR124" s="8" t="s">
        <v>193</v>
      </c>
      <c r="BS124" s="8" t="s">
        <v>194</v>
      </c>
      <c r="BT124" s="9"/>
      <c r="BU124" s="9"/>
      <c r="BV124" s="8" t="s">
        <v>1227</v>
      </c>
      <c r="BW124" s="9"/>
      <c r="BX124" s="9"/>
      <c r="BY124" s="9"/>
      <c r="BZ124" s="9"/>
      <c r="CA124" s="9"/>
      <c r="CB124" s="8" t="s">
        <v>1598</v>
      </c>
      <c r="CC124" s="9"/>
      <c r="CD124" s="9"/>
      <c r="CE124" s="8" t="s">
        <v>366</v>
      </c>
      <c r="CF124" s="9"/>
      <c r="CG124" s="9"/>
      <c r="CH124" s="9"/>
      <c r="CI124" s="9"/>
      <c r="CJ124" s="9"/>
      <c r="CK124" s="9"/>
      <c r="CL124" s="9"/>
      <c r="CM124" s="9"/>
      <c r="CN124" s="9"/>
      <c r="CO124" s="9"/>
      <c r="CP124" s="9"/>
    </row>
    <row r="125">
      <c r="A125" s="7" t="s">
        <v>1599</v>
      </c>
      <c r="B125" s="8" t="s">
        <v>1600</v>
      </c>
      <c r="C125" s="8" t="s">
        <v>1600</v>
      </c>
      <c r="D125" s="8" t="s">
        <v>354</v>
      </c>
      <c r="E125" s="8" t="s">
        <v>355</v>
      </c>
      <c r="F125" s="9"/>
      <c r="G125" s="8" t="s">
        <v>1601</v>
      </c>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t="str">
        <f t="shared" si="17"/>
        <v/>
      </c>
      <c r="AK125" s="8"/>
      <c r="AL125" s="8"/>
      <c r="AM125" s="8" t="s">
        <v>1217</v>
      </c>
      <c r="AN125" s="9"/>
      <c r="AO125" s="9"/>
      <c r="AP125" s="9"/>
      <c r="AQ125" s="9"/>
      <c r="AR125" s="8" t="s">
        <v>1218</v>
      </c>
      <c r="AS125" s="8" t="s">
        <v>1219</v>
      </c>
      <c r="AT125" s="9"/>
      <c r="AU125" s="8" t="s">
        <v>1602</v>
      </c>
      <c r="AV125" s="9"/>
      <c r="AW125" s="8" t="s">
        <v>1603</v>
      </c>
      <c r="AX125" s="8" t="s">
        <v>115</v>
      </c>
      <c r="AY125" s="8" t="s">
        <v>1565</v>
      </c>
      <c r="AZ125" s="8" t="b">
        <v>0</v>
      </c>
      <c r="BA125" s="8" t="s">
        <v>190</v>
      </c>
      <c r="BB125" s="8" t="s">
        <v>1222</v>
      </c>
      <c r="BC125" s="9"/>
      <c r="BD125" s="9"/>
      <c r="BE125" s="8" t="s">
        <v>1604</v>
      </c>
      <c r="BF125" s="9"/>
      <c r="BG125" s="9"/>
      <c r="BH125" s="9"/>
      <c r="BI125" s="8" t="s">
        <v>1605</v>
      </c>
      <c r="BJ125" s="8" t="s">
        <v>633</v>
      </c>
      <c r="BK125" s="9"/>
      <c r="BL125" s="9"/>
      <c r="BM125" s="9"/>
      <c r="BN125" s="9"/>
      <c r="BO125" s="9"/>
      <c r="BP125" s="9"/>
      <c r="BQ125" s="9"/>
      <c r="BR125" s="8" t="s">
        <v>193</v>
      </c>
      <c r="BS125" s="8" t="s">
        <v>194</v>
      </c>
      <c r="BT125" s="9"/>
      <c r="BU125" s="9"/>
      <c r="BV125" s="8" t="s">
        <v>1606</v>
      </c>
      <c r="BW125" s="9"/>
      <c r="BX125" s="9"/>
      <c r="BY125" s="9"/>
      <c r="BZ125" s="9"/>
      <c r="CA125" s="9"/>
      <c r="CB125" s="8" t="s">
        <v>1607</v>
      </c>
      <c r="CC125" s="9"/>
      <c r="CD125" s="9"/>
      <c r="CE125" s="8" t="s">
        <v>366</v>
      </c>
      <c r="CF125" s="9"/>
      <c r="CG125" s="9"/>
      <c r="CH125" s="9"/>
      <c r="CI125" s="9"/>
      <c r="CJ125" s="9"/>
      <c r="CK125" s="9"/>
      <c r="CL125" s="9"/>
      <c r="CM125" s="9"/>
      <c r="CN125" s="9"/>
      <c r="CO125" s="9"/>
      <c r="CP125" s="9"/>
    </row>
    <row r="126">
      <c r="A126" s="4" t="s">
        <v>1608</v>
      </c>
      <c r="B126" s="5" t="s">
        <v>1609</v>
      </c>
      <c r="C126" s="5" t="s">
        <v>1610</v>
      </c>
      <c r="D126" s="5" t="s">
        <v>94</v>
      </c>
      <c r="E126" s="5" t="s">
        <v>95</v>
      </c>
      <c r="F126" s="6"/>
      <c r="G126" s="5" t="s">
        <v>1611</v>
      </c>
      <c r="H126" s="5" t="s">
        <v>97</v>
      </c>
      <c r="I126" s="5" t="s">
        <v>1612</v>
      </c>
      <c r="J126" s="5"/>
      <c r="K126" s="5"/>
      <c r="L126" s="5"/>
      <c r="M126" s="5" t="s">
        <v>1613</v>
      </c>
      <c r="N126" s="5" t="s">
        <v>1614</v>
      </c>
      <c r="O126" s="5" t="s">
        <v>1615</v>
      </c>
      <c r="P126" s="5" t="s">
        <v>1616</v>
      </c>
      <c r="Q126" s="5"/>
      <c r="R126" s="5"/>
      <c r="S126" s="5" t="s">
        <v>100</v>
      </c>
      <c r="T126" s="5" t="s">
        <v>100</v>
      </c>
      <c r="U126" s="5" t="s">
        <v>100</v>
      </c>
      <c r="V126" s="5" t="s">
        <v>100</v>
      </c>
      <c r="W126" s="5" t="s">
        <v>100</v>
      </c>
      <c r="X126" s="5" t="s">
        <v>100</v>
      </c>
      <c r="Y126" s="5" t="s">
        <v>1617</v>
      </c>
      <c r="Z126" s="5" t="s">
        <v>100</v>
      </c>
      <c r="AA126" s="5"/>
      <c r="AB126" s="5" t="s">
        <v>100</v>
      </c>
      <c r="AC126" s="5" t="s">
        <v>100</v>
      </c>
      <c r="AD126" s="5" t="s">
        <v>100</v>
      </c>
      <c r="AE126" s="5" t="s">
        <v>1618</v>
      </c>
      <c r="AF126" s="5" t="s">
        <v>100</v>
      </c>
      <c r="AG126" s="5" t="s">
        <v>100</v>
      </c>
      <c r="AH126" s="5" t="s">
        <v>100</v>
      </c>
      <c r="AI126" s="5" t="s">
        <v>1619</v>
      </c>
      <c r="AJ126" s="5" t="s">
        <v>1620</v>
      </c>
      <c r="AK126" s="5" t="s">
        <v>124</v>
      </c>
      <c r="AL126" s="5" t="s">
        <v>124</v>
      </c>
      <c r="AM126" s="5" t="s">
        <v>105</v>
      </c>
      <c r="AN126" s="5" t="s">
        <v>1621</v>
      </c>
      <c r="AO126" s="6"/>
      <c r="AP126" s="6"/>
      <c r="AQ126" s="6"/>
      <c r="AR126" s="6"/>
      <c r="AS126" s="6"/>
      <c r="AT126" s="6"/>
      <c r="AU126" s="5" t="s">
        <v>1622</v>
      </c>
      <c r="AV126" s="5" t="s">
        <v>108</v>
      </c>
      <c r="AW126" s="6"/>
      <c r="AX126" s="6"/>
      <c r="AY126" s="5" t="s">
        <v>1623</v>
      </c>
      <c r="AZ126" s="5" t="b">
        <v>0</v>
      </c>
      <c r="BA126" s="5" t="s">
        <v>110</v>
      </c>
      <c r="BB126" s="5" t="s">
        <v>773</v>
      </c>
      <c r="BC126" s="6"/>
      <c r="BD126" s="6"/>
      <c r="BE126" s="5" t="s">
        <v>1624</v>
      </c>
      <c r="BF126" s="6"/>
      <c r="BG126" s="6"/>
      <c r="BH126" s="6"/>
      <c r="BI126" s="6"/>
      <c r="BJ126" s="6"/>
      <c r="BK126" s="6"/>
      <c r="BL126" s="6"/>
      <c r="BM126" s="6"/>
      <c r="BN126" s="6"/>
      <c r="BO126" s="6"/>
      <c r="BP126" s="6"/>
      <c r="BQ126" s="6"/>
      <c r="BR126" s="6"/>
      <c r="BS126" s="6"/>
      <c r="BT126" s="6"/>
      <c r="BU126" s="6"/>
      <c r="BV126" s="6"/>
      <c r="BW126" s="6"/>
      <c r="BX126" s="6"/>
      <c r="BY126" s="6"/>
      <c r="BZ126" s="6"/>
      <c r="CA126" s="6"/>
      <c r="CB126" s="5" t="s">
        <v>665</v>
      </c>
      <c r="CC126" s="6"/>
      <c r="CD126" s="6"/>
      <c r="CE126" s="5" t="s">
        <v>115</v>
      </c>
      <c r="CF126" s="5" t="s">
        <v>1625</v>
      </c>
      <c r="CG126" s="6"/>
      <c r="CH126" s="6"/>
      <c r="CI126" s="6"/>
      <c r="CJ126" s="6"/>
      <c r="CK126" s="6"/>
      <c r="CL126" s="6"/>
      <c r="CM126" s="6"/>
      <c r="CN126" s="6"/>
      <c r="CO126" s="6"/>
      <c r="CP126" s="6"/>
    </row>
    <row r="127">
      <c r="A127" s="4" t="s">
        <v>1626</v>
      </c>
      <c r="B127" s="5" t="s">
        <v>1627</v>
      </c>
      <c r="C127" s="5" t="s">
        <v>1628</v>
      </c>
      <c r="D127" s="5" t="s">
        <v>94</v>
      </c>
      <c r="E127" s="5" t="s">
        <v>95</v>
      </c>
      <c r="F127" s="6"/>
      <c r="G127" s="5" t="s">
        <v>1629</v>
      </c>
      <c r="H127" s="5" t="s">
        <v>97</v>
      </c>
      <c r="I127" s="5" t="s">
        <v>98</v>
      </c>
      <c r="J127" s="5"/>
      <c r="K127" s="5"/>
      <c r="L127" s="5"/>
      <c r="M127" s="5" t="s">
        <v>1630</v>
      </c>
      <c r="N127" s="5" t="s">
        <v>100</v>
      </c>
      <c r="O127" s="5" t="s">
        <v>1631</v>
      </c>
      <c r="P127" s="5" t="s">
        <v>125</v>
      </c>
      <c r="Q127" s="5"/>
      <c r="R127" s="5"/>
      <c r="S127" s="5" t="s">
        <v>100</v>
      </c>
      <c r="T127" s="5" t="s">
        <v>100</v>
      </c>
      <c r="U127" s="5" t="s">
        <v>100</v>
      </c>
      <c r="V127" s="5" t="s">
        <v>100</v>
      </c>
      <c r="W127" s="5" t="s">
        <v>100</v>
      </c>
      <c r="X127" s="5" t="s">
        <v>1632</v>
      </c>
      <c r="Y127" s="5" t="s">
        <v>1633</v>
      </c>
      <c r="Z127" s="5" t="s">
        <v>100</v>
      </c>
      <c r="AA127" s="5"/>
      <c r="AB127" s="5" t="s">
        <v>100</v>
      </c>
      <c r="AC127" s="5" t="s">
        <v>100</v>
      </c>
      <c r="AD127" s="5" t="s">
        <v>100</v>
      </c>
      <c r="AE127" s="5" t="s">
        <v>100</v>
      </c>
      <c r="AF127" s="5" t="s">
        <v>100</v>
      </c>
      <c r="AG127" s="5" t="s">
        <v>100</v>
      </c>
      <c r="AH127" s="5" t="s">
        <v>100</v>
      </c>
      <c r="AI127" s="5" t="s">
        <v>1634</v>
      </c>
      <c r="AJ127" s="5" t="s">
        <v>1635</v>
      </c>
      <c r="AK127" s="5" t="s">
        <v>103</v>
      </c>
      <c r="AL127" s="5" t="s">
        <v>103</v>
      </c>
      <c r="AM127" s="5" t="s">
        <v>105</v>
      </c>
      <c r="AN127" s="5" t="s">
        <v>1636</v>
      </c>
      <c r="AO127" s="6"/>
      <c r="AP127" s="5" t="s">
        <v>713</v>
      </c>
      <c r="AQ127" s="6"/>
      <c r="AR127" s="6"/>
      <c r="AS127" s="6"/>
      <c r="AT127" s="6"/>
      <c r="AU127" s="5" t="s">
        <v>1637</v>
      </c>
      <c r="AV127" s="6"/>
      <c r="AW127" s="6"/>
      <c r="AX127" s="6"/>
      <c r="AY127" s="5" t="s">
        <v>1623</v>
      </c>
      <c r="AZ127" s="5" t="b">
        <v>0</v>
      </c>
      <c r="BA127" s="5" t="s">
        <v>190</v>
      </c>
      <c r="BB127" s="5" t="s">
        <v>628</v>
      </c>
      <c r="BC127" s="6"/>
      <c r="BD127" s="5" t="s">
        <v>112</v>
      </c>
      <c r="BE127" s="5" t="s">
        <v>1638</v>
      </c>
      <c r="BF127" s="6"/>
      <c r="BG127" s="6"/>
      <c r="BH127" s="6"/>
      <c r="BI127" s="6"/>
      <c r="BJ127" s="6"/>
      <c r="BK127" s="6"/>
      <c r="BL127" s="6"/>
      <c r="BM127" s="6"/>
      <c r="BN127" s="6"/>
      <c r="BO127" s="6"/>
      <c r="BP127" s="6"/>
      <c r="BQ127" s="6"/>
      <c r="BR127" s="5" t="s">
        <v>193</v>
      </c>
      <c r="BS127" s="5" t="s">
        <v>1639</v>
      </c>
      <c r="BT127" s="6"/>
      <c r="BU127" s="6"/>
      <c r="BV127" s="5" t="s">
        <v>1568</v>
      </c>
      <c r="BW127" s="6"/>
      <c r="BX127" s="6"/>
      <c r="BY127" s="6"/>
      <c r="BZ127" s="6"/>
      <c r="CA127" s="6"/>
      <c r="CB127" s="5" t="s">
        <v>1640</v>
      </c>
      <c r="CC127" s="6"/>
      <c r="CD127" s="6"/>
      <c r="CE127" s="5" t="s">
        <v>302</v>
      </c>
      <c r="CF127" s="5" t="s">
        <v>1641</v>
      </c>
      <c r="CG127" s="6"/>
      <c r="CH127" s="6"/>
      <c r="CI127" s="6"/>
      <c r="CJ127" s="6"/>
      <c r="CK127" s="6"/>
      <c r="CL127" s="6"/>
      <c r="CM127" s="6"/>
      <c r="CN127" s="6"/>
      <c r="CO127" s="6"/>
      <c r="CP127" s="6"/>
    </row>
    <row r="128">
      <c r="A128" s="7" t="s">
        <v>1642</v>
      </c>
      <c r="B128" s="8" t="s">
        <v>1643</v>
      </c>
      <c r="C128" s="8" t="s">
        <v>1644</v>
      </c>
      <c r="D128" s="8" t="s">
        <v>94</v>
      </c>
      <c r="E128" s="8" t="s">
        <v>95</v>
      </c>
      <c r="F128" s="9"/>
      <c r="G128" s="8" t="s">
        <v>1645</v>
      </c>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t="str">
        <f t="shared" ref="AJ128:AJ130" si="18">CONCATENATE(J128,K128,L128,Q128,R128,X128,Y128,AA128,AG128)</f>
        <v/>
      </c>
      <c r="AK128" s="8"/>
      <c r="AL128" s="8"/>
      <c r="AM128" s="8" t="s">
        <v>1477</v>
      </c>
      <c r="AN128" s="8" t="s">
        <v>1646</v>
      </c>
      <c r="AO128" s="9"/>
      <c r="AP128" s="9"/>
      <c r="AQ128" s="9"/>
      <c r="AR128" s="8" t="s">
        <v>1479</v>
      </c>
      <c r="AS128" s="8" t="s">
        <v>1480</v>
      </c>
      <c r="AT128" s="9"/>
      <c r="AU128" s="8" t="s">
        <v>1647</v>
      </c>
      <c r="AV128" s="8" t="s">
        <v>108</v>
      </c>
      <c r="AW128" s="9"/>
      <c r="AX128" s="9"/>
      <c r="AY128" s="8" t="s">
        <v>1623</v>
      </c>
      <c r="AZ128" s="8" t="b">
        <v>0</v>
      </c>
      <c r="BA128" s="8" t="s">
        <v>110</v>
      </c>
      <c r="BB128" s="9"/>
      <c r="BC128" s="9"/>
      <c r="BD128" s="9"/>
      <c r="BE128" s="8" t="s">
        <v>1648</v>
      </c>
      <c r="BF128" s="9"/>
      <c r="BG128" s="9"/>
      <c r="BH128" s="9"/>
      <c r="BI128" s="9"/>
      <c r="BJ128" s="9"/>
      <c r="BK128" s="9"/>
      <c r="BL128" s="9"/>
      <c r="BM128" s="9"/>
      <c r="BN128" s="9"/>
      <c r="BO128" s="9"/>
      <c r="BP128" s="9"/>
      <c r="BQ128" s="9"/>
      <c r="BR128" s="9"/>
      <c r="BS128" s="9"/>
      <c r="BT128" s="9"/>
      <c r="BU128" s="9"/>
      <c r="BV128" s="9"/>
      <c r="BW128" s="9"/>
      <c r="BX128" s="9"/>
      <c r="BY128" s="9"/>
      <c r="BZ128" s="9"/>
      <c r="CA128" s="9"/>
      <c r="CB128" s="8" t="s">
        <v>1649</v>
      </c>
      <c r="CC128" s="9"/>
      <c r="CD128" s="9"/>
      <c r="CE128" s="8" t="s">
        <v>490</v>
      </c>
      <c r="CF128" s="8" t="s">
        <v>1650</v>
      </c>
      <c r="CG128" s="9"/>
      <c r="CH128" s="9"/>
      <c r="CI128" s="9"/>
      <c r="CJ128" s="9"/>
      <c r="CK128" s="9"/>
      <c r="CL128" s="9"/>
      <c r="CM128" s="9"/>
      <c r="CN128" s="9"/>
      <c r="CO128" s="9"/>
      <c r="CP128" s="9"/>
    </row>
    <row r="129">
      <c r="A129" s="7" t="s">
        <v>1651</v>
      </c>
      <c r="B129" s="8" t="s">
        <v>1652</v>
      </c>
      <c r="C129" s="8" t="s">
        <v>1653</v>
      </c>
      <c r="D129" s="8" t="s">
        <v>94</v>
      </c>
      <c r="E129" s="8" t="s">
        <v>95</v>
      </c>
      <c r="F129" s="9"/>
      <c r="G129" s="8" t="s">
        <v>1654</v>
      </c>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t="str">
        <f t="shared" si="18"/>
        <v/>
      </c>
      <c r="AK129" s="8"/>
      <c r="AL129" s="8"/>
      <c r="AM129" s="8" t="s">
        <v>1477</v>
      </c>
      <c r="AN129" s="8" t="s">
        <v>1655</v>
      </c>
      <c r="AO129" s="9"/>
      <c r="AP129" s="9"/>
      <c r="AQ129" s="9"/>
      <c r="AR129" s="8" t="s">
        <v>1479</v>
      </c>
      <c r="AS129" s="8" t="s">
        <v>1480</v>
      </c>
      <c r="AT129" s="9"/>
      <c r="AU129" s="8" t="s">
        <v>1656</v>
      </c>
      <c r="AV129" s="8" t="s">
        <v>108</v>
      </c>
      <c r="AW129" s="9"/>
      <c r="AX129" s="9"/>
      <c r="AY129" s="8" t="s">
        <v>1623</v>
      </c>
      <c r="AZ129" s="8" t="b">
        <v>0</v>
      </c>
      <c r="BA129" s="8" t="s">
        <v>110</v>
      </c>
      <c r="BB129" s="9"/>
      <c r="BC129" s="9"/>
      <c r="BD129" s="9"/>
      <c r="BE129" s="8" t="s">
        <v>1657</v>
      </c>
      <c r="BF129" s="9"/>
      <c r="BG129" s="9"/>
      <c r="BH129" s="9"/>
      <c r="BI129" s="9"/>
      <c r="BJ129" s="9"/>
      <c r="BK129" s="9"/>
      <c r="BL129" s="9"/>
      <c r="BM129" s="9"/>
      <c r="BN129" s="9"/>
      <c r="BO129" s="9"/>
      <c r="BP129" s="9"/>
      <c r="BQ129" s="9"/>
      <c r="BR129" s="9"/>
      <c r="BS129" s="9"/>
      <c r="BT129" s="9"/>
      <c r="BU129" s="9"/>
      <c r="BV129" s="9"/>
      <c r="BW129" s="9"/>
      <c r="BX129" s="9"/>
      <c r="BY129" s="9"/>
      <c r="BZ129" s="9"/>
      <c r="CA129" s="9"/>
      <c r="CB129" s="8" t="s">
        <v>1658</v>
      </c>
      <c r="CC129" s="9"/>
      <c r="CD129" s="9"/>
      <c r="CE129" s="8" t="s">
        <v>330</v>
      </c>
      <c r="CF129" s="8" t="s">
        <v>1659</v>
      </c>
      <c r="CG129" s="9"/>
      <c r="CH129" s="9"/>
      <c r="CI129" s="9"/>
      <c r="CJ129" s="9"/>
      <c r="CK129" s="9"/>
      <c r="CL129" s="9"/>
      <c r="CM129" s="9"/>
      <c r="CN129" s="9"/>
      <c r="CO129" s="9"/>
      <c r="CP129" s="9"/>
    </row>
    <row r="130">
      <c r="A130" s="7" t="s">
        <v>1660</v>
      </c>
      <c r="B130" s="8" t="s">
        <v>1661</v>
      </c>
      <c r="C130" s="8" t="s">
        <v>1662</v>
      </c>
      <c r="D130" s="8" t="s">
        <v>94</v>
      </c>
      <c r="E130" s="8" t="s">
        <v>95</v>
      </c>
      <c r="F130" s="9"/>
      <c r="G130" s="8" t="s">
        <v>1663</v>
      </c>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t="str">
        <f t="shared" si="18"/>
        <v/>
      </c>
      <c r="AK130" s="8"/>
      <c r="AL130" s="8"/>
      <c r="AM130" s="8" t="s">
        <v>133</v>
      </c>
      <c r="AN130" s="8" t="s">
        <v>1664</v>
      </c>
      <c r="AO130" s="9"/>
      <c r="AP130" s="8" t="s">
        <v>1665</v>
      </c>
      <c r="AQ130" s="9"/>
      <c r="AR130" s="9"/>
      <c r="AS130" s="9"/>
      <c r="AT130" s="9"/>
      <c r="AU130" s="8" t="s">
        <v>1666</v>
      </c>
      <c r="AV130" s="9"/>
      <c r="AW130" s="9"/>
      <c r="AX130" s="9"/>
      <c r="AY130" s="8" t="s">
        <v>1667</v>
      </c>
      <c r="AZ130" s="8" t="b">
        <v>0</v>
      </c>
      <c r="BA130" s="8" t="s">
        <v>190</v>
      </c>
      <c r="BB130" s="8" t="s">
        <v>191</v>
      </c>
      <c r="BC130" s="9"/>
      <c r="BD130" s="9"/>
      <c r="BE130" s="8" t="s">
        <v>1668</v>
      </c>
      <c r="BF130" s="8" t="s">
        <v>94</v>
      </c>
      <c r="BG130" s="8" t="s">
        <v>95</v>
      </c>
      <c r="BH130" s="8" t="s">
        <v>1669</v>
      </c>
      <c r="BI130" s="9"/>
      <c r="BJ130" s="9"/>
      <c r="BK130" s="9"/>
      <c r="BL130" s="9"/>
      <c r="BM130" s="9"/>
      <c r="BN130" s="9"/>
      <c r="BO130" s="9"/>
      <c r="BP130" s="9"/>
      <c r="BQ130" s="9"/>
      <c r="BR130" s="8" t="s">
        <v>193</v>
      </c>
      <c r="BS130" s="8" t="s">
        <v>194</v>
      </c>
      <c r="BT130" s="8" t="s">
        <v>1670</v>
      </c>
      <c r="BU130" s="9"/>
      <c r="BV130" s="8" t="s">
        <v>1671</v>
      </c>
      <c r="BW130" s="9"/>
      <c r="BX130" s="9"/>
      <c r="BY130" s="9"/>
      <c r="BZ130" s="9"/>
      <c r="CA130" s="9"/>
      <c r="CB130" s="8" t="s">
        <v>1672</v>
      </c>
      <c r="CC130" s="9"/>
      <c r="CD130" s="9"/>
      <c r="CE130" s="8" t="s">
        <v>393</v>
      </c>
      <c r="CF130" s="8" t="s">
        <v>1673</v>
      </c>
      <c r="CG130" s="9"/>
      <c r="CH130" s="9"/>
      <c r="CI130" s="9"/>
      <c r="CJ130" s="9"/>
      <c r="CK130" s="9"/>
      <c r="CL130" s="9"/>
      <c r="CM130" s="9"/>
      <c r="CN130" s="9"/>
      <c r="CO130" s="9"/>
      <c r="CP130" s="9"/>
    </row>
    <row r="131">
      <c r="A131" s="4" t="s">
        <v>1674</v>
      </c>
      <c r="B131" s="5" t="s">
        <v>435</v>
      </c>
      <c r="C131" s="5" t="s">
        <v>1675</v>
      </c>
      <c r="D131" s="5" t="s">
        <v>94</v>
      </c>
      <c r="E131" s="5" t="s">
        <v>95</v>
      </c>
      <c r="F131" s="6"/>
      <c r="G131" s="5" t="s">
        <v>1676</v>
      </c>
      <c r="H131" s="5" t="s">
        <v>97</v>
      </c>
      <c r="I131" s="5" t="s">
        <v>1677</v>
      </c>
      <c r="J131" s="5" t="s">
        <v>1678</v>
      </c>
      <c r="K131" s="5"/>
      <c r="L131" s="5"/>
      <c r="M131" s="5" t="s">
        <v>1679</v>
      </c>
      <c r="N131" s="5" t="s">
        <v>1680</v>
      </c>
      <c r="O131" s="5" t="s">
        <v>1296</v>
      </c>
      <c r="P131" s="5" t="s">
        <v>1681</v>
      </c>
      <c r="Q131" s="5"/>
      <c r="R131" s="5"/>
      <c r="S131" s="5" t="s">
        <v>100</v>
      </c>
      <c r="T131" s="5" t="s">
        <v>100</v>
      </c>
      <c r="U131" s="5" t="s">
        <v>100</v>
      </c>
      <c r="V131" s="5" t="s">
        <v>100</v>
      </c>
      <c r="W131" s="5" t="s">
        <v>100</v>
      </c>
      <c r="X131" s="5" t="s">
        <v>100</v>
      </c>
      <c r="Y131" s="5" t="s">
        <v>1682</v>
      </c>
      <c r="Z131" s="5" t="s">
        <v>100</v>
      </c>
      <c r="AA131" s="5"/>
      <c r="AB131" s="5" t="s">
        <v>100</v>
      </c>
      <c r="AC131" s="5" t="s">
        <v>100</v>
      </c>
      <c r="AD131" s="5" t="s">
        <v>100</v>
      </c>
      <c r="AE131" s="5" t="s">
        <v>100</v>
      </c>
      <c r="AF131" s="5" t="s">
        <v>100</v>
      </c>
      <c r="AG131" s="5" t="s">
        <v>100</v>
      </c>
      <c r="AH131" s="5" t="s">
        <v>100</v>
      </c>
      <c r="AI131" s="5" t="s">
        <v>1683</v>
      </c>
      <c r="AJ131" s="5" t="s">
        <v>1684</v>
      </c>
      <c r="AK131" s="5" t="s">
        <v>124</v>
      </c>
      <c r="AL131" s="5" t="s">
        <v>124</v>
      </c>
      <c r="AM131" s="5" t="s">
        <v>105</v>
      </c>
      <c r="AN131" s="5" t="s">
        <v>1685</v>
      </c>
      <c r="AO131" s="6"/>
      <c r="AP131" s="6"/>
      <c r="AQ131" s="6"/>
      <c r="AR131" s="6"/>
      <c r="AS131" s="6"/>
      <c r="AT131" s="6"/>
      <c r="AU131" s="5" t="s">
        <v>1686</v>
      </c>
      <c r="AV131" s="6"/>
      <c r="AW131" s="6"/>
      <c r="AX131" s="6"/>
      <c r="AY131" s="5" t="s">
        <v>1687</v>
      </c>
      <c r="AZ131" s="5" t="b">
        <v>0</v>
      </c>
      <c r="BA131" s="5" t="s">
        <v>190</v>
      </c>
      <c r="BB131" s="5" t="s">
        <v>628</v>
      </c>
      <c r="BC131" s="5" t="s">
        <v>629</v>
      </c>
      <c r="BD131" s="5" t="s">
        <v>630</v>
      </c>
      <c r="BE131" s="5" t="s">
        <v>1688</v>
      </c>
      <c r="BF131" s="6"/>
      <c r="BG131" s="6"/>
      <c r="BH131" s="6"/>
      <c r="BI131" s="6"/>
      <c r="BJ131" s="6"/>
      <c r="BK131" s="5" t="s">
        <v>1326</v>
      </c>
      <c r="BL131" s="6"/>
      <c r="BM131" s="6"/>
      <c r="BN131" s="6"/>
      <c r="BO131" s="6"/>
      <c r="BP131" s="6"/>
      <c r="BQ131" s="6"/>
      <c r="BR131" s="5" t="s">
        <v>193</v>
      </c>
      <c r="BS131" s="6"/>
      <c r="BT131" s="6"/>
      <c r="BU131" s="6"/>
      <c r="BV131" s="5" t="s">
        <v>1568</v>
      </c>
      <c r="BW131" s="6"/>
      <c r="BX131" s="6"/>
      <c r="BY131" s="6"/>
      <c r="BZ131" s="6"/>
      <c r="CA131" s="6"/>
      <c r="CB131" s="5" t="s">
        <v>665</v>
      </c>
      <c r="CC131" s="6"/>
      <c r="CD131" s="6"/>
      <c r="CE131" s="5" t="s">
        <v>115</v>
      </c>
      <c r="CF131" s="5" t="s">
        <v>1689</v>
      </c>
      <c r="CG131" s="6"/>
      <c r="CH131" s="6"/>
      <c r="CI131" s="6"/>
      <c r="CJ131" s="6"/>
      <c r="CK131" s="6"/>
      <c r="CL131" s="6"/>
      <c r="CM131" s="6"/>
      <c r="CN131" s="6"/>
      <c r="CO131" s="6"/>
      <c r="CP131" s="6"/>
    </row>
    <row r="132">
      <c r="A132" s="4" t="s">
        <v>1690</v>
      </c>
      <c r="B132" s="5" t="s">
        <v>1691</v>
      </c>
      <c r="C132" s="5" t="s">
        <v>1692</v>
      </c>
      <c r="D132" s="5" t="s">
        <v>94</v>
      </c>
      <c r="E132" s="5" t="s">
        <v>95</v>
      </c>
      <c r="F132" s="6"/>
      <c r="G132" s="5" t="s">
        <v>1693</v>
      </c>
      <c r="H132" s="5" t="s">
        <v>97</v>
      </c>
      <c r="I132" s="5" t="s">
        <v>1612</v>
      </c>
      <c r="J132" s="5"/>
      <c r="K132" s="5"/>
      <c r="L132" s="5"/>
      <c r="M132" s="5" t="s">
        <v>1694</v>
      </c>
      <c r="N132" s="5" t="s">
        <v>1695</v>
      </c>
      <c r="O132" s="5" t="s">
        <v>1696</v>
      </c>
      <c r="P132" s="5" t="s">
        <v>1697</v>
      </c>
      <c r="Q132" s="5"/>
      <c r="R132" s="5"/>
      <c r="S132" s="5" t="s">
        <v>100</v>
      </c>
      <c r="T132" s="5" t="s">
        <v>100</v>
      </c>
      <c r="U132" s="5" t="s">
        <v>100</v>
      </c>
      <c r="V132" s="5" t="s">
        <v>100</v>
      </c>
      <c r="W132" s="5" t="s">
        <v>100</v>
      </c>
      <c r="X132" s="5" t="s">
        <v>100</v>
      </c>
      <c r="Y132" s="5" t="s">
        <v>1698</v>
      </c>
      <c r="Z132" s="5" t="s">
        <v>100</v>
      </c>
      <c r="AA132" s="5"/>
      <c r="AB132" s="5" t="s">
        <v>100</v>
      </c>
      <c r="AC132" s="5" t="s">
        <v>100</v>
      </c>
      <c r="AD132" s="5" t="s">
        <v>100</v>
      </c>
      <c r="AE132" s="5" t="s">
        <v>100</v>
      </c>
      <c r="AF132" s="5" t="s">
        <v>100</v>
      </c>
      <c r="AG132" s="5" t="s">
        <v>100</v>
      </c>
      <c r="AH132" s="5" t="s">
        <v>100</v>
      </c>
      <c r="AI132" s="5" t="s">
        <v>1699</v>
      </c>
      <c r="AJ132" s="5" t="s">
        <v>1700</v>
      </c>
      <c r="AK132" s="5" t="s">
        <v>124</v>
      </c>
      <c r="AL132" s="5" t="s">
        <v>124</v>
      </c>
      <c r="AM132" s="5" t="s">
        <v>105</v>
      </c>
      <c r="AN132" s="5" t="s">
        <v>1701</v>
      </c>
      <c r="AO132" s="6"/>
      <c r="AP132" s="6"/>
      <c r="AQ132" s="6"/>
      <c r="AR132" s="6"/>
      <c r="AS132" s="6"/>
      <c r="AT132" s="6"/>
      <c r="AU132" s="5" t="s">
        <v>1702</v>
      </c>
      <c r="AV132" s="5" t="s">
        <v>108</v>
      </c>
      <c r="AW132" s="6"/>
      <c r="AX132" s="6"/>
      <c r="AY132" s="5" t="s">
        <v>1687</v>
      </c>
      <c r="AZ132" s="5" t="b">
        <v>0</v>
      </c>
      <c r="BA132" s="5" t="s">
        <v>110</v>
      </c>
      <c r="BB132" s="5" t="s">
        <v>773</v>
      </c>
      <c r="BC132" s="6"/>
      <c r="BD132" s="6"/>
      <c r="BE132" s="5" t="s">
        <v>1703</v>
      </c>
      <c r="BF132" s="6"/>
      <c r="BG132" s="6"/>
      <c r="BH132" s="6"/>
      <c r="BI132" s="6"/>
      <c r="BJ132" s="6"/>
      <c r="BK132" s="6"/>
      <c r="BL132" s="6"/>
      <c r="BM132" s="6"/>
      <c r="BN132" s="6"/>
      <c r="BO132" s="6"/>
      <c r="BP132" s="6"/>
      <c r="BQ132" s="6"/>
      <c r="BR132" s="6"/>
      <c r="BS132" s="6"/>
      <c r="BT132" s="6"/>
      <c r="BU132" s="6"/>
      <c r="BV132" s="6"/>
      <c r="BW132" s="6"/>
      <c r="BX132" s="6"/>
      <c r="BY132" s="6"/>
      <c r="BZ132" s="6"/>
      <c r="CA132" s="6"/>
      <c r="CB132" s="5" t="s">
        <v>665</v>
      </c>
      <c r="CC132" s="6"/>
      <c r="CD132" s="6"/>
      <c r="CE132" s="5" t="s">
        <v>115</v>
      </c>
      <c r="CF132" s="5" t="s">
        <v>1704</v>
      </c>
      <c r="CG132" s="6"/>
      <c r="CH132" s="6"/>
      <c r="CI132" s="6"/>
      <c r="CJ132" s="6"/>
      <c r="CK132" s="6"/>
      <c r="CL132" s="6"/>
      <c r="CM132" s="6"/>
      <c r="CN132" s="6"/>
      <c r="CO132" s="6"/>
      <c r="CP132" s="6"/>
    </row>
    <row r="133">
      <c r="A133" s="7" t="s">
        <v>1705</v>
      </c>
      <c r="B133" s="8" t="s">
        <v>1706</v>
      </c>
      <c r="C133" s="8" t="s">
        <v>1707</v>
      </c>
      <c r="D133" s="8" t="s">
        <v>94</v>
      </c>
      <c r="E133" s="8" t="s">
        <v>95</v>
      </c>
      <c r="F133" s="9"/>
      <c r="G133" s="8" t="s">
        <v>1708</v>
      </c>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t="str">
        <f>CONCATENATE(J133,K133,L133,Q133,R133,X133,Y133,AA133,AG133)</f>
        <v/>
      </c>
      <c r="AK133" s="8"/>
      <c r="AL133" s="8"/>
      <c r="AM133" s="8" t="s">
        <v>1477</v>
      </c>
      <c r="AN133" s="8" t="s">
        <v>1709</v>
      </c>
      <c r="AO133" s="9"/>
      <c r="AP133" s="9"/>
      <c r="AQ133" s="9"/>
      <c r="AR133" s="8" t="s">
        <v>1479</v>
      </c>
      <c r="AS133" s="8" t="s">
        <v>1480</v>
      </c>
      <c r="AT133" s="9"/>
      <c r="AU133" s="8" t="s">
        <v>1710</v>
      </c>
      <c r="AV133" s="9"/>
      <c r="AW133" s="9"/>
      <c r="AX133" s="9"/>
      <c r="AY133" s="8" t="s">
        <v>1687</v>
      </c>
      <c r="AZ133" s="8" t="b">
        <v>0</v>
      </c>
      <c r="BA133" s="8" t="s">
        <v>190</v>
      </c>
      <c r="BB133" s="8" t="s">
        <v>191</v>
      </c>
      <c r="BC133" s="9"/>
      <c r="BD133" s="9"/>
      <c r="BE133" s="8" t="s">
        <v>1711</v>
      </c>
      <c r="BF133" s="9"/>
      <c r="BG133" s="9"/>
      <c r="BH133" s="9"/>
      <c r="BI133" s="9"/>
      <c r="BJ133" s="9"/>
      <c r="BK133" s="8" t="s">
        <v>1712</v>
      </c>
      <c r="BL133" s="9"/>
      <c r="BM133" s="9"/>
      <c r="BN133" s="9"/>
      <c r="BO133" s="9"/>
      <c r="BP133" s="9"/>
      <c r="BQ133" s="9"/>
      <c r="BR133" s="8" t="s">
        <v>193</v>
      </c>
      <c r="BS133" s="8" t="s">
        <v>194</v>
      </c>
      <c r="BT133" s="8" t="s">
        <v>1713</v>
      </c>
      <c r="BU133" s="9"/>
      <c r="BV133" s="8" t="s">
        <v>1714</v>
      </c>
      <c r="BW133" s="9"/>
      <c r="BX133" s="9"/>
      <c r="BY133" s="9"/>
      <c r="BZ133" s="9"/>
      <c r="CA133" s="9"/>
      <c r="CB133" s="8" t="s">
        <v>1715</v>
      </c>
      <c r="CC133" s="9"/>
      <c r="CD133" s="9"/>
      <c r="CE133" s="8" t="s">
        <v>450</v>
      </c>
      <c r="CF133" s="8" t="s">
        <v>1716</v>
      </c>
      <c r="CG133" s="9"/>
      <c r="CH133" s="9"/>
      <c r="CI133" s="9"/>
      <c r="CJ133" s="9"/>
      <c r="CK133" s="9"/>
      <c r="CL133" s="9"/>
      <c r="CM133" s="9"/>
      <c r="CN133" s="9"/>
      <c r="CO133" s="9"/>
      <c r="CP133" s="9"/>
    </row>
    <row r="134">
      <c r="A134" s="4" t="s">
        <v>1717</v>
      </c>
      <c r="B134" s="5" t="s">
        <v>1718</v>
      </c>
      <c r="C134" s="5" t="s">
        <v>1719</v>
      </c>
      <c r="D134" s="5" t="s">
        <v>94</v>
      </c>
      <c r="E134" s="5" t="s">
        <v>95</v>
      </c>
      <c r="F134" s="6"/>
      <c r="G134" s="5" t="s">
        <v>1720</v>
      </c>
      <c r="H134" s="5" t="s">
        <v>97</v>
      </c>
      <c r="I134" s="5" t="s">
        <v>1329</v>
      </c>
      <c r="J134" s="5"/>
      <c r="K134" s="5"/>
      <c r="L134" s="5"/>
      <c r="M134" s="5" t="s">
        <v>1721</v>
      </c>
      <c r="N134" s="5" t="s">
        <v>1722</v>
      </c>
      <c r="O134" s="5" t="s">
        <v>1723</v>
      </c>
      <c r="P134" s="5" t="s">
        <v>1724</v>
      </c>
      <c r="Q134" s="5"/>
      <c r="R134" s="5"/>
      <c r="S134" s="5" t="s">
        <v>100</v>
      </c>
      <c r="T134" s="5" t="s">
        <v>100</v>
      </c>
      <c r="U134" s="5" t="s">
        <v>100</v>
      </c>
      <c r="V134" s="5" t="s">
        <v>100</v>
      </c>
      <c r="W134" s="5" t="s">
        <v>100</v>
      </c>
      <c r="X134" s="5" t="s">
        <v>100</v>
      </c>
      <c r="Y134" s="5" t="s">
        <v>1725</v>
      </c>
      <c r="Z134" s="5" t="s">
        <v>1726</v>
      </c>
      <c r="AA134" s="5"/>
      <c r="AB134" s="5" t="s">
        <v>100</v>
      </c>
      <c r="AC134" s="5" t="s">
        <v>100</v>
      </c>
      <c r="AD134" s="5" t="s">
        <v>100</v>
      </c>
      <c r="AE134" s="5" t="s">
        <v>100</v>
      </c>
      <c r="AF134" s="5" t="s">
        <v>100</v>
      </c>
      <c r="AG134" s="5" t="s">
        <v>100</v>
      </c>
      <c r="AH134" s="5" t="s">
        <v>100</v>
      </c>
      <c r="AI134" s="5" t="s">
        <v>1727</v>
      </c>
      <c r="AJ134" s="5" t="s">
        <v>1728</v>
      </c>
      <c r="AK134" s="5" t="s">
        <v>124</v>
      </c>
      <c r="AL134" s="5" t="s">
        <v>124</v>
      </c>
      <c r="AM134" s="5" t="s">
        <v>105</v>
      </c>
      <c r="AN134" s="5" t="s">
        <v>1729</v>
      </c>
      <c r="AO134" s="6"/>
      <c r="AP134" s="6"/>
      <c r="AQ134" s="6"/>
      <c r="AR134" s="6"/>
      <c r="AS134" s="6"/>
      <c r="AT134" s="6"/>
      <c r="AU134" s="5" t="s">
        <v>1730</v>
      </c>
      <c r="AV134" s="5" t="s">
        <v>108</v>
      </c>
      <c r="AW134" s="6"/>
      <c r="AX134" s="6"/>
      <c r="AY134" s="5" t="s">
        <v>1731</v>
      </c>
      <c r="AZ134" s="5" t="b">
        <v>0</v>
      </c>
      <c r="BA134" s="5" t="s">
        <v>110</v>
      </c>
      <c r="BB134" s="5" t="s">
        <v>773</v>
      </c>
      <c r="BC134" s="6"/>
      <c r="BD134" s="6"/>
      <c r="BE134" s="5" t="s">
        <v>1732</v>
      </c>
      <c r="BF134" s="6"/>
      <c r="BG134" s="6"/>
      <c r="BH134" s="6"/>
      <c r="BI134" s="6"/>
      <c r="BJ134" s="6"/>
      <c r="BK134" s="6"/>
      <c r="BL134" s="6"/>
      <c r="BM134" s="6"/>
      <c r="BN134" s="6"/>
      <c r="BO134" s="6"/>
      <c r="BP134" s="6"/>
      <c r="BQ134" s="6"/>
      <c r="BR134" s="6"/>
      <c r="BS134" s="6"/>
      <c r="BT134" s="6"/>
      <c r="BU134" s="6"/>
      <c r="BV134" s="6"/>
      <c r="BW134" s="6"/>
      <c r="BX134" s="6"/>
      <c r="BY134" s="6"/>
      <c r="BZ134" s="6"/>
      <c r="CA134" s="6"/>
      <c r="CB134" s="5" t="s">
        <v>665</v>
      </c>
      <c r="CC134" s="6"/>
      <c r="CD134" s="6"/>
      <c r="CE134" s="5" t="s">
        <v>115</v>
      </c>
      <c r="CF134" s="5" t="s">
        <v>1733</v>
      </c>
      <c r="CG134" s="6"/>
      <c r="CH134" s="6"/>
      <c r="CI134" s="6"/>
      <c r="CJ134" s="6"/>
      <c r="CK134" s="6"/>
      <c r="CL134" s="6"/>
      <c r="CM134" s="6"/>
      <c r="CN134" s="6"/>
      <c r="CO134" s="6"/>
      <c r="CP134" s="6"/>
    </row>
    <row r="135">
      <c r="A135" s="4" t="s">
        <v>1734</v>
      </c>
      <c r="B135" s="5" t="s">
        <v>1735</v>
      </c>
      <c r="C135" s="5" t="s">
        <v>1736</v>
      </c>
      <c r="D135" s="5" t="s">
        <v>94</v>
      </c>
      <c r="E135" s="5" t="s">
        <v>95</v>
      </c>
      <c r="F135" s="6"/>
      <c r="G135" s="5" t="s">
        <v>1737</v>
      </c>
      <c r="H135" s="5" t="s">
        <v>97</v>
      </c>
      <c r="I135" s="5" t="s">
        <v>1329</v>
      </c>
      <c r="J135" s="5"/>
      <c r="K135" s="5"/>
      <c r="L135" s="5"/>
      <c r="M135" s="5" t="s">
        <v>1738</v>
      </c>
      <c r="N135" s="5" t="s">
        <v>1739</v>
      </c>
      <c r="O135" s="5" t="s">
        <v>1740</v>
      </c>
      <c r="P135" s="5" t="s">
        <v>1741</v>
      </c>
      <c r="Q135" s="5"/>
      <c r="R135" s="5"/>
      <c r="S135" s="5" t="s">
        <v>100</v>
      </c>
      <c r="T135" s="5" t="s">
        <v>100</v>
      </c>
      <c r="U135" s="5" t="s">
        <v>100</v>
      </c>
      <c r="V135" s="5" t="s">
        <v>100</v>
      </c>
      <c r="W135" s="5" t="s">
        <v>100</v>
      </c>
      <c r="X135" s="5" t="s">
        <v>1742</v>
      </c>
      <c r="Y135" s="5" t="s">
        <v>1743</v>
      </c>
      <c r="Z135" s="5" t="s">
        <v>100</v>
      </c>
      <c r="AA135" s="5"/>
      <c r="AB135" s="5" t="s">
        <v>100</v>
      </c>
      <c r="AC135" s="5" t="s">
        <v>100</v>
      </c>
      <c r="AD135" s="5" t="s">
        <v>100</v>
      </c>
      <c r="AE135" s="5" t="s">
        <v>100</v>
      </c>
      <c r="AF135" s="5" t="s">
        <v>100</v>
      </c>
      <c r="AG135" s="5" t="s">
        <v>100</v>
      </c>
      <c r="AH135" s="5" t="s">
        <v>100</v>
      </c>
      <c r="AI135" s="5" t="s">
        <v>1744</v>
      </c>
      <c r="AJ135" s="5" t="s">
        <v>1745</v>
      </c>
      <c r="AK135" s="5" t="s">
        <v>124</v>
      </c>
      <c r="AL135" s="5" t="s">
        <v>124</v>
      </c>
      <c r="AM135" s="5" t="s">
        <v>105</v>
      </c>
      <c r="AN135" s="5" t="s">
        <v>1746</v>
      </c>
      <c r="AO135" s="6"/>
      <c r="AP135" s="6"/>
      <c r="AQ135" s="6"/>
      <c r="AR135" s="6"/>
      <c r="AS135" s="6"/>
      <c r="AT135" s="6"/>
      <c r="AU135" s="5" t="s">
        <v>1747</v>
      </c>
      <c r="AV135" s="5" t="s">
        <v>108</v>
      </c>
      <c r="AW135" s="6"/>
      <c r="AX135" s="6"/>
      <c r="AY135" s="5" t="s">
        <v>1748</v>
      </c>
      <c r="AZ135" s="5" t="b">
        <v>0</v>
      </c>
      <c r="BA135" s="5" t="s">
        <v>110</v>
      </c>
      <c r="BB135" s="5" t="s">
        <v>773</v>
      </c>
      <c r="BC135" s="6"/>
      <c r="BD135" s="6"/>
      <c r="BE135" s="5" t="s">
        <v>1749</v>
      </c>
      <c r="BF135" s="6"/>
      <c r="BG135" s="6"/>
      <c r="BH135" s="6"/>
      <c r="BI135" s="6"/>
      <c r="BJ135" s="6"/>
      <c r="BK135" s="6"/>
      <c r="BL135" s="6"/>
      <c r="BM135" s="6"/>
      <c r="BN135" s="6"/>
      <c r="BO135" s="6"/>
      <c r="BP135" s="6"/>
      <c r="BQ135" s="6"/>
      <c r="BR135" s="6"/>
      <c r="BS135" s="6"/>
      <c r="BT135" s="6"/>
      <c r="BU135" s="6"/>
      <c r="BV135" s="6"/>
      <c r="BW135" s="6"/>
      <c r="BX135" s="6"/>
      <c r="BY135" s="6"/>
      <c r="BZ135" s="6"/>
      <c r="CA135" s="6"/>
      <c r="CB135" s="5" t="s">
        <v>665</v>
      </c>
      <c r="CC135" s="6"/>
      <c r="CD135" s="6"/>
      <c r="CE135" s="5" t="s">
        <v>115</v>
      </c>
      <c r="CF135" s="5" t="s">
        <v>1750</v>
      </c>
      <c r="CG135" s="6"/>
      <c r="CH135" s="6"/>
      <c r="CI135" s="6"/>
      <c r="CJ135" s="6"/>
      <c r="CK135" s="6"/>
      <c r="CL135" s="6"/>
      <c r="CM135" s="6"/>
      <c r="CN135" s="6"/>
      <c r="CO135" s="6"/>
      <c r="CP135" s="6"/>
    </row>
    <row r="136">
      <c r="A136" s="7" t="s">
        <v>1751</v>
      </c>
      <c r="B136" s="8" t="s">
        <v>1752</v>
      </c>
      <c r="C136" s="8" t="s">
        <v>1753</v>
      </c>
      <c r="D136" s="8" t="s">
        <v>94</v>
      </c>
      <c r="E136" s="8" t="s">
        <v>95</v>
      </c>
      <c r="F136" s="9"/>
      <c r="G136" s="8" t="s">
        <v>1754</v>
      </c>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t="str">
        <f t="shared" ref="AJ136:AJ145" si="19">CONCATENATE(J136,K136,L136,Q136,R136,X136,Y136,AA136,AG136)</f>
        <v/>
      </c>
      <c r="AK136" s="8"/>
      <c r="AL136" s="8"/>
      <c r="AM136" s="8" t="s">
        <v>1477</v>
      </c>
      <c r="AN136" s="8" t="s">
        <v>1755</v>
      </c>
      <c r="AO136" s="9"/>
      <c r="AP136" s="9"/>
      <c r="AQ136" s="9"/>
      <c r="AR136" s="8" t="s">
        <v>1479</v>
      </c>
      <c r="AS136" s="8" t="s">
        <v>1480</v>
      </c>
      <c r="AT136" s="9"/>
      <c r="AU136" s="8" t="s">
        <v>1756</v>
      </c>
      <c r="AV136" s="8" t="s">
        <v>108</v>
      </c>
      <c r="AW136" s="9"/>
      <c r="AX136" s="9"/>
      <c r="AY136" s="8" t="s">
        <v>1748</v>
      </c>
      <c r="AZ136" s="8" t="b">
        <v>0</v>
      </c>
      <c r="BA136" s="8" t="s">
        <v>110</v>
      </c>
      <c r="BB136" s="8" t="s">
        <v>1757</v>
      </c>
      <c r="BC136" s="9"/>
      <c r="BD136" s="9"/>
      <c r="BE136" s="8" t="s">
        <v>1758</v>
      </c>
      <c r="BF136" s="9"/>
      <c r="BG136" s="9"/>
      <c r="BH136" s="9"/>
      <c r="BI136" s="9"/>
      <c r="BJ136" s="9"/>
      <c r="BK136" s="9"/>
      <c r="BL136" s="9"/>
      <c r="BM136" s="9"/>
      <c r="BN136" s="9"/>
      <c r="BO136" s="9"/>
      <c r="BP136" s="9"/>
      <c r="BQ136" s="9"/>
      <c r="BR136" s="9"/>
      <c r="BS136" s="9"/>
      <c r="BT136" s="9"/>
      <c r="BU136" s="9"/>
      <c r="BV136" s="9"/>
      <c r="BW136" s="9"/>
      <c r="BX136" s="9"/>
      <c r="BY136" s="9"/>
      <c r="BZ136" s="9"/>
      <c r="CA136" s="9"/>
      <c r="CB136" s="8" t="s">
        <v>1759</v>
      </c>
      <c r="CC136" s="9"/>
      <c r="CD136" s="9"/>
      <c r="CE136" s="8" t="s">
        <v>366</v>
      </c>
      <c r="CF136" s="8" t="s">
        <v>1760</v>
      </c>
      <c r="CG136" s="9"/>
      <c r="CH136" s="9"/>
      <c r="CI136" s="9"/>
      <c r="CJ136" s="9"/>
      <c r="CK136" s="9"/>
      <c r="CL136" s="9"/>
      <c r="CM136" s="9"/>
      <c r="CN136" s="9"/>
      <c r="CO136" s="9"/>
      <c r="CP136" s="9"/>
    </row>
    <row r="137">
      <c r="A137" s="7" t="s">
        <v>1761</v>
      </c>
      <c r="B137" s="8" t="s">
        <v>1762</v>
      </c>
      <c r="C137" s="8" t="s">
        <v>1763</v>
      </c>
      <c r="D137" s="8" t="s">
        <v>94</v>
      </c>
      <c r="E137" s="8" t="s">
        <v>95</v>
      </c>
      <c r="F137" s="9"/>
      <c r="G137" s="8" t="s">
        <v>1764</v>
      </c>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t="str">
        <f t="shared" si="19"/>
        <v/>
      </c>
      <c r="AK137" s="8"/>
      <c r="AL137" s="8"/>
      <c r="AM137" s="8" t="s">
        <v>133</v>
      </c>
      <c r="AN137" s="8" t="s">
        <v>1765</v>
      </c>
      <c r="AO137" s="9"/>
      <c r="AP137" s="8" t="s">
        <v>899</v>
      </c>
      <c r="AQ137" s="9"/>
      <c r="AR137" s="9"/>
      <c r="AS137" s="9"/>
      <c r="AT137" s="9"/>
      <c r="AU137" s="8" t="s">
        <v>1766</v>
      </c>
      <c r="AV137" s="9"/>
      <c r="AW137" s="9"/>
      <c r="AX137" s="9"/>
      <c r="AY137" s="8" t="s">
        <v>1748</v>
      </c>
      <c r="AZ137" s="8" t="b">
        <v>0</v>
      </c>
      <c r="BA137" s="8" t="s">
        <v>190</v>
      </c>
      <c r="BB137" s="8" t="s">
        <v>191</v>
      </c>
      <c r="BC137" s="8" t="s">
        <v>1767</v>
      </c>
      <c r="BD137" s="9"/>
      <c r="BE137" s="8" t="s">
        <v>1768</v>
      </c>
      <c r="BF137" s="9"/>
      <c r="BG137" s="9"/>
      <c r="BH137" s="9"/>
      <c r="BI137" s="9"/>
      <c r="BJ137" s="9"/>
      <c r="BK137" s="9"/>
      <c r="BL137" s="9"/>
      <c r="BM137" s="9"/>
      <c r="BN137" s="9"/>
      <c r="BO137" s="9"/>
      <c r="BP137" s="9"/>
      <c r="BQ137" s="9"/>
      <c r="BR137" s="8" t="s">
        <v>193</v>
      </c>
      <c r="BS137" s="8" t="s">
        <v>194</v>
      </c>
      <c r="BT137" s="8" t="s">
        <v>1769</v>
      </c>
      <c r="BU137" s="9"/>
      <c r="BV137" s="9"/>
      <c r="BW137" s="9"/>
      <c r="BX137" s="9"/>
      <c r="BY137" s="9"/>
      <c r="BZ137" s="9"/>
      <c r="CA137" s="9"/>
      <c r="CB137" s="8" t="s">
        <v>1770</v>
      </c>
      <c r="CC137" s="9"/>
      <c r="CD137" s="9"/>
      <c r="CE137" s="8" t="s">
        <v>1771</v>
      </c>
      <c r="CF137" s="8" t="s">
        <v>1772</v>
      </c>
      <c r="CG137" s="9"/>
      <c r="CH137" s="9"/>
      <c r="CI137" s="9"/>
      <c r="CJ137" s="9"/>
      <c r="CK137" s="9"/>
      <c r="CL137" s="9"/>
      <c r="CM137" s="9"/>
      <c r="CN137" s="9"/>
      <c r="CO137" s="9"/>
      <c r="CP137" s="9"/>
    </row>
    <row r="138">
      <c r="A138" s="7" t="s">
        <v>1773</v>
      </c>
      <c r="B138" s="8" t="s">
        <v>1774</v>
      </c>
      <c r="C138" s="8" t="s">
        <v>1775</v>
      </c>
      <c r="D138" s="8" t="s">
        <v>94</v>
      </c>
      <c r="E138" s="8" t="s">
        <v>95</v>
      </c>
      <c r="F138" s="9"/>
      <c r="G138" s="8" t="s">
        <v>1776</v>
      </c>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t="str">
        <f t="shared" si="19"/>
        <v/>
      </c>
      <c r="AK138" s="8"/>
      <c r="AL138" s="8"/>
      <c r="AM138" s="8" t="s">
        <v>1477</v>
      </c>
      <c r="AN138" s="8" t="s">
        <v>1777</v>
      </c>
      <c r="AO138" s="9"/>
      <c r="AP138" s="9"/>
      <c r="AQ138" s="9"/>
      <c r="AR138" s="8" t="s">
        <v>1479</v>
      </c>
      <c r="AS138" s="8" t="s">
        <v>1480</v>
      </c>
      <c r="AT138" s="9"/>
      <c r="AU138" s="8" t="s">
        <v>1778</v>
      </c>
      <c r="AV138" s="8" t="s">
        <v>108</v>
      </c>
      <c r="AW138" s="9"/>
      <c r="AX138" s="9"/>
      <c r="AY138" s="8" t="s">
        <v>1748</v>
      </c>
      <c r="AZ138" s="8" t="b">
        <v>0</v>
      </c>
      <c r="BA138" s="8" t="s">
        <v>110</v>
      </c>
      <c r="BB138" s="9"/>
      <c r="BC138" s="9"/>
      <c r="BD138" s="8" t="s">
        <v>112</v>
      </c>
      <c r="BE138" s="8" t="s">
        <v>1779</v>
      </c>
      <c r="BF138" s="9"/>
      <c r="BG138" s="9"/>
      <c r="BH138" s="9"/>
      <c r="BI138" s="9"/>
      <c r="BJ138" s="9"/>
      <c r="BK138" s="9"/>
      <c r="BL138" s="9"/>
      <c r="BM138" s="9"/>
      <c r="BN138" s="9"/>
      <c r="BO138" s="9"/>
      <c r="BP138" s="9"/>
      <c r="BQ138" s="9"/>
      <c r="BR138" s="9"/>
      <c r="BS138" s="9"/>
      <c r="BT138" s="9"/>
      <c r="BU138" s="9"/>
      <c r="BV138" s="9"/>
      <c r="BW138" s="9"/>
      <c r="BX138" s="9"/>
      <c r="BY138" s="9"/>
      <c r="BZ138" s="9"/>
      <c r="CA138" s="9"/>
      <c r="CB138" s="8" t="s">
        <v>1598</v>
      </c>
      <c r="CC138" s="9"/>
      <c r="CD138" s="9"/>
      <c r="CE138" s="8" t="s">
        <v>359</v>
      </c>
      <c r="CF138" s="8" t="s">
        <v>1780</v>
      </c>
      <c r="CG138" s="9"/>
      <c r="CH138" s="9"/>
      <c r="CI138" s="9"/>
      <c r="CJ138" s="9"/>
      <c r="CK138" s="9"/>
      <c r="CL138" s="9"/>
      <c r="CM138" s="9"/>
      <c r="CN138" s="9"/>
      <c r="CO138" s="9"/>
      <c r="CP138" s="9"/>
    </row>
    <row r="139">
      <c r="A139" s="7" t="s">
        <v>1781</v>
      </c>
      <c r="B139" s="8" t="s">
        <v>1782</v>
      </c>
      <c r="C139" s="8" t="s">
        <v>1783</v>
      </c>
      <c r="D139" s="8" t="s">
        <v>94</v>
      </c>
      <c r="E139" s="8" t="s">
        <v>95</v>
      </c>
      <c r="F139" s="9"/>
      <c r="G139" s="8" t="s">
        <v>1784</v>
      </c>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t="str">
        <f t="shared" si="19"/>
        <v/>
      </c>
      <c r="AK139" s="8"/>
      <c r="AL139" s="8"/>
      <c r="AM139" s="8" t="s">
        <v>1477</v>
      </c>
      <c r="AN139" s="8" t="s">
        <v>1785</v>
      </c>
      <c r="AO139" s="9"/>
      <c r="AP139" s="9"/>
      <c r="AQ139" s="9"/>
      <c r="AR139" s="8" t="s">
        <v>1479</v>
      </c>
      <c r="AS139" s="8" t="s">
        <v>1480</v>
      </c>
      <c r="AT139" s="9"/>
      <c r="AU139" s="8" t="s">
        <v>1786</v>
      </c>
      <c r="AV139" s="9"/>
      <c r="AW139" s="9"/>
      <c r="AX139" s="9"/>
      <c r="AY139" s="8" t="s">
        <v>1748</v>
      </c>
      <c r="AZ139" s="8" t="b">
        <v>0</v>
      </c>
      <c r="BA139" s="8" t="s">
        <v>190</v>
      </c>
      <c r="BB139" s="8" t="s">
        <v>191</v>
      </c>
      <c r="BC139" s="9"/>
      <c r="BD139" s="9"/>
      <c r="BE139" s="8" t="s">
        <v>1787</v>
      </c>
      <c r="BF139" s="9"/>
      <c r="BG139" s="9"/>
      <c r="BH139" s="9"/>
      <c r="BI139" s="9"/>
      <c r="BJ139" s="9"/>
      <c r="BK139" s="9"/>
      <c r="BL139" s="9"/>
      <c r="BM139" s="9"/>
      <c r="BN139" s="9"/>
      <c r="BO139" s="9"/>
      <c r="BP139" s="9"/>
      <c r="BQ139" s="9"/>
      <c r="BR139" s="8" t="s">
        <v>193</v>
      </c>
      <c r="BS139" s="8" t="s">
        <v>194</v>
      </c>
      <c r="BT139" s="8" t="s">
        <v>1788</v>
      </c>
      <c r="BU139" s="9"/>
      <c r="BV139" s="9"/>
      <c r="BW139" s="9"/>
      <c r="BX139" s="9"/>
      <c r="BY139" s="9"/>
      <c r="BZ139" s="9"/>
      <c r="CA139" s="9"/>
      <c r="CB139" s="8" t="s">
        <v>1789</v>
      </c>
      <c r="CC139" s="9"/>
      <c r="CD139" s="9"/>
      <c r="CE139" s="8" t="s">
        <v>197</v>
      </c>
      <c r="CF139" s="8" t="s">
        <v>1790</v>
      </c>
      <c r="CG139" s="9"/>
      <c r="CH139" s="9"/>
      <c r="CI139" s="9"/>
      <c r="CJ139" s="9"/>
      <c r="CK139" s="9"/>
      <c r="CL139" s="9"/>
      <c r="CM139" s="9"/>
      <c r="CN139" s="9"/>
      <c r="CO139" s="9"/>
      <c r="CP139" s="9"/>
    </row>
    <row r="140">
      <c r="A140" s="7" t="s">
        <v>1791</v>
      </c>
      <c r="B140" s="8" t="s">
        <v>1792</v>
      </c>
      <c r="C140" s="8" t="s">
        <v>1793</v>
      </c>
      <c r="D140" s="8" t="s">
        <v>94</v>
      </c>
      <c r="E140" s="8" t="s">
        <v>95</v>
      </c>
      <c r="F140" s="9"/>
      <c r="G140" s="8" t="s">
        <v>1794</v>
      </c>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t="str">
        <f t="shared" si="19"/>
        <v/>
      </c>
      <c r="AK140" s="8"/>
      <c r="AL140" s="8"/>
      <c r="AM140" s="8" t="s">
        <v>1477</v>
      </c>
      <c r="AN140" s="8" t="s">
        <v>1795</v>
      </c>
      <c r="AO140" s="9"/>
      <c r="AP140" s="9"/>
      <c r="AQ140" s="9"/>
      <c r="AR140" s="8" t="s">
        <v>1479</v>
      </c>
      <c r="AS140" s="8" t="s">
        <v>1480</v>
      </c>
      <c r="AT140" s="9"/>
      <c r="AU140" s="8" t="s">
        <v>1796</v>
      </c>
      <c r="AV140" s="9"/>
      <c r="AW140" s="9"/>
      <c r="AX140" s="9"/>
      <c r="AY140" s="8" t="s">
        <v>1748</v>
      </c>
      <c r="AZ140" s="8" t="b">
        <v>0</v>
      </c>
      <c r="BA140" s="8" t="s">
        <v>190</v>
      </c>
      <c r="BB140" s="8" t="s">
        <v>191</v>
      </c>
      <c r="BC140" s="8" t="s">
        <v>1767</v>
      </c>
      <c r="BD140" s="9"/>
      <c r="BE140" s="8" t="s">
        <v>1797</v>
      </c>
      <c r="BF140" s="9"/>
      <c r="BG140" s="9"/>
      <c r="BH140" s="9"/>
      <c r="BI140" s="9"/>
      <c r="BJ140" s="9"/>
      <c r="BK140" s="9"/>
      <c r="BL140" s="9"/>
      <c r="BM140" s="9"/>
      <c r="BN140" s="9"/>
      <c r="BO140" s="9"/>
      <c r="BP140" s="9"/>
      <c r="BQ140" s="9"/>
      <c r="BR140" s="8" t="s">
        <v>193</v>
      </c>
      <c r="BS140" s="8" t="s">
        <v>194</v>
      </c>
      <c r="BT140" s="8" t="s">
        <v>1798</v>
      </c>
      <c r="BU140" s="9"/>
      <c r="BV140" s="9"/>
      <c r="BW140" s="9"/>
      <c r="BX140" s="9"/>
      <c r="BY140" s="9"/>
      <c r="BZ140" s="9"/>
      <c r="CA140" s="9"/>
      <c r="CB140" s="8" t="s">
        <v>1789</v>
      </c>
      <c r="CC140" s="9"/>
      <c r="CD140" s="9"/>
      <c r="CE140" s="8" t="s">
        <v>393</v>
      </c>
      <c r="CF140" s="8" t="s">
        <v>1799</v>
      </c>
      <c r="CG140" s="9"/>
      <c r="CH140" s="9"/>
      <c r="CI140" s="9"/>
      <c r="CJ140" s="9"/>
      <c r="CK140" s="9"/>
      <c r="CL140" s="9"/>
      <c r="CM140" s="9"/>
      <c r="CN140" s="9"/>
      <c r="CO140" s="9"/>
      <c r="CP140" s="9"/>
    </row>
    <row r="141">
      <c r="A141" s="7" t="s">
        <v>1800</v>
      </c>
      <c r="B141" s="8" t="s">
        <v>1801</v>
      </c>
      <c r="C141" s="8" t="s">
        <v>1802</v>
      </c>
      <c r="D141" s="8" t="s">
        <v>94</v>
      </c>
      <c r="E141" s="8" t="s">
        <v>95</v>
      </c>
      <c r="F141" s="9"/>
      <c r="G141" s="8" t="s">
        <v>1803</v>
      </c>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t="str">
        <f t="shared" si="19"/>
        <v/>
      </c>
      <c r="AK141" s="8"/>
      <c r="AL141" s="8"/>
      <c r="AM141" s="8" t="s">
        <v>1477</v>
      </c>
      <c r="AN141" s="8" t="s">
        <v>1804</v>
      </c>
      <c r="AO141" s="9"/>
      <c r="AP141" s="9"/>
      <c r="AQ141" s="9"/>
      <c r="AR141" s="8" t="s">
        <v>1479</v>
      </c>
      <c r="AS141" s="8" t="s">
        <v>1480</v>
      </c>
      <c r="AT141" s="9"/>
      <c r="AU141" s="8" t="s">
        <v>1805</v>
      </c>
      <c r="AV141" s="9"/>
      <c r="AW141" s="9"/>
      <c r="AX141" s="9"/>
      <c r="AY141" s="8" t="s">
        <v>1748</v>
      </c>
      <c r="AZ141" s="8" t="b">
        <v>0</v>
      </c>
      <c r="BA141" s="8" t="s">
        <v>190</v>
      </c>
      <c r="BB141" s="8" t="s">
        <v>191</v>
      </c>
      <c r="BC141" s="8" t="s">
        <v>1767</v>
      </c>
      <c r="BD141" s="9"/>
      <c r="BE141" s="8" t="s">
        <v>1806</v>
      </c>
      <c r="BF141" s="9"/>
      <c r="BG141" s="9"/>
      <c r="BH141" s="9"/>
      <c r="BI141" s="9"/>
      <c r="BJ141" s="9"/>
      <c r="BK141" s="9"/>
      <c r="BL141" s="9"/>
      <c r="BM141" s="9"/>
      <c r="BN141" s="9"/>
      <c r="BO141" s="9"/>
      <c r="BP141" s="9"/>
      <c r="BQ141" s="9"/>
      <c r="BR141" s="8" t="s">
        <v>193</v>
      </c>
      <c r="BS141" s="8" t="s">
        <v>194</v>
      </c>
      <c r="BT141" s="8" t="s">
        <v>1788</v>
      </c>
      <c r="BU141" s="9"/>
      <c r="BV141" s="9"/>
      <c r="BW141" s="9"/>
      <c r="BX141" s="9"/>
      <c r="BY141" s="9"/>
      <c r="BZ141" s="9"/>
      <c r="CA141" s="9"/>
      <c r="CB141" s="8" t="s">
        <v>1807</v>
      </c>
      <c r="CC141" s="9"/>
      <c r="CD141" s="9"/>
      <c r="CE141" s="8" t="s">
        <v>115</v>
      </c>
      <c r="CF141" s="8" t="s">
        <v>1808</v>
      </c>
      <c r="CG141" s="9"/>
      <c r="CH141" s="9"/>
      <c r="CI141" s="9"/>
      <c r="CJ141" s="9"/>
      <c r="CK141" s="9"/>
      <c r="CL141" s="9"/>
      <c r="CM141" s="9"/>
      <c r="CN141" s="9"/>
      <c r="CO141" s="9"/>
      <c r="CP141" s="9"/>
    </row>
    <row r="142">
      <c r="A142" s="7" t="s">
        <v>1809</v>
      </c>
      <c r="B142" s="8" t="s">
        <v>1810</v>
      </c>
      <c r="C142" s="8" t="s">
        <v>1811</v>
      </c>
      <c r="D142" s="8" t="s">
        <v>94</v>
      </c>
      <c r="E142" s="8" t="s">
        <v>95</v>
      </c>
      <c r="F142" s="9"/>
      <c r="G142" s="8" t="s">
        <v>1812</v>
      </c>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t="str">
        <f t="shared" si="19"/>
        <v/>
      </c>
      <c r="AK142" s="8"/>
      <c r="AL142" s="8"/>
      <c r="AM142" s="8" t="s">
        <v>1477</v>
      </c>
      <c r="AN142" s="8" t="s">
        <v>1813</v>
      </c>
      <c r="AO142" s="9"/>
      <c r="AP142" s="9"/>
      <c r="AQ142" s="9"/>
      <c r="AR142" s="8" t="s">
        <v>1479</v>
      </c>
      <c r="AS142" s="8" t="s">
        <v>1480</v>
      </c>
      <c r="AT142" s="9"/>
      <c r="AU142" s="8" t="s">
        <v>1814</v>
      </c>
      <c r="AV142" s="9"/>
      <c r="AW142" s="9"/>
      <c r="AX142" s="9"/>
      <c r="AY142" s="8" t="s">
        <v>1748</v>
      </c>
      <c r="AZ142" s="8" t="b">
        <v>0</v>
      </c>
      <c r="BA142" s="8" t="s">
        <v>190</v>
      </c>
      <c r="BB142" s="8" t="s">
        <v>191</v>
      </c>
      <c r="BC142" s="9"/>
      <c r="BD142" s="9"/>
      <c r="BE142" s="8" t="s">
        <v>1815</v>
      </c>
      <c r="BF142" s="9"/>
      <c r="BG142" s="9"/>
      <c r="BH142" s="9"/>
      <c r="BI142" s="9"/>
      <c r="BJ142" s="9"/>
      <c r="BK142" s="9"/>
      <c r="BL142" s="9"/>
      <c r="BM142" s="9"/>
      <c r="BN142" s="9"/>
      <c r="BO142" s="9"/>
      <c r="BP142" s="9"/>
      <c r="BQ142" s="9"/>
      <c r="BR142" s="8" t="s">
        <v>193</v>
      </c>
      <c r="BS142" s="8" t="s">
        <v>194</v>
      </c>
      <c r="BT142" s="9"/>
      <c r="BU142" s="9"/>
      <c r="BV142" s="9"/>
      <c r="BW142" s="9"/>
      <c r="BX142" s="9"/>
      <c r="BY142" s="9"/>
      <c r="BZ142" s="9"/>
      <c r="CA142" s="9"/>
      <c r="CB142" s="8" t="s">
        <v>1598</v>
      </c>
      <c r="CC142" s="9"/>
      <c r="CD142" s="9"/>
      <c r="CE142" s="8" t="s">
        <v>412</v>
      </c>
      <c r="CF142" s="8" t="s">
        <v>1816</v>
      </c>
      <c r="CG142" s="9"/>
      <c r="CH142" s="9"/>
      <c r="CI142" s="9"/>
      <c r="CJ142" s="9"/>
      <c r="CK142" s="9"/>
      <c r="CL142" s="9"/>
      <c r="CM142" s="9"/>
      <c r="CN142" s="9"/>
      <c r="CO142" s="9"/>
      <c r="CP142" s="9"/>
    </row>
    <row r="143">
      <c r="A143" s="7" t="s">
        <v>1817</v>
      </c>
      <c r="B143" s="8" t="s">
        <v>1818</v>
      </c>
      <c r="C143" s="8" t="s">
        <v>1819</v>
      </c>
      <c r="D143" s="8" t="s">
        <v>94</v>
      </c>
      <c r="E143" s="8" t="s">
        <v>95</v>
      </c>
      <c r="F143" s="9"/>
      <c r="G143" s="8" t="s">
        <v>1820</v>
      </c>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t="str">
        <f t="shared" si="19"/>
        <v/>
      </c>
      <c r="AK143" s="8"/>
      <c r="AL143" s="8"/>
      <c r="AM143" s="8" t="s">
        <v>1477</v>
      </c>
      <c r="AN143" s="8" t="s">
        <v>1821</v>
      </c>
      <c r="AO143" s="9"/>
      <c r="AP143" s="9"/>
      <c r="AQ143" s="9"/>
      <c r="AR143" s="8" t="s">
        <v>1479</v>
      </c>
      <c r="AS143" s="8" t="s">
        <v>1480</v>
      </c>
      <c r="AT143" s="9"/>
      <c r="AU143" s="8" t="s">
        <v>1822</v>
      </c>
      <c r="AV143" s="8" t="s">
        <v>108</v>
      </c>
      <c r="AW143" s="9"/>
      <c r="AX143" s="9"/>
      <c r="AY143" s="8" t="s">
        <v>1748</v>
      </c>
      <c r="AZ143" s="8" t="b">
        <v>0</v>
      </c>
      <c r="BA143" s="8" t="s">
        <v>110</v>
      </c>
      <c r="BB143" s="9"/>
      <c r="BC143" s="9"/>
      <c r="BD143" s="9"/>
      <c r="BE143" s="8" t="s">
        <v>1823</v>
      </c>
      <c r="BF143" s="9"/>
      <c r="BG143" s="9"/>
      <c r="BH143" s="9"/>
      <c r="BI143" s="9"/>
      <c r="BJ143" s="9"/>
      <c r="BK143" s="9"/>
      <c r="BL143" s="9"/>
      <c r="BM143" s="9"/>
      <c r="BN143" s="9"/>
      <c r="BO143" s="9"/>
      <c r="BP143" s="9"/>
      <c r="BQ143" s="9"/>
      <c r="BR143" s="9"/>
      <c r="BS143" s="9"/>
      <c r="BT143" s="9"/>
      <c r="BU143" s="9"/>
      <c r="BV143" s="9"/>
      <c r="BW143" s="9"/>
      <c r="BX143" s="9"/>
      <c r="BY143" s="9"/>
      <c r="BZ143" s="9"/>
      <c r="CA143" s="9"/>
      <c r="CB143" s="8" t="s">
        <v>1824</v>
      </c>
      <c r="CC143" s="9"/>
      <c r="CD143" s="9"/>
      <c r="CE143" s="8" t="s">
        <v>366</v>
      </c>
      <c r="CF143" s="8" t="s">
        <v>1825</v>
      </c>
      <c r="CG143" s="9"/>
      <c r="CH143" s="9"/>
      <c r="CI143" s="9"/>
      <c r="CJ143" s="9"/>
      <c r="CK143" s="9"/>
      <c r="CL143" s="9"/>
      <c r="CM143" s="9"/>
      <c r="CN143" s="9"/>
      <c r="CO143" s="9"/>
      <c r="CP143" s="9"/>
    </row>
    <row r="144">
      <c r="A144" s="7" t="s">
        <v>1826</v>
      </c>
      <c r="B144" s="8" t="s">
        <v>1827</v>
      </c>
      <c r="C144" s="8" t="s">
        <v>1828</v>
      </c>
      <c r="D144" s="8" t="s">
        <v>94</v>
      </c>
      <c r="E144" s="8" t="s">
        <v>95</v>
      </c>
      <c r="F144" s="9"/>
      <c r="G144" s="8" t="s">
        <v>1829</v>
      </c>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t="str">
        <f t="shared" si="19"/>
        <v/>
      </c>
      <c r="AK144" s="8"/>
      <c r="AL144" s="8"/>
      <c r="AM144" s="8" t="s">
        <v>1477</v>
      </c>
      <c r="AN144" s="8" t="s">
        <v>1830</v>
      </c>
      <c r="AO144" s="9"/>
      <c r="AP144" s="9"/>
      <c r="AQ144" s="9"/>
      <c r="AR144" s="8" t="s">
        <v>1479</v>
      </c>
      <c r="AS144" s="8" t="s">
        <v>1480</v>
      </c>
      <c r="AT144" s="9"/>
      <c r="AU144" s="8" t="s">
        <v>1831</v>
      </c>
      <c r="AV144" s="8" t="s">
        <v>108</v>
      </c>
      <c r="AW144" s="9"/>
      <c r="AX144" s="9"/>
      <c r="AY144" s="8" t="s">
        <v>1748</v>
      </c>
      <c r="AZ144" s="8" t="b">
        <v>0</v>
      </c>
      <c r="BA144" s="8" t="s">
        <v>110</v>
      </c>
      <c r="BB144" s="9"/>
      <c r="BC144" s="9"/>
      <c r="BD144" s="9"/>
      <c r="BE144" s="8" t="s">
        <v>1832</v>
      </c>
      <c r="BF144" s="9"/>
      <c r="BG144" s="9"/>
      <c r="BH144" s="9"/>
      <c r="BI144" s="9"/>
      <c r="BJ144" s="9"/>
      <c r="BK144" s="9"/>
      <c r="BL144" s="9"/>
      <c r="BM144" s="9"/>
      <c r="BN144" s="9"/>
      <c r="BO144" s="9"/>
      <c r="BP144" s="9"/>
      <c r="BQ144" s="9"/>
      <c r="BR144" s="9"/>
      <c r="BS144" s="9"/>
      <c r="BT144" s="9"/>
      <c r="BU144" s="9"/>
      <c r="BV144" s="9"/>
      <c r="BW144" s="9"/>
      <c r="BX144" s="9"/>
      <c r="BY144" s="9"/>
      <c r="BZ144" s="9"/>
      <c r="CA144" s="9"/>
      <c r="CB144" s="8" t="s">
        <v>1833</v>
      </c>
      <c r="CC144" s="9"/>
      <c r="CD144" s="9"/>
      <c r="CE144" s="8" t="s">
        <v>366</v>
      </c>
      <c r="CF144" s="8" t="s">
        <v>1834</v>
      </c>
      <c r="CG144" s="9"/>
      <c r="CH144" s="9"/>
      <c r="CI144" s="9"/>
      <c r="CJ144" s="9"/>
      <c r="CK144" s="9"/>
      <c r="CL144" s="9"/>
      <c r="CM144" s="9"/>
      <c r="CN144" s="9"/>
      <c r="CO144" s="9"/>
      <c r="CP144" s="9"/>
    </row>
    <row r="145">
      <c r="A145" s="7" t="s">
        <v>1835</v>
      </c>
      <c r="B145" s="8" t="s">
        <v>1836</v>
      </c>
      <c r="C145" s="8" t="s">
        <v>1836</v>
      </c>
      <c r="D145" s="8" t="s">
        <v>354</v>
      </c>
      <c r="E145" s="8" t="s">
        <v>355</v>
      </c>
      <c r="F145" s="9"/>
      <c r="G145" s="8" t="s">
        <v>1837</v>
      </c>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t="str">
        <f t="shared" si="19"/>
        <v/>
      </c>
      <c r="AK145" s="8"/>
      <c r="AL145" s="8"/>
      <c r="AM145" s="8" t="s">
        <v>1217</v>
      </c>
      <c r="AN145" s="9"/>
      <c r="AO145" s="9"/>
      <c r="AP145" s="9"/>
      <c r="AQ145" s="9"/>
      <c r="AR145" s="8" t="s">
        <v>1218</v>
      </c>
      <c r="AS145" s="8" t="s">
        <v>1219</v>
      </c>
      <c r="AT145" s="9"/>
      <c r="AU145" s="8" t="s">
        <v>1838</v>
      </c>
      <c r="AV145" s="9"/>
      <c r="AW145" s="8" t="s">
        <v>1839</v>
      </c>
      <c r="AX145" s="8" t="s">
        <v>302</v>
      </c>
      <c r="AY145" s="8" t="s">
        <v>1748</v>
      </c>
      <c r="AZ145" s="8" t="b">
        <v>0</v>
      </c>
      <c r="BA145" s="8" t="s">
        <v>190</v>
      </c>
      <c r="BB145" s="8" t="s">
        <v>1222</v>
      </c>
      <c r="BC145" s="9"/>
      <c r="BD145" s="9"/>
      <c r="BE145" s="8" t="s">
        <v>361</v>
      </c>
      <c r="BF145" s="9"/>
      <c r="BG145" s="9"/>
      <c r="BH145" s="9"/>
      <c r="BI145" s="8" t="s">
        <v>1840</v>
      </c>
      <c r="BJ145" s="8" t="s">
        <v>1841</v>
      </c>
      <c r="BK145" s="9"/>
      <c r="BL145" s="9"/>
      <c r="BM145" s="9"/>
      <c r="BN145" s="9"/>
      <c r="BO145" s="9"/>
      <c r="BP145" s="9"/>
      <c r="BQ145" s="9"/>
      <c r="BR145" s="8" t="s">
        <v>193</v>
      </c>
      <c r="BS145" s="8" t="s">
        <v>194</v>
      </c>
      <c r="BT145" s="9"/>
      <c r="BU145" s="9"/>
      <c r="BV145" s="8" t="s">
        <v>1842</v>
      </c>
      <c r="BW145" s="9"/>
      <c r="BX145" s="9"/>
      <c r="BY145" s="9"/>
      <c r="BZ145" s="9"/>
      <c r="CA145" s="9"/>
      <c r="CB145" s="8" t="s">
        <v>1843</v>
      </c>
      <c r="CC145" s="9"/>
      <c r="CD145" s="9"/>
      <c r="CE145" s="8" t="s">
        <v>366</v>
      </c>
      <c r="CF145" s="9"/>
      <c r="CG145" s="9"/>
      <c r="CH145" s="9"/>
      <c r="CI145" s="9"/>
      <c r="CJ145" s="9"/>
      <c r="CK145" s="9"/>
      <c r="CL145" s="9"/>
      <c r="CM145" s="9"/>
      <c r="CN145" s="9"/>
      <c r="CO145" s="9"/>
      <c r="CP145" s="9"/>
    </row>
    <row r="146">
      <c r="A146" s="4" t="s">
        <v>1844</v>
      </c>
      <c r="B146" s="5" t="s">
        <v>1845</v>
      </c>
      <c r="C146" s="5" t="s">
        <v>1846</v>
      </c>
      <c r="D146" s="5" t="s">
        <v>94</v>
      </c>
      <c r="E146" s="5" t="s">
        <v>95</v>
      </c>
      <c r="F146" s="6"/>
      <c r="G146" s="5" t="s">
        <v>1847</v>
      </c>
      <c r="H146" s="5" t="s">
        <v>97</v>
      </c>
      <c r="I146" s="5" t="s">
        <v>1329</v>
      </c>
      <c r="J146" s="5"/>
      <c r="K146" s="5"/>
      <c r="L146" s="5"/>
      <c r="M146" s="5" t="s">
        <v>1848</v>
      </c>
      <c r="N146" s="5" t="s">
        <v>1849</v>
      </c>
      <c r="O146" s="5" t="s">
        <v>1850</v>
      </c>
      <c r="P146" s="5" t="s">
        <v>1851</v>
      </c>
      <c r="Q146" s="5"/>
      <c r="R146" s="5"/>
      <c r="S146" s="5" t="s">
        <v>100</v>
      </c>
      <c r="T146" s="5" t="s">
        <v>100</v>
      </c>
      <c r="U146" s="5" t="s">
        <v>100</v>
      </c>
      <c r="V146" s="5" t="s">
        <v>100</v>
      </c>
      <c r="W146" s="5" t="s">
        <v>100</v>
      </c>
      <c r="X146" s="5" t="s">
        <v>100</v>
      </c>
      <c r="Y146" s="5" t="s">
        <v>1852</v>
      </c>
      <c r="Z146" s="5" t="s">
        <v>1853</v>
      </c>
      <c r="AA146" s="5"/>
      <c r="AB146" s="5" t="s">
        <v>100</v>
      </c>
      <c r="AC146" s="5" t="s">
        <v>100</v>
      </c>
      <c r="AD146" s="5" t="s">
        <v>100</v>
      </c>
      <c r="AE146" s="5" t="s">
        <v>100</v>
      </c>
      <c r="AF146" s="5" t="s">
        <v>100</v>
      </c>
      <c r="AG146" s="5" t="s">
        <v>100</v>
      </c>
      <c r="AH146" s="5" t="s">
        <v>100</v>
      </c>
      <c r="AI146" s="5" t="s">
        <v>1854</v>
      </c>
      <c r="AJ146" s="5" t="s">
        <v>1855</v>
      </c>
      <c r="AK146" s="5" t="s">
        <v>124</v>
      </c>
      <c r="AL146" s="5" t="s">
        <v>124</v>
      </c>
      <c r="AM146" s="5" t="s">
        <v>105</v>
      </c>
      <c r="AN146" s="5" t="s">
        <v>1856</v>
      </c>
      <c r="AO146" s="6"/>
      <c r="AP146" s="6"/>
      <c r="AQ146" s="6"/>
      <c r="AR146" s="6"/>
      <c r="AS146" s="6"/>
      <c r="AT146" s="6"/>
      <c r="AU146" s="5" t="s">
        <v>1857</v>
      </c>
      <c r="AV146" s="5" t="s">
        <v>108</v>
      </c>
      <c r="AW146" s="6"/>
      <c r="AX146" s="6"/>
      <c r="AY146" s="5" t="s">
        <v>1858</v>
      </c>
      <c r="AZ146" s="5" t="b">
        <v>0</v>
      </c>
      <c r="BA146" s="5" t="s">
        <v>110</v>
      </c>
      <c r="BB146" s="5" t="s">
        <v>773</v>
      </c>
      <c r="BC146" s="6"/>
      <c r="BD146" s="6"/>
      <c r="BE146" s="5" t="s">
        <v>1859</v>
      </c>
      <c r="BF146" s="6"/>
      <c r="BG146" s="6"/>
      <c r="BH146" s="6"/>
      <c r="BI146" s="6"/>
      <c r="BJ146" s="6"/>
      <c r="BK146" s="6"/>
      <c r="BL146" s="6"/>
      <c r="BM146" s="6"/>
      <c r="BN146" s="6"/>
      <c r="BO146" s="6"/>
      <c r="BP146" s="6"/>
      <c r="BQ146" s="6"/>
      <c r="BR146" s="6"/>
      <c r="BS146" s="6"/>
      <c r="BT146" s="6"/>
      <c r="BU146" s="6"/>
      <c r="BV146" s="6"/>
      <c r="BW146" s="6"/>
      <c r="BX146" s="6"/>
      <c r="BY146" s="6"/>
      <c r="BZ146" s="6"/>
      <c r="CA146" s="6"/>
      <c r="CB146" s="5" t="s">
        <v>665</v>
      </c>
      <c r="CC146" s="6"/>
      <c r="CD146" s="6"/>
      <c r="CE146" s="5" t="s">
        <v>115</v>
      </c>
      <c r="CF146" s="5" t="s">
        <v>1860</v>
      </c>
      <c r="CG146" s="6"/>
      <c r="CH146" s="6"/>
      <c r="CI146" s="6"/>
      <c r="CJ146" s="6"/>
      <c r="CK146" s="6"/>
      <c r="CL146" s="6"/>
      <c r="CM146" s="6"/>
      <c r="CN146" s="6"/>
      <c r="CO146" s="6"/>
      <c r="CP146" s="6"/>
    </row>
    <row r="147">
      <c r="A147" s="4" t="s">
        <v>1861</v>
      </c>
      <c r="B147" s="5" t="s">
        <v>1862</v>
      </c>
      <c r="C147" s="5" t="s">
        <v>1863</v>
      </c>
      <c r="D147" s="5" t="s">
        <v>94</v>
      </c>
      <c r="E147" s="5" t="s">
        <v>95</v>
      </c>
      <c r="F147" s="6"/>
      <c r="G147" s="5" t="s">
        <v>1864</v>
      </c>
      <c r="H147" s="5" t="s">
        <v>97</v>
      </c>
      <c r="I147" s="5" t="s">
        <v>1865</v>
      </c>
      <c r="J147" s="5"/>
      <c r="K147" s="5"/>
      <c r="L147" s="5"/>
      <c r="M147" s="5"/>
      <c r="N147" s="5"/>
      <c r="O147" s="5"/>
      <c r="P147" s="5"/>
      <c r="Q147" s="5"/>
      <c r="R147" s="5" t="s">
        <v>1866</v>
      </c>
      <c r="S147" s="5"/>
      <c r="T147" s="5"/>
      <c r="U147" s="5"/>
      <c r="V147" s="5"/>
      <c r="W147" s="5"/>
      <c r="X147" s="5"/>
      <c r="Y147" s="5"/>
      <c r="Z147" s="5"/>
      <c r="AA147" s="5" t="s">
        <v>1867</v>
      </c>
      <c r="AB147" s="5"/>
      <c r="AC147" s="5"/>
      <c r="AD147" s="5"/>
      <c r="AE147" s="5"/>
      <c r="AF147" s="5"/>
      <c r="AG147" s="5"/>
      <c r="AH147" s="5"/>
      <c r="AI147" s="5"/>
      <c r="AJ147" s="10" t="str">
        <f>CONCATENATE(R147, AA147)</f>
        <v>40, 42, 46, 47, 50, 52, 55, 56, 57, 58, 59, 60, 61, 66, 68, 69, 70, 71, 72,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 180, 181, 182, 183, 184, 186, 187, 188, 189, 19, 190, 191, 192, 193, 194, 195, 196, 197, 198, 199, 200, 201, 202, 203, 204, 205, 206, 207, 208, 209, 210, 211, 212, 213, 214, 215, 216, 217, 218, 219, 220, 221, 222, 223, 224, 225, 226, 227, 228, 229, 230, 231, 232, 233, 234, 235, 236, 237, 238, 239, 240, 241, 242, 243, 244, 245, 246, 247, 248, 249, 25, 250, 251, 252, 253, 254, 255, 256, 257, 258, 259, 26, 260, 261, 262, 263, 264, 265, 266, 267, 268, 269, 27, 270, 271, 272, 273, 274, 275, 276, 277, 278, 279, 28, 280, 281, 282, 283, 284, 285, 286, 287, 288, 289, 29, 290, 291, 292, 293, 294, 295, 297, 298, 299, 300, 302, 303, 304, 305, 306, 307, 308, 309, 31, 310, 311, 312, 313, 314, 315, 316, 317, 318, 319, 32, 320, 321, 322, 323, 324, 325, 326, 327, 328, 329, 330, 331, 332, 333, 334, 335, 336, 337, 338, 339, 340, 341, 342, 343, 344, 345, 346, 347, 348, 349, 35, 350, 351, 352, 353, 354, 355, 356, 357, 358, 359, 360, 361, 362, 364, 365, 366, 367, 368, 37, 377, 378, 38, 383, 385, 39, 391, 399, 400, 402, 403, 404, 406, 407, 408, 410, 411, 413, 414, 415, 416, 417, 418, 425, 429, 430, 431, 432, 433, 434, 435, 436, 437, 438, 439, 440, 441, 442, 443, 444, 445, 446, 447, 448, 449, 450, 451, 452, 453, 454, 455, 456, 457, 458, 459, 460, 461, 462, 25, 26, 27, 28, 29, 31, 32, 35, 37, 38, 39, 40, 42, 46, 47, 50, 52, 55, 56, 57, 58, 59, 60, 61, 66, 68, 69, 70, 71, 72, 74, 75, 76, 77, 78,  383, 385, 391, 399, 400, 402, 403, 404, 406, 407, 408, 410, 411, 413, 414, 415, 416, 417, 418, 425, 429, </v>
      </c>
      <c r="AK147" s="5" t="s">
        <v>124</v>
      </c>
      <c r="AL147" s="5" t="s">
        <v>103</v>
      </c>
      <c r="AM147" s="5" t="s">
        <v>105</v>
      </c>
      <c r="AN147" s="5" t="s">
        <v>1868</v>
      </c>
      <c r="AO147" s="6"/>
      <c r="AP147" s="6"/>
      <c r="AQ147" s="6"/>
      <c r="AR147" s="6"/>
      <c r="AS147" s="6"/>
      <c r="AT147" s="6"/>
      <c r="AU147" s="5" t="s">
        <v>1869</v>
      </c>
      <c r="AV147" s="6"/>
      <c r="AW147" s="6"/>
      <c r="AX147" s="6"/>
      <c r="AY147" s="5" t="s">
        <v>1858</v>
      </c>
      <c r="AZ147" s="5" t="b">
        <v>0</v>
      </c>
      <c r="BA147" s="5" t="s">
        <v>190</v>
      </c>
      <c r="BB147" s="5" t="s">
        <v>191</v>
      </c>
      <c r="BC147" s="6"/>
      <c r="BD147" s="6"/>
      <c r="BE147" s="5" t="s">
        <v>1870</v>
      </c>
      <c r="BF147" s="6"/>
      <c r="BG147" s="6"/>
      <c r="BH147" s="6"/>
      <c r="BI147" s="6"/>
      <c r="BJ147" s="6"/>
      <c r="BK147" s="6"/>
      <c r="BL147" s="6"/>
      <c r="BM147" s="6"/>
      <c r="BN147" s="6"/>
      <c r="BO147" s="6"/>
      <c r="BP147" s="6"/>
      <c r="BQ147" s="6"/>
      <c r="BR147" s="5" t="s">
        <v>193</v>
      </c>
      <c r="BS147" s="5" t="s">
        <v>194</v>
      </c>
      <c r="BT147" s="5" t="s">
        <v>1551</v>
      </c>
      <c r="BU147" s="6"/>
      <c r="BV147" s="6"/>
      <c r="BW147" s="6"/>
      <c r="BX147" s="6"/>
      <c r="BY147" s="6"/>
      <c r="BZ147" s="6"/>
      <c r="CA147" s="6"/>
      <c r="CB147" s="5" t="s">
        <v>1871</v>
      </c>
      <c r="CC147" s="6"/>
      <c r="CD147" s="6"/>
      <c r="CE147" s="5" t="s">
        <v>1221</v>
      </c>
      <c r="CF147" s="5" t="s">
        <v>1872</v>
      </c>
      <c r="CG147" s="6"/>
      <c r="CH147" s="6"/>
      <c r="CI147" s="6"/>
      <c r="CJ147" s="6"/>
      <c r="CK147" s="6"/>
      <c r="CL147" s="6"/>
      <c r="CM147" s="6"/>
      <c r="CN147" s="6"/>
      <c r="CO147" s="6"/>
      <c r="CP147" s="6"/>
    </row>
    <row r="148">
      <c r="A148" s="7" t="s">
        <v>1873</v>
      </c>
      <c r="B148" s="8" t="s">
        <v>1874</v>
      </c>
      <c r="C148" s="8" t="s">
        <v>1875</v>
      </c>
      <c r="D148" s="8" t="s">
        <v>94</v>
      </c>
      <c r="E148" s="8" t="s">
        <v>95</v>
      </c>
      <c r="F148" s="9"/>
      <c r="G148" s="8" t="s">
        <v>1876</v>
      </c>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t="str">
        <f t="shared" ref="AJ148:AJ153" si="20">CONCATENATE(J148,K148,L148,Q148,R148,X148,Y148,AA148,AG148)</f>
        <v/>
      </c>
      <c r="AK148" s="8"/>
      <c r="AL148" s="8"/>
      <c r="AM148" s="8" t="s">
        <v>1877</v>
      </c>
      <c r="AN148" s="8" t="s">
        <v>1878</v>
      </c>
      <c r="AO148" s="9"/>
      <c r="AP148" s="9"/>
      <c r="AQ148" s="9"/>
      <c r="AR148" s="8" t="s">
        <v>1879</v>
      </c>
      <c r="AS148" s="8" t="s">
        <v>1880</v>
      </c>
      <c r="AT148" s="9"/>
      <c r="AU148" s="8" t="s">
        <v>1881</v>
      </c>
      <c r="AV148" s="9"/>
      <c r="AW148" s="9"/>
      <c r="AX148" s="9"/>
      <c r="AY148" s="8" t="s">
        <v>1858</v>
      </c>
      <c r="AZ148" s="8" t="b">
        <v>0</v>
      </c>
      <c r="BA148" s="8" t="s">
        <v>190</v>
      </c>
      <c r="BB148" s="8" t="s">
        <v>191</v>
      </c>
      <c r="BC148" s="8" t="s">
        <v>629</v>
      </c>
      <c r="BD148" s="9"/>
      <c r="BE148" s="8" t="s">
        <v>1882</v>
      </c>
      <c r="BF148" s="9"/>
      <c r="BG148" s="9"/>
      <c r="BH148" s="9"/>
      <c r="BI148" s="9"/>
      <c r="BJ148" s="9"/>
      <c r="BK148" s="8" t="s">
        <v>1883</v>
      </c>
      <c r="BL148" s="9"/>
      <c r="BM148" s="9"/>
      <c r="BN148" s="9"/>
      <c r="BO148" s="9"/>
      <c r="BP148" s="9"/>
      <c r="BQ148" s="9"/>
      <c r="BR148" s="9"/>
      <c r="BS148" s="9"/>
      <c r="BT148" s="9"/>
      <c r="BU148" s="9"/>
      <c r="BV148" s="9"/>
      <c r="BW148" s="9"/>
      <c r="BX148" s="9"/>
      <c r="BY148" s="9"/>
      <c r="BZ148" s="9"/>
      <c r="CA148" s="9"/>
      <c r="CB148" s="8" t="s">
        <v>665</v>
      </c>
      <c r="CC148" s="9"/>
      <c r="CD148" s="9"/>
      <c r="CE148" s="8" t="s">
        <v>115</v>
      </c>
      <c r="CF148" s="8" t="s">
        <v>1884</v>
      </c>
      <c r="CG148" s="9"/>
      <c r="CH148" s="9"/>
      <c r="CI148" s="9"/>
      <c r="CJ148" s="9"/>
      <c r="CK148" s="9"/>
      <c r="CL148" s="9"/>
      <c r="CM148" s="9"/>
      <c r="CN148" s="9"/>
      <c r="CO148" s="9"/>
      <c r="CP148" s="9"/>
    </row>
    <row r="149">
      <c r="A149" s="7" t="s">
        <v>1885</v>
      </c>
      <c r="B149" s="8" t="s">
        <v>1886</v>
      </c>
      <c r="C149" s="8" t="s">
        <v>1887</v>
      </c>
      <c r="D149" s="8" t="s">
        <v>94</v>
      </c>
      <c r="E149" s="8" t="s">
        <v>95</v>
      </c>
      <c r="F149" s="9"/>
      <c r="G149" s="8" t="s">
        <v>1888</v>
      </c>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t="str">
        <f t="shared" si="20"/>
        <v/>
      </c>
      <c r="AK149" s="8"/>
      <c r="AL149" s="8"/>
      <c r="AM149" s="8" t="s">
        <v>1477</v>
      </c>
      <c r="AN149" s="8" t="s">
        <v>1889</v>
      </c>
      <c r="AO149" s="9"/>
      <c r="AP149" s="9"/>
      <c r="AQ149" s="9"/>
      <c r="AR149" s="8" t="s">
        <v>1479</v>
      </c>
      <c r="AS149" s="8" t="s">
        <v>1480</v>
      </c>
      <c r="AT149" s="9"/>
      <c r="AU149" s="8" t="s">
        <v>1890</v>
      </c>
      <c r="AV149" s="9"/>
      <c r="AW149" s="9"/>
      <c r="AX149" s="9"/>
      <c r="AY149" s="8" t="s">
        <v>1858</v>
      </c>
      <c r="AZ149" s="8" t="b">
        <v>0</v>
      </c>
      <c r="BA149" s="8" t="s">
        <v>190</v>
      </c>
      <c r="BB149" s="8" t="s">
        <v>191</v>
      </c>
      <c r="BC149" s="9"/>
      <c r="BD149" s="9"/>
      <c r="BE149" s="8" t="s">
        <v>1891</v>
      </c>
      <c r="BF149" s="9"/>
      <c r="BG149" s="9"/>
      <c r="BH149" s="9"/>
      <c r="BI149" s="9"/>
      <c r="BJ149" s="9"/>
      <c r="BK149" s="8" t="s">
        <v>1892</v>
      </c>
      <c r="BL149" s="9"/>
      <c r="BM149" s="9"/>
      <c r="BN149" s="9"/>
      <c r="BO149" s="9"/>
      <c r="BP149" s="9"/>
      <c r="BQ149" s="9"/>
      <c r="BR149" s="8" t="s">
        <v>193</v>
      </c>
      <c r="BS149" s="8" t="s">
        <v>194</v>
      </c>
      <c r="BT149" s="8" t="s">
        <v>1551</v>
      </c>
      <c r="BU149" s="9"/>
      <c r="BV149" s="8" t="s">
        <v>1893</v>
      </c>
      <c r="BW149" s="9"/>
      <c r="BX149" s="9"/>
      <c r="BY149" s="8" t="s">
        <v>1894</v>
      </c>
      <c r="BZ149" s="9"/>
      <c r="CA149" s="9"/>
      <c r="CB149" s="8" t="s">
        <v>1895</v>
      </c>
      <c r="CC149" s="9"/>
      <c r="CD149" s="9"/>
      <c r="CE149" s="8" t="s">
        <v>115</v>
      </c>
      <c r="CF149" s="8" t="s">
        <v>1896</v>
      </c>
      <c r="CG149" s="9"/>
      <c r="CH149" s="9"/>
      <c r="CI149" s="9"/>
      <c r="CJ149" s="9"/>
      <c r="CK149" s="9"/>
      <c r="CL149" s="9"/>
      <c r="CM149" s="9"/>
      <c r="CN149" s="9"/>
      <c r="CO149" s="9"/>
      <c r="CP149" s="9"/>
    </row>
    <row r="150">
      <c r="A150" s="7" t="s">
        <v>1897</v>
      </c>
      <c r="B150" s="8" t="s">
        <v>1898</v>
      </c>
      <c r="C150" s="8" t="s">
        <v>1899</v>
      </c>
      <c r="D150" s="8" t="s">
        <v>94</v>
      </c>
      <c r="E150" s="8" t="s">
        <v>95</v>
      </c>
      <c r="F150" s="9"/>
      <c r="G150" s="8" t="s">
        <v>1900</v>
      </c>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t="str">
        <f t="shared" si="20"/>
        <v/>
      </c>
      <c r="AK150" s="8"/>
      <c r="AL150" s="8"/>
      <c r="AM150" s="8" t="s">
        <v>1477</v>
      </c>
      <c r="AN150" s="8" t="s">
        <v>1901</v>
      </c>
      <c r="AO150" s="9"/>
      <c r="AP150" s="9"/>
      <c r="AQ150" s="9"/>
      <c r="AR150" s="8" t="s">
        <v>1479</v>
      </c>
      <c r="AS150" s="8" t="s">
        <v>1480</v>
      </c>
      <c r="AT150" s="9"/>
      <c r="AU150" s="8" t="s">
        <v>1902</v>
      </c>
      <c r="AV150" s="8" t="s">
        <v>108</v>
      </c>
      <c r="AW150" s="9"/>
      <c r="AX150" s="9"/>
      <c r="AY150" s="8" t="s">
        <v>1858</v>
      </c>
      <c r="AZ150" s="8" t="b">
        <v>0</v>
      </c>
      <c r="BA150" s="8" t="s">
        <v>110</v>
      </c>
      <c r="BB150" s="9"/>
      <c r="BC150" s="9"/>
      <c r="BD150" s="9"/>
      <c r="BE150" s="8" t="s">
        <v>1903</v>
      </c>
      <c r="BF150" s="9"/>
      <c r="BG150" s="9"/>
      <c r="BH150" s="9"/>
      <c r="BI150" s="9"/>
      <c r="BJ150" s="9"/>
      <c r="BK150" s="9"/>
      <c r="BL150" s="9"/>
      <c r="BM150" s="9"/>
      <c r="BN150" s="9"/>
      <c r="BO150" s="9"/>
      <c r="BP150" s="9"/>
      <c r="BQ150" s="9"/>
      <c r="BR150" s="9"/>
      <c r="BS150" s="9"/>
      <c r="BT150" s="9"/>
      <c r="BU150" s="9"/>
      <c r="BV150" s="9"/>
      <c r="BW150" s="9"/>
      <c r="BX150" s="9"/>
      <c r="BY150" s="9"/>
      <c r="BZ150" s="9"/>
      <c r="CA150" s="9"/>
      <c r="CB150" s="8" t="s">
        <v>1904</v>
      </c>
      <c r="CC150" s="9"/>
      <c r="CD150" s="9"/>
      <c r="CE150" s="8" t="s">
        <v>366</v>
      </c>
      <c r="CF150" s="8" t="s">
        <v>1905</v>
      </c>
      <c r="CG150" s="9"/>
      <c r="CH150" s="9"/>
      <c r="CI150" s="9"/>
      <c r="CJ150" s="9"/>
      <c r="CK150" s="9"/>
      <c r="CL150" s="9"/>
      <c r="CM150" s="9"/>
      <c r="CN150" s="9"/>
      <c r="CO150" s="9"/>
      <c r="CP150" s="9"/>
    </row>
    <row r="151">
      <c r="A151" s="7" t="s">
        <v>1906</v>
      </c>
      <c r="B151" s="8" t="s">
        <v>1907</v>
      </c>
      <c r="C151" s="8" t="s">
        <v>1908</v>
      </c>
      <c r="D151" s="8" t="s">
        <v>94</v>
      </c>
      <c r="E151" s="8" t="s">
        <v>95</v>
      </c>
      <c r="F151" s="9"/>
      <c r="G151" s="8" t="s">
        <v>1909</v>
      </c>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t="str">
        <f t="shared" si="20"/>
        <v/>
      </c>
      <c r="AK151" s="8"/>
      <c r="AL151" s="8"/>
      <c r="AM151" s="8" t="s">
        <v>1477</v>
      </c>
      <c r="AN151" s="8" t="s">
        <v>1910</v>
      </c>
      <c r="AO151" s="9"/>
      <c r="AP151" s="9"/>
      <c r="AQ151" s="9"/>
      <c r="AR151" s="8" t="s">
        <v>1479</v>
      </c>
      <c r="AS151" s="8" t="s">
        <v>1480</v>
      </c>
      <c r="AT151" s="9"/>
      <c r="AU151" s="8" t="s">
        <v>1911</v>
      </c>
      <c r="AV151" s="8" t="s">
        <v>108</v>
      </c>
      <c r="AW151" s="9"/>
      <c r="AX151" s="9"/>
      <c r="AY151" s="8" t="s">
        <v>1858</v>
      </c>
      <c r="AZ151" s="8" t="b">
        <v>0</v>
      </c>
      <c r="BA151" s="8" t="s">
        <v>110</v>
      </c>
      <c r="BB151" s="9"/>
      <c r="BC151" s="9"/>
      <c r="BD151" s="9"/>
      <c r="BE151" s="8" t="s">
        <v>1912</v>
      </c>
      <c r="BF151" s="9"/>
      <c r="BG151" s="9"/>
      <c r="BH151" s="9"/>
      <c r="BI151" s="9"/>
      <c r="BJ151" s="9"/>
      <c r="BK151" s="9"/>
      <c r="BL151" s="9"/>
      <c r="BM151" s="9"/>
      <c r="BN151" s="9"/>
      <c r="BO151" s="9"/>
      <c r="BP151" s="9"/>
      <c r="BQ151" s="9"/>
      <c r="BR151" s="9"/>
      <c r="BS151" s="9"/>
      <c r="BT151" s="9"/>
      <c r="BU151" s="9"/>
      <c r="BV151" s="9"/>
      <c r="BW151" s="9"/>
      <c r="BX151" s="9"/>
      <c r="BY151" s="9"/>
      <c r="BZ151" s="9"/>
      <c r="CA151" s="9"/>
      <c r="CB151" s="8" t="s">
        <v>1913</v>
      </c>
      <c r="CC151" s="9"/>
      <c r="CD151" s="9"/>
      <c r="CE151" s="8" t="s">
        <v>366</v>
      </c>
      <c r="CF151" s="8" t="s">
        <v>1914</v>
      </c>
      <c r="CG151" s="9"/>
      <c r="CH151" s="9"/>
      <c r="CI151" s="9"/>
      <c r="CJ151" s="9"/>
      <c r="CK151" s="9"/>
      <c r="CL151" s="9"/>
      <c r="CM151" s="9"/>
      <c r="CN151" s="9"/>
      <c r="CO151" s="9"/>
      <c r="CP151" s="9"/>
    </row>
    <row r="152">
      <c r="A152" s="7" t="s">
        <v>1915</v>
      </c>
      <c r="B152" s="8" t="s">
        <v>1916</v>
      </c>
      <c r="C152" s="8" t="s">
        <v>1917</v>
      </c>
      <c r="D152" s="8" t="s">
        <v>94</v>
      </c>
      <c r="E152" s="8" t="s">
        <v>95</v>
      </c>
      <c r="F152" s="9"/>
      <c r="G152" s="8" t="s">
        <v>1918</v>
      </c>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t="str">
        <f t="shared" si="20"/>
        <v/>
      </c>
      <c r="AK152" s="8"/>
      <c r="AL152" s="8"/>
      <c r="AM152" s="8" t="s">
        <v>1477</v>
      </c>
      <c r="AN152" s="8" t="s">
        <v>1919</v>
      </c>
      <c r="AO152" s="9"/>
      <c r="AP152" s="9"/>
      <c r="AQ152" s="9"/>
      <c r="AR152" s="8" t="s">
        <v>1479</v>
      </c>
      <c r="AS152" s="8" t="s">
        <v>1480</v>
      </c>
      <c r="AT152" s="9"/>
      <c r="AU152" s="8" t="s">
        <v>1920</v>
      </c>
      <c r="AV152" s="8" t="s">
        <v>108</v>
      </c>
      <c r="AW152" s="9"/>
      <c r="AX152" s="9"/>
      <c r="AY152" s="8" t="s">
        <v>1858</v>
      </c>
      <c r="AZ152" s="8" t="b">
        <v>0</v>
      </c>
      <c r="BA152" s="8" t="s">
        <v>110</v>
      </c>
      <c r="BB152" s="9"/>
      <c r="BC152" s="9"/>
      <c r="BD152" s="9"/>
      <c r="BE152" s="8" t="s">
        <v>1921</v>
      </c>
      <c r="BF152" s="9"/>
      <c r="BG152" s="9"/>
      <c r="BH152" s="9"/>
      <c r="BI152" s="9"/>
      <c r="BJ152" s="9"/>
      <c r="BK152" s="9"/>
      <c r="BL152" s="9"/>
      <c r="BM152" s="9"/>
      <c r="BN152" s="9"/>
      <c r="BO152" s="9"/>
      <c r="BP152" s="9"/>
      <c r="BQ152" s="9"/>
      <c r="BR152" s="9"/>
      <c r="BS152" s="9"/>
      <c r="BT152" s="9"/>
      <c r="BU152" s="9"/>
      <c r="BV152" s="9"/>
      <c r="BW152" s="9"/>
      <c r="BX152" s="9"/>
      <c r="BY152" s="9"/>
      <c r="BZ152" s="9"/>
      <c r="CA152" s="9"/>
      <c r="CB152" s="8" t="s">
        <v>1922</v>
      </c>
      <c r="CC152" s="9"/>
      <c r="CD152" s="9"/>
      <c r="CE152" s="8" t="s">
        <v>366</v>
      </c>
      <c r="CF152" s="8" t="s">
        <v>1923</v>
      </c>
      <c r="CG152" s="9"/>
      <c r="CH152" s="9"/>
      <c r="CI152" s="9"/>
      <c r="CJ152" s="9"/>
      <c r="CK152" s="9"/>
      <c r="CL152" s="9"/>
      <c r="CM152" s="9"/>
      <c r="CN152" s="9"/>
      <c r="CO152" s="9"/>
      <c r="CP152" s="9"/>
    </row>
    <row r="153">
      <c r="A153" s="7" t="s">
        <v>1924</v>
      </c>
      <c r="B153" s="8" t="s">
        <v>1925</v>
      </c>
      <c r="C153" s="8" t="s">
        <v>1926</v>
      </c>
      <c r="D153" s="8" t="s">
        <v>94</v>
      </c>
      <c r="E153" s="8" t="s">
        <v>95</v>
      </c>
      <c r="F153" s="9"/>
      <c r="G153" s="8" t="s">
        <v>1927</v>
      </c>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t="str">
        <f t="shared" si="20"/>
        <v/>
      </c>
      <c r="AK153" s="8"/>
      <c r="AL153" s="8"/>
      <c r="AM153" s="8" t="s">
        <v>1477</v>
      </c>
      <c r="AN153" s="8" t="s">
        <v>1928</v>
      </c>
      <c r="AO153" s="9"/>
      <c r="AP153" s="9"/>
      <c r="AQ153" s="9"/>
      <c r="AR153" s="8" t="s">
        <v>1479</v>
      </c>
      <c r="AS153" s="8" t="s">
        <v>1480</v>
      </c>
      <c r="AT153" s="9"/>
      <c r="AU153" s="8" t="s">
        <v>1929</v>
      </c>
      <c r="AV153" s="8" t="s">
        <v>108</v>
      </c>
      <c r="AW153" s="9"/>
      <c r="AX153" s="9"/>
      <c r="AY153" s="8" t="s">
        <v>1858</v>
      </c>
      <c r="AZ153" s="8" t="b">
        <v>0</v>
      </c>
      <c r="BA153" s="8" t="s">
        <v>110</v>
      </c>
      <c r="BB153" s="9"/>
      <c r="BC153" s="9"/>
      <c r="BD153" s="9"/>
      <c r="BE153" s="8" t="s">
        <v>1930</v>
      </c>
      <c r="BF153" s="9"/>
      <c r="BG153" s="9"/>
      <c r="BH153" s="9"/>
      <c r="BI153" s="9"/>
      <c r="BJ153" s="9"/>
      <c r="BK153" s="9"/>
      <c r="BL153" s="9"/>
      <c r="BM153" s="9"/>
      <c r="BN153" s="9"/>
      <c r="BO153" s="9"/>
      <c r="BP153" s="9"/>
      <c r="BQ153" s="9"/>
      <c r="BR153" s="9"/>
      <c r="BS153" s="9"/>
      <c r="BT153" s="9"/>
      <c r="BU153" s="9"/>
      <c r="BV153" s="9"/>
      <c r="BW153" s="9"/>
      <c r="BX153" s="9"/>
      <c r="BY153" s="9"/>
      <c r="BZ153" s="9"/>
      <c r="CA153" s="9"/>
      <c r="CB153" s="8" t="s">
        <v>1931</v>
      </c>
      <c r="CC153" s="9"/>
      <c r="CD153" s="9"/>
      <c r="CE153" s="8" t="s">
        <v>366</v>
      </c>
      <c r="CF153" s="8" t="s">
        <v>1932</v>
      </c>
      <c r="CG153" s="9"/>
      <c r="CH153" s="9"/>
      <c r="CI153" s="9"/>
      <c r="CJ153" s="9"/>
      <c r="CK153" s="9"/>
      <c r="CL153" s="9"/>
      <c r="CM153" s="9"/>
      <c r="CN153" s="9"/>
      <c r="CO153" s="9"/>
      <c r="CP153" s="9"/>
    </row>
    <row r="154">
      <c r="A154" s="4" t="s">
        <v>1933</v>
      </c>
      <c r="B154" s="5" t="s">
        <v>1934</v>
      </c>
      <c r="C154" s="5" t="s">
        <v>1935</v>
      </c>
      <c r="D154" s="5" t="s">
        <v>94</v>
      </c>
      <c r="E154" s="5" t="s">
        <v>95</v>
      </c>
      <c r="F154" s="6"/>
      <c r="G154" s="5" t="s">
        <v>1936</v>
      </c>
      <c r="H154" s="5" t="s">
        <v>97</v>
      </c>
      <c r="I154" s="5" t="s">
        <v>1329</v>
      </c>
      <c r="J154" s="5"/>
      <c r="K154" s="5"/>
      <c r="L154" s="5"/>
      <c r="M154" s="5" t="s">
        <v>1937</v>
      </c>
      <c r="N154" s="5" t="s">
        <v>1938</v>
      </c>
      <c r="O154" s="5" t="s">
        <v>1939</v>
      </c>
      <c r="P154" s="5" t="s">
        <v>1940</v>
      </c>
      <c r="Q154" s="5"/>
      <c r="R154" s="5"/>
      <c r="S154" s="5" t="s">
        <v>100</v>
      </c>
      <c r="T154" s="5" t="s">
        <v>100</v>
      </c>
      <c r="U154" s="5" t="s">
        <v>100</v>
      </c>
      <c r="V154" s="5" t="s">
        <v>100</v>
      </c>
      <c r="W154" s="5" t="s">
        <v>100</v>
      </c>
      <c r="X154" s="5" t="s">
        <v>100</v>
      </c>
      <c r="Y154" s="5" t="s">
        <v>1941</v>
      </c>
      <c r="Z154" s="5" t="s">
        <v>100</v>
      </c>
      <c r="AA154" s="5"/>
      <c r="AB154" s="5" t="s">
        <v>100</v>
      </c>
      <c r="AC154" s="5" t="s">
        <v>100</v>
      </c>
      <c r="AD154" s="5" t="s">
        <v>100</v>
      </c>
      <c r="AE154" s="5" t="s">
        <v>100</v>
      </c>
      <c r="AF154" s="5" t="s">
        <v>100</v>
      </c>
      <c r="AG154" s="5" t="s">
        <v>100</v>
      </c>
      <c r="AH154" s="5" t="s">
        <v>100</v>
      </c>
      <c r="AI154" s="5" t="s">
        <v>1942</v>
      </c>
      <c r="AJ154" s="5" t="s">
        <v>1943</v>
      </c>
      <c r="AK154" s="5" t="s">
        <v>124</v>
      </c>
      <c r="AL154" s="5" t="s">
        <v>124</v>
      </c>
      <c r="AM154" s="5" t="s">
        <v>105</v>
      </c>
      <c r="AN154" s="5" t="s">
        <v>1944</v>
      </c>
      <c r="AO154" s="6"/>
      <c r="AP154" s="6"/>
      <c r="AQ154" s="6"/>
      <c r="AR154" s="6"/>
      <c r="AS154" s="6"/>
      <c r="AT154" s="6"/>
      <c r="AU154" s="5" t="s">
        <v>1945</v>
      </c>
      <c r="AV154" s="5" t="s">
        <v>108</v>
      </c>
      <c r="AW154" s="6"/>
      <c r="AX154" s="6"/>
      <c r="AY154" s="5" t="s">
        <v>1946</v>
      </c>
      <c r="AZ154" s="5" t="b">
        <v>0</v>
      </c>
      <c r="BA154" s="5" t="s">
        <v>110</v>
      </c>
      <c r="BB154" s="5" t="s">
        <v>773</v>
      </c>
      <c r="BC154" s="6"/>
      <c r="BD154" s="6"/>
      <c r="BE154" s="5" t="s">
        <v>1947</v>
      </c>
      <c r="BF154" s="6"/>
      <c r="BG154" s="6"/>
      <c r="BH154" s="6"/>
      <c r="BI154" s="6"/>
      <c r="BJ154" s="6"/>
      <c r="BK154" s="6"/>
      <c r="BL154" s="6"/>
      <c r="BM154" s="6"/>
      <c r="BN154" s="6"/>
      <c r="BO154" s="6"/>
      <c r="BP154" s="6"/>
      <c r="BQ154" s="6"/>
      <c r="BR154" s="6"/>
      <c r="BS154" s="6"/>
      <c r="BT154" s="6"/>
      <c r="BU154" s="6"/>
      <c r="BV154" s="6"/>
      <c r="BW154" s="6"/>
      <c r="BX154" s="6"/>
      <c r="BY154" s="6"/>
      <c r="BZ154" s="6"/>
      <c r="CA154" s="6"/>
      <c r="CB154" s="5" t="s">
        <v>665</v>
      </c>
      <c r="CC154" s="6"/>
      <c r="CD154" s="6"/>
      <c r="CE154" s="5" t="s">
        <v>115</v>
      </c>
      <c r="CF154" s="5" t="s">
        <v>1948</v>
      </c>
      <c r="CG154" s="6"/>
      <c r="CH154" s="6"/>
      <c r="CI154" s="6"/>
      <c r="CJ154" s="6"/>
      <c r="CK154" s="6"/>
      <c r="CL154" s="6"/>
      <c r="CM154" s="6"/>
      <c r="CN154" s="6"/>
      <c r="CO154" s="6"/>
      <c r="CP154" s="6"/>
    </row>
    <row r="155">
      <c r="A155" s="7" t="s">
        <v>1949</v>
      </c>
      <c r="B155" s="8" t="s">
        <v>1950</v>
      </c>
      <c r="C155" s="8" t="s">
        <v>1951</v>
      </c>
      <c r="D155" s="8" t="s">
        <v>94</v>
      </c>
      <c r="E155" s="8" t="s">
        <v>95</v>
      </c>
      <c r="F155" s="9"/>
      <c r="G155" s="8" t="s">
        <v>1952</v>
      </c>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t="str">
        <f t="shared" ref="AJ155:AJ168" si="21">CONCATENATE(J155,K155,L155,Q155,R155,X155,Y155,AA155,AG155)</f>
        <v/>
      </c>
      <c r="AK155" s="8"/>
      <c r="AL155" s="8"/>
      <c r="AM155" s="8" t="s">
        <v>105</v>
      </c>
      <c r="AN155" s="8" t="s">
        <v>1953</v>
      </c>
      <c r="AO155" s="9"/>
      <c r="AP155" s="9"/>
      <c r="AQ155" s="9"/>
      <c r="AR155" s="9"/>
      <c r="AS155" s="9"/>
      <c r="AT155" s="9"/>
      <c r="AU155" s="8" t="s">
        <v>1954</v>
      </c>
      <c r="AV155" s="9"/>
      <c r="AW155" s="9"/>
      <c r="AX155" s="9"/>
      <c r="AY155" s="8" t="s">
        <v>1946</v>
      </c>
      <c r="AZ155" s="8" t="b">
        <v>0</v>
      </c>
      <c r="BA155" s="8" t="s">
        <v>190</v>
      </c>
      <c r="BB155" s="8" t="s">
        <v>277</v>
      </c>
      <c r="BC155" s="9"/>
      <c r="BD155" s="9"/>
      <c r="BE155" s="8" t="s">
        <v>1955</v>
      </c>
      <c r="BF155" s="9"/>
      <c r="BG155" s="9"/>
      <c r="BH155" s="9"/>
      <c r="BI155" s="9"/>
      <c r="BJ155" s="9"/>
      <c r="BK155" s="9"/>
      <c r="BL155" s="9"/>
      <c r="BM155" s="9"/>
      <c r="BN155" s="9"/>
      <c r="BO155" s="9"/>
      <c r="BP155" s="9"/>
      <c r="BQ155" s="9"/>
      <c r="BR155" s="8" t="s">
        <v>193</v>
      </c>
      <c r="BS155" s="8" t="s">
        <v>194</v>
      </c>
      <c r="BT155" s="8" t="s">
        <v>1551</v>
      </c>
      <c r="BU155" s="9"/>
      <c r="BV155" s="9"/>
      <c r="BW155" s="9"/>
      <c r="BX155" s="9"/>
      <c r="BY155" s="9"/>
      <c r="BZ155" s="9"/>
      <c r="CA155" s="9"/>
      <c r="CB155" s="8" t="s">
        <v>1956</v>
      </c>
      <c r="CC155" s="9"/>
      <c r="CD155" s="9"/>
      <c r="CE155" s="8" t="s">
        <v>490</v>
      </c>
      <c r="CF155" s="8" t="s">
        <v>1957</v>
      </c>
      <c r="CG155" s="9"/>
      <c r="CH155" s="9"/>
      <c r="CI155" s="9"/>
      <c r="CJ155" s="9"/>
      <c r="CK155" s="9"/>
      <c r="CL155" s="9"/>
      <c r="CM155" s="9"/>
      <c r="CN155" s="9"/>
      <c r="CO155" s="9"/>
      <c r="CP155" s="9"/>
    </row>
    <row r="156">
      <c r="A156" s="7" t="s">
        <v>1958</v>
      </c>
      <c r="B156" s="8" t="s">
        <v>1959</v>
      </c>
      <c r="C156" s="8" t="s">
        <v>1960</v>
      </c>
      <c r="D156" s="8" t="s">
        <v>94</v>
      </c>
      <c r="E156" s="8" t="s">
        <v>95</v>
      </c>
      <c r="F156" s="9"/>
      <c r="G156" s="8" t="s">
        <v>1961</v>
      </c>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t="str">
        <f t="shared" si="21"/>
        <v/>
      </c>
      <c r="AK156" s="8"/>
      <c r="AL156" s="8"/>
      <c r="AM156" s="8" t="s">
        <v>105</v>
      </c>
      <c r="AN156" s="8" t="s">
        <v>1962</v>
      </c>
      <c r="AO156" s="9"/>
      <c r="AP156" s="9"/>
      <c r="AQ156" s="9"/>
      <c r="AR156" s="9"/>
      <c r="AS156" s="9"/>
      <c r="AT156" s="9"/>
      <c r="AU156" s="8" t="s">
        <v>1963</v>
      </c>
      <c r="AV156" s="8" t="s">
        <v>108</v>
      </c>
      <c r="AW156" s="9"/>
      <c r="AX156" s="9"/>
      <c r="AY156" s="8" t="s">
        <v>1946</v>
      </c>
      <c r="AZ156" s="8" t="b">
        <v>0</v>
      </c>
      <c r="BA156" s="8" t="s">
        <v>110</v>
      </c>
      <c r="BB156" s="8" t="s">
        <v>277</v>
      </c>
      <c r="BC156" s="9"/>
      <c r="BD156" s="9"/>
      <c r="BE156" s="8" t="s">
        <v>1964</v>
      </c>
      <c r="BF156" s="9"/>
      <c r="BG156" s="9"/>
      <c r="BH156" s="9"/>
      <c r="BI156" s="9"/>
      <c r="BJ156" s="9"/>
      <c r="BK156" s="9"/>
      <c r="BL156" s="9"/>
      <c r="BM156" s="9"/>
      <c r="BN156" s="9"/>
      <c r="BO156" s="9"/>
      <c r="BP156" s="9"/>
      <c r="BQ156" s="9"/>
      <c r="BR156" s="9"/>
      <c r="BS156" s="9"/>
      <c r="BT156" s="9"/>
      <c r="BU156" s="9"/>
      <c r="BV156" s="9"/>
      <c r="BW156" s="9"/>
      <c r="BX156" s="9"/>
      <c r="BY156" s="9"/>
      <c r="BZ156" s="9"/>
      <c r="CA156" s="9"/>
      <c r="CB156" s="8" t="s">
        <v>1965</v>
      </c>
      <c r="CC156" s="9"/>
      <c r="CD156" s="9"/>
      <c r="CE156" s="8" t="s">
        <v>393</v>
      </c>
      <c r="CF156" s="8" t="s">
        <v>1966</v>
      </c>
      <c r="CG156" s="9"/>
      <c r="CH156" s="9"/>
      <c r="CI156" s="9"/>
      <c r="CJ156" s="9"/>
      <c r="CK156" s="9"/>
      <c r="CL156" s="9"/>
      <c r="CM156" s="9"/>
      <c r="CN156" s="9"/>
      <c r="CO156" s="9"/>
      <c r="CP156" s="9"/>
    </row>
    <row r="157">
      <c r="A157" s="7" t="s">
        <v>1967</v>
      </c>
      <c r="B157" s="8" t="s">
        <v>1968</v>
      </c>
      <c r="C157" s="8" t="s">
        <v>1969</v>
      </c>
      <c r="D157" s="8" t="s">
        <v>94</v>
      </c>
      <c r="E157" s="8" t="s">
        <v>95</v>
      </c>
      <c r="F157" s="9"/>
      <c r="G157" s="8" t="s">
        <v>1970</v>
      </c>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t="str">
        <f t="shared" si="21"/>
        <v/>
      </c>
      <c r="AK157" s="8"/>
      <c r="AL157" s="8"/>
      <c r="AM157" s="8" t="s">
        <v>105</v>
      </c>
      <c r="AN157" s="8" t="s">
        <v>1971</v>
      </c>
      <c r="AO157" s="9"/>
      <c r="AP157" s="8" t="s">
        <v>899</v>
      </c>
      <c r="AQ157" s="9"/>
      <c r="AR157" s="9"/>
      <c r="AS157" s="9"/>
      <c r="AT157" s="9"/>
      <c r="AU157" s="8" t="s">
        <v>1972</v>
      </c>
      <c r="AV157" s="9"/>
      <c r="AW157" s="9"/>
      <c r="AX157" s="9"/>
      <c r="AY157" s="8" t="s">
        <v>1946</v>
      </c>
      <c r="AZ157" s="8" t="b">
        <v>0</v>
      </c>
      <c r="BA157" s="8" t="s">
        <v>190</v>
      </c>
      <c r="BB157" s="8" t="s">
        <v>628</v>
      </c>
      <c r="BC157" s="8" t="s">
        <v>629</v>
      </c>
      <c r="BD157" s="9"/>
      <c r="BE157" s="8" t="s">
        <v>1973</v>
      </c>
      <c r="BF157" s="9"/>
      <c r="BG157" s="9"/>
      <c r="BH157" s="9"/>
      <c r="BI157" s="8" t="s">
        <v>1605</v>
      </c>
      <c r="BJ157" s="8" t="s">
        <v>1974</v>
      </c>
      <c r="BK157" s="8" t="s">
        <v>1878</v>
      </c>
      <c r="BL157" s="9"/>
      <c r="BM157" s="9"/>
      <c r="BN157" s="9"/>
      <c r="BO157" s="9"/>
      <c r="BP157" s="9"/>
      <c r="BQ157" s="9"/>
      <c r="BR157" s="8" t="s">
        <v>193</v>
      </c>
      <c r="BS157" s="8" t="s">
        <v>194</v>
      </c>
      <c r="BT157" s="9"/>
      <c r="BU157" s="9"/>
      <c r="BV157" s="8" t="s">
        <v>1975</v>
      </c>
      <c r="BW157" s="9"/>
      <c r="BX157" s="9"/>
      <c r="BY157" s="9"/>
      <c r="BZ157" s="9"/>
      <c r="CA157" s="9"/>
      <c r="CB157" s="8" t="s">
        <v>1976</v>
      </c>
      <c r="CC157" s="9"/>
      <c r="CD157" s="9"/>
      <c r="CE157" s="8" t="s">
        <v>450</v>
      </c>
      <c r="CF157" s="8" t="s">
        <v>1977</v>
      </c>
      <c r="CG157" s="9"/>
      <c r="CH157" s="9"/>
      <c r="CI157" s="9"/>
      <c r="CJ157" s="9"/>
      <c r="CK157" s="9"/>
      <c r="CL157" s="9"/>
      <c r="CM157" s="9"/>
      <c r="CN157" s="9"/>
      <c r="CO157" s="9"/>
      <c r="CP157" s="9"/>
    </row>
    <row r="158">
      <c r="A158" s="7" t="s">
        <v>1978</v>
      </c>
      <c r="B158" s="8" t="s">
        <v>1979</v>
      </c>
      <c r="C158" s="8" t="s">
        <v>1980</v>
      </c>
      <c r="D158" s="8" t="s">
        <v>94</v>
      </c>
      <c r="E158" s="8" t="s">
        <v>95</v>
      </c>
      <c r="F158" s="9"/>
      <c r="G158" s="8" t="s">
        <v>1981</v>
      </c>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t="str">
        <f t="shared" si="21"/>
        <v/>
      </c>
      <c r="AK158" s="8"/>
      <c r="AL158" s="8"/>
      <c r="AM158" s="8" t="s">
        <v>105</v>
      </c>
      <c r="AN158" s="8" t="s">
        <v>1982</v>
      </c>
      <c r="AO158" s="9"/>
      <c r="AP158" s="9"/>
      <c r="AQ158" s="9"/>
      <c r="AR158" s="9"/>
      <c r="AS158" s="9"/>
      <c r="AT158" s="9"/>
      <c r="AU158" s="8" t="s">
        <v>1983</v>
      </c>
      <c r="AV158" s="9"/>
      <c r="AW158" s="9"/>
      <c r="AX158" s="9"/>
      <c r="AY158" s="8" t="s">
        <v>1946</v>
      </c>
      <c r="AZ158" s="8" t="b">
        <v>0</v>
      </c>
      <c r="BA158" s="8" t="s">
        <v>190</v>
      </c>
      <c r="BB158" s="8" t="s">
        <v>191</v>
      </c>
      <c r="BC158" s="9"/>
      <c r="BD158" s="9"/>
      <c r="BE158" s="8" t="s">
        <v>1984</v>
      </c>
      <c r="BF158" s="9"/>
      <c r="BG158" s="9"/>
      <c r="BH158" s="9"/>
      <c r="BI158" s="9"/>
      <c r="BJ158" s="9"/>
      <c r="BK158" s="9"/>
      <c r="BL158" s="9"/>
      <c r="BM158" s="9"/>
      <c r="BN158" s="9"/>
      <c r="BO158" s="9"/>
      <c r="BP158" s="9"/>
      <c r="BQ158" s="9"/>
      <c r="BR158" s="8" t="s">
        <v>193</v>
      </c>
      <c r="BS158" s="8" t="s">
        <v>194</v>
      </c>
      <c r="BT158" s="9"/>
      <c r="BU158" s="9"/>
      <c r="BV158" s="8" t="s">
        <v>1985</v>
      </c>
      <c r="BW158" s="9"/>
      <c r="BX158" s="9"/>
      <c r="BY158" s="9"/>
      <c r="BZ158" s="9"/>
      <c r="CA158" s="9"/>
      <c r="CB158" s="8" t="s">
        <v>1986</v>
      </c>
      <c r="CC158" s="9"/>
      <c r="CD158" s="9"/>
      <c r="CE158" s="8" t="s">
        <v>393</v>
      </c>
      <c r="CF158" s="8" t="s">
        <v>1987</v>
      </c>
      <c r="CG158" s="9"/>
      <c r="CH158" s="9"/>
      <c r="CI158" s="9"/>
      <c r="CJ158" s="9"/>
      <c r="CK158" s="9"/>
      <c r="CL158" s="9"/>
      <c r="CM158" s="9"/>
      <c r="CN158" s="9"/>
      <c r="CO158" s="9"/>
      <c r="CP158" s="9"/>
    </row>
    <row r="159">
      <c r="A159" s="7" t="s">
        <v>1988</v>
      </c>
      <c r="B159" s="8" t="s">
        <v>1989</v>
      </c>
      <c r="C159" s="8" t="s">
        <v>1990</v>
      </c>
      <c r="D159" s="8" t="s">
        <v>94</v>
      </c>
      <c r="E159" s="8" t="s">
        <v>95</v>
      </c>
      <c r="F159" s="9"/>
      <c r="G159" s="8" t="s">
        <v>1991</v>
      </c>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t="str">
        <f t="shared" si="21"/>
        <v/>
      </c>
      <c r="AK159" s="8"/>
      <c r="AL159" s="8"/>
      <c r="AM159" s="8" t="s">
        <v>1877</v>
      </c>
      <c r="AN159" s="8" t="s">
        <v>632</v>
      </c>
      <c r="AO159" s="9"/>
      <c r="AP159" s="9"/>
      <c r="AQ159" s="9"/>
      <c r="AR159" s="8" t="s">
        <v>1879</v>
      </c>
      <c r="AS159" s="8" t="s">
        <v>1880</v>
      </c>
      <c r="AT159" s="9"/>
      <c r="AU159" s="8" t="s">
        <v>1992</v>
      </c>
      <c r="AV159" s="8" t="s">
        <v>108</v>
      </c>
      <c r="AW159" s="9"/>
      <c r="AX159" s="9"/>
      <c r="AY159" s="8" t="s">
        <v>1946</v>
      </c>
      <c r="AZ159" s="8" t="b">
        <v>0</v>
      </c>
      <c r="BA159" s="8" t="s">
        <v>110</v>
      </c>
      <c r="BB159" s="8" t="s">
        <v>1993</v>
      </c>
      <c r="BC159" s="9"/>
      <c r="BD159" s="9"/>
      <c r="BE159" s="8" t="s">
        <v>1994</v>
      </c>
      <c r="BF159" s="9"/>
      <c r="BG159" s="9"/>
      <c r="BH159" s="9"/>
      <c r="BI159" s="9"/>
      <c r="BJ159" s="9"/>
      <c r="BK159" s="9"/>
      <c r="BL159" s="9"/>
      <c r="BM159" s="9"/>
      <c r="BN159" s="9"/>
      <c r="BO159" s="9"/>
      <c r="BP159" s="9"/>
      <c r="BQ159" s="9"/>
      <c r="BR159" s="9"/>
      <c r="BS159" s="9"/>
      <c r="BT159" s="9"/>
      <c r="BU159" s="9"/>
      <c r="BV159" s="9"/>
      <c r="BW159" s="9"/>
      <c r="BX159" s="9"/>
      <c r="BY159" s="9"/>
      <c r="BZ159" s="9"/>
      <c r="CA159" s="9"/>
      <c r="CB159" s="8" t="s">
        <v>1995</v>
      </c>
      <c r="CC159" s="9"/>
      <c r="CD159" s="9"/>
      <c r="CE159" s="8" t="s">
        <v>115</v>
      </c>
      <c r="CF159" s="8" t="s">
        <v>1996</v>
      </c>
      <c r="CG159" s="9"/>
      <c r="CH159" s="9"/>
      <c r="CI159" s="9"/>
      <c r="CJ159" s="9"/>
      <c r="CK159" s="9"/>
      <c r="CL159" s="9"/>
      <c r="CM159" s="9"/>
      <c r="CN159" s="9"/>
      <c r="CO159" s="9"/>
      <c r="CP159" s="9"/>
    </row>
    <row r="160">
      <c r="A160" s="7" t="s">
        <v>1997</v>
      </c>
      <c r="B160" s="8" t="s">
        <v>1998</v>
      </c>
      <c r="C160" s="8" t="s">
        <v>1999</v>
      </c>
      <c r="D160" s="8" t="s">
        <v>94</v>
      </c>
      <c r="E160" s="8" t="s">
        <v>95</v>
      </c>
      <c r="F160" s="9"/>
      <c r="G160" s="8" t="s">
        <v>2000</v>
      </c>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t="str">
        <f t="shared" si="21"/>
        <v/>
      </c>
      <c r="AK160" s="8"/>
      <c r="AL160" s="8"/>
      <c r="AM160" s="8" t="s">
        <v>1877</v>
      </c>
      <c r="AN160" s="8" t="s">
        <v>2001</v>
      </c>
      <c r="AO160" s="9"/>
      <c r="AP160" s="9"/>
      <c r="AQ160" s="9"/>
      <c r="AR160" s="8" t="s">
        <v>1879</v>
      </c>
      <c r="AS160" s="8" t="s">
        <v>1880</v>
      </c>
      <c r="AT160" s="9"/>
      <c r="AU160" s="8" t="s">
        <v>2002</v>
      </c>
      <c r="AV160" s="9"/>
      <c r="AW160" s="9"/>
      <c r="AX160" s="9"/>
      <c r="AY160" s="8" t="s">
        <v>1946</v>
      </c>
      <c r="AZ160" s="8" t="b">
        <v>0</v>
      </c>
      <c r="BA160" s="8" t="s">
        <v>190</v>
      </c>
      <c r="BB160" s="8" t="s">
        <v>191</v>
      </c>
      <c r="BC160" s="8" t="s">
        <v>629</v>
      </c>
      <c r="BD160" s="9"/>
      <c r="BE160" s="8" t="s">
        <v>2003</v>
      </c>
      <c r="BF160" s="9"/>
      <c r="BG160" s="9"/>
      <c r="BH160" s="9"/>
      <c r="BI160" s="9"/>
      <c r="BJ160" s="9"/>
      <c r="BK160" s="9"/>
      <c r="BL160" s="9"/>
      <c r="BM160" s="9"/>
      <c r="BN160" s="9"/>
      <c r="BO160" s="9"/>
      <c r="BP160" s="9"/>
      <c r="BQ160" s="9"/>
      <c r="BR160" s="9"/>
      <c r="BS160" s="9"/>
      <c r="BT160" s="9"/>
      <c r="BU160" s="9"/>
      <c r="BV160" s="9"/>
      <c r="BW160" s="9"/>
      <c r="BX160" s="9"/>
      <c r="BY160" s="9"/>
      <c r="BZ160" s="8" t="s">
        <v>100</v>
      </c>
      <c r="CA160" s="8" t="s">
        <v>100</v>
      </c>
      <c r="CB160" s="8" t="s">
        <v>665</v>
      </c>
      <c r="CC160" s="9"/>
      <c r="CD160" s="9"/>
      <c r="CE160" s="8" t="s">
        <v>115</v>
      </c>
      <c r="CF160" s="8" t="s">
        <v>2004</v>
      </c>
      <c r="CG160" s="9"/>
      <c r="CH160" s="9"/>
      <c r="CI160" s="9"/>
      <c r="CJ160" s="9"/>
      <c r="CK160" s="9"/>
      <c r="CL160" s="9"/>
      <c r="CM160" s="9"/>
      <c r="CN160" s="9"/>
      <c r="CO160" s="9"/>
      <c r="CP160" s="9"/>
    </row>
    <row r="161">
      <c r="A161" s="7" t="s">
        <v>2005</v>
      </c>
      <c r="B161" s="8" t="s">
        <v>2006</v>
      </c>
      <c r="C161" s="8" t="s">
        <v>2007</v>
      </c>
      <c r="D161" s="8" t="s">
        <v>94</v>
      </c>
      <c r="E161" s="8" t="s">
        <v>95</v>
      </c>
      <c r="F161" s="9"/>
      <c r="G161" s="8" t="s">
        <v>2008</v>
      </c>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t="str">
        <f t="shared" si="21"/>
        <v/>
      </c>
      <c r="AK161" s="8"/>
      <c r="AL161" s="8"/>
      <c r="AM161" s="8" t="s">
        <v>1477</v>
      </c>
      <c r="AN161" s="8" t="s">
        <v>2009</v>
      </c>
      <c r="AO161" s="9"/>
      <c r="AP161" s="9"/>
      <c r="AQ161" s="9"/>
      <c r="AR161" s="8" t="s">
        <v>1479</v>
      </c>
      <c r="AS161" s="8" t="s">
        <v>1480</v>
      </c>
      <c r="AT161" s="9"/>
      <c r="AU161" s="8" t="s">
        <v>2010</v>
      </c>
      <c r="AV161" s="8" t="s">
        <v>108</v>
      </c>
      <c r="AW161" s="9"/>
      <c r="AX161" s="9"/>
      <c r="AY161" s="8" t="s">
        <v>1946</v>
      </c>
      <c r="AZ161" s="8" t="b">
        <v>0</v>
      </c>
      <c r="BA161" s="8" t="s">
        <v>110</v>
      </c>
      <c r="BB161" s="8" t="s">
        <v>2011</v>
      </c>
      <c r="BC161" s="9"/>
      <c r="BD161" s="9"/>
      <c r="BE161" s="8" t="s">
        <v>2012</v>
      </c>
      <c r="BF161" s="9"/>
      <c r="BG161" s="9"/>
      <c r="BH161" s="9"/>
      <c r="BI161" s="9"/>
      <c r="BJ161" s="9"/>
      <c r="BK161" s="9"/>
      <c r="BL161" s="9"/>
      <c r="BM161" s="9"/>
      <c r="BN161" s="9"/>
      <c r="BO161" s="9"/>
      <c r="BP161" s="9"/>
      <c r="BQ161" s="9"/>
      <c r="BR161" s="9"/>
      <c r="BS161" s="9"/>
      <c r="BT161" s="9"/>
      <c r="BU161" s="9"/>
      <c r="BV161" s="9"/>
      <c r="BW161" s="9"/>
      <c r="BX161" s="9"/>
      <c r="BY161" s="9"/>
      <c r="BZ161" s="9"/>
      <c r="CA161" s="9"/>
      <c r="CB161" s="8" t="s">
        <v>2013</v>
      </c>
      <c r="CC161" s="9"/>
      <c r="CD161" s="9"/>
      <c r="CE161" s="8" t="s">
        <v>115</v>
      </c>
      <c r="CF161" s="8" t="s">
        <v>2014</v>
      </c>
      <c r="CG161" s="9"/>
      <c r="CH161" s="9"/>
      <c r="CI161" s="9"/>
      <c r="CJ161" s="9"/>
      <c r="CK161" s="9"/>
      <c r="CL161" s="9"/>
      <c r="CM161" s="9"/>
      <c r="CN161" s="9"/>
      <c r="CO161" s="9"/>
      <c r="CP161" s="9"/>
    </row>
    <row r="162">
      <c r="A162" s="7" t="s">
        <v>2015</v>
      </c>
      <c r="B162" s="8" t="s">
        <v>2016</v>
      </c>
      <c r="C162" s="8" t="s">
        <v>2017</v>
      </c>
      <c r="D162" s="8" t="s">
        <v>94</v>
      </c>
      <c r="E162" s="8" t="s">
        <v>95</v>
      </c>
      <c r="F162" s="9"/>
      <c r="G162" s="8" t="s">
        <v>2018</v>
      </c>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t="str">
        <f t="shared" si="21"/>
        <v/>
      </c>
      <c r="AK162" s="8"/>
      <c r="AL162" s="8"/>
      <c r="AM162" s="8" t="s">
        <v>1477</v>
      </c>
      <c r="AN162" s="8" t="s">
        <v>2019</v>
      </c>
      <c r="AO162" s="9"/>
      <c r="AP162" s="9"/>
      <c r="AQ162" s="9"/>
      <c r="AR162" s="8" t="s">
        <v>1479</v>
      </c>
      <c r="AS162" s="8" t="s">
        <v>1480</v>
      </c>
      <c r="AT162" s="9"/>
      <c r="AU162" s="8" t="s">
        <v>2020</v>
      </c>
      <c r="AV162" s="9"/>
      <c r="AW162" s="9"/>
      <c r="AX162" s="9"/>
      <c r="AY162" s="8" t="s">
        <v>1946</v>
      </c>
      <c r="AZ162" s="8" t="b">
        <v>0</v>
      </c>
      <c r="BA162" s="8" t="s">
        <v>190</v>
      </c>
      <c r="BB162" s="8" t="s">
        <v>191</v>
      </c>
      <c r="BC162" s="8" t="s">
        <v>1767</v>
      </c>
      <c r="BD162" s="9"/>
      <c r="BE162" s="8" t="s">
        <v>2021</v>
      </c>
      <c r="BF162" s="9"/>
      <c r="BG162" s="9"/>
      <c r="BH162" s="9"/>
      <c r="BI162" s="9"/>
      <c r="BJ162" s="9"/>
      <c r="BK162" s="9"/>
      <c r="BL162" s="9"/>
      <c r="BM162" s="9"/>
      <c r="BN162" s="9"/>
      <c r="BO162" s="9"/>
      <c r="BP162" s="9"/>
      <c r="BQ162" s="9"/>
      <c r="BR162" s="8" t="s">
        <v>193</v>
      </c>
      <c r="BS162" s="8" t="s">
        <v>194</v>
      </c>
      <c r="BT162" s="8" t="s">
        <v>1551</v>
      </c>
      <c r="BU162" s="9"/>
      <c r="BV162" s="9"/>
      <c r="BW162" s="9"/>
      <c r="BX162" s="9"/>
      <c r="BY162" s="9"/>
      <c r="BZ162" s="9"/>
      <c r="CA162" s="9"/>
      <c r="CB162" s="8" t="s">
        <v>2022</v>
      </c>
      <c r="CC162" s="9"/>
      <c r="CD162" s="9"/>
      <c r="CE162" s="8" t="s">
        <v>412</v>
      </c>
      <c r="CF162" s="8" t="s">
        <v>2023</v>
      </c>
      <c r="CG162" s="9"/>
      <c r="CH162" s="9"/>
      <c r="CI162" s="9"/>
      <c r="CJ162" s="9"/>
      <c r="CK162" s="9"/>
      <c r="CL162" s="9"/>
      <c r="CM162" s="9"/>
      <c r="CN162" s="9"/>
      <c r="CO162" s="9"/>
      <c r="CP162" s="9"/>
    </row>
    <row r="163">
      <c r="A163" s="7" t="s">
        <v>2024</v>
      </c>
      <c r="B163" s="8" t="s">
        <v>2025</v>
      </c>
      <c r="C163" s="8" t="s">
        <v>2026</v>
      </c>
      <c r="D163" s="8" t="s">
        <v>94</v>
      </c>
      <c r="E163" s="8" t="s">
        <v>95</v>
      </c>
      <c r="F163" s="9"/>
      <c r="G163" s="8" t="s">
        <v>2027</v>
      </c>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t="str">
        <f t="shared" si="21"/>
        <v/>
      </c>
      <c r="AK163" s="8"/>
      <c r="AL163" s="8"/>
      <c r="AM163" s="8" t="s">
        <v>1477</v>
      </c>
      <c r="AN163" s="8" t="s">
        <v>2028</v>
      </c>
      <c r="AO163" s="9"/>
      <c r="AP163" s="9"/>
      <c r="AQ163" s="9"/>
      <c r="AR163" s="8" t="s">
        <v>1479</v>
      </c>
      <c r="AS163" s="8" t="s">
        <v>1480</v>
      </c>
      <c r="AT163" s="9"/>
      <c r="AU163" s="8" t="s">
        <v>2029</v>
      </c>
      <c r="AV163" s="9"/>
      <c r="AW163" s="9"/>
      <c r="AX163" s="9"/>
      <c r="AY163" s="8" t="s">
        <v>1946</v>
      </c>
      <c r="AZ163" s="8" t="b">
        <v>0</v>
      </c>
      <c r="BA163" s="8" t="s">
        <v>190</v>
      </c>
      <c r="BB163" s="8" t="s">
        <v>191</v>
      </c>
      <c r="BC163" s="8" t="s">
        <v>1767</v>
      </c>
      <c r="BD163" s="9"/>
      <c r="BE163" s="8" t="s">
        <v>361</v>
      </c>
      <c r="BF163" s="9"/>
      <c r="BG163" s="9"/>
      <c r="BH163" s="9"/>
      <c r="BI163" s="9"/>
      <c r="BJ163" s="9"/>
      <c r="BK163" s="9"/>
      <c r="BL163" s="9"/>
      <c r="BM163" s="9"/>
      <c r="BN163" s="9"/>
      <c r="BO163" s="9"/>
      <c r="BP163" s="9"/>
      <c r="BQ163" s="9"/>
      <c r="BR163" s="8" t="s">
        <v>193</v>
      </c>
      <c r="BS163" s="8" t="s">
        <v>194</v>
      </c>
      <c r="BT163" s="9"/>
      <c r="BU163" s="9"/>
      <c r="BV163" s="8" t="s">
        <v>2030</v>
      </c>
      <c r="BW163" s="9"/>
      <c r="BX163" s="9"/>
      <c r="BY163" s="9"/>
      <c r="BZ163" s="9"/>
      <c r="CA163" s="9"/>
      <c r="CB163" s="8" t="s">
        <v>1789</v>
      </c>
      <c r="CC163" s="9"/>
      <c r="CD163" s="9"/>
      <c r="CE163" s="8" t="s">
        <v>115</v>
      </c>
      <c r="CF163" s="8" t="s">
        <v>2031</v>
      </c>
      <c r="CG163" s="9"/>
      <c r="CH163" s="9"/>
      <c r="CI163" s="9"/>
      <c r="CJ163" s="9"/>
      <c r="CK163" s="9"/>
      <c r="CL163" s="9"/>
      <c r="CM163" s="9"/>
      <c r="CN163" s="9"/>
      <c r="CO163" s="9"/>
      <c r="CP163" s="9"/>
    </row>
    <row r="164">
      <c r="A164" s="7" t="s">
        <v>2032</v>
      </c>
      <c r="B164" s="8" t="s">
        <v>2033</v>
      </c>
      <c r="C164" s="8" t="s">
        <v>2034</v>
      </c>
      <c r="D164" s="8" t="s">
        <v>94</v>
      </c>
      <c r="E164" s="8" t="s">
        <v>95</v>
      </c>
      <c r="F164" s="9"/>
      <c r="G164" s="8" t="s">
        <v>2035</v>
      </c>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t="str">
        <f t="shared" si="21"/>
        <v/>
      </c>
      <c r="AK164" s="8"/>
      <c r="AL164" s="8"/>
      <c r="AM164" s="8" t="s">
        <v>1477</v>
      </c>
      <c r="AN164" s="8" t="s">
        <v>2036</v>
      </c>
      <c r="AO164" s="9"/>
      <c r="AP164" s="9"/>
      <c r="AQ164" s="9"/>
      <c r="AR164" s="8" t="s">
        <v>1479</v>
      </c>
      <c r="AS164" s="8" t="s">
        <v>1480</v>
      </c>
      <c r="AT164" s="9"/>
      <c r="AU164" s="8" t="s">
        <v>2037</v>
      </c>
      <c r="AV164" s="9"/>
      <c r="AW164" s="9"/>
      <c r="AX164" s="9"/>
      <c r="AY164" s="8" t="s">
        <v>1946</v>
      </c>
      <c r="AZ164" s="8" t="b">
        <v>0</v>
      </c>
      <c r="BA164" s="8" t="s">
        <v>190</v>
      </c>
      <c r="BB164" s="8" t="s">
        <v>191</v>
      </c>
      <c r="BC164" s="8" t="s">
        <v>1767</v>
      </c>
      <c r="BD164" s="9"/>
      <c r="BE164" s="8" t="s">
        <v>2038</v>
      </c>
      <c r="BF164" s="9"/>
      <c r="BG164" s="9"/>
      <c r="BH164" s="9"/>
      <c r="BI164" s="9"/>
      <c r="BJ164" s="9"/>
      <c r="BK164" s="9"/>
      <c r="BL164" s="9"/>
      <c r="BM164" s="9"/>
      <c r="BN164" s="9"/>
      <c r="BO164" s="9"/>
      <c r="BP164" s="9"/>
      <c r="BQ164" s="9"/>
      <c r="BR164" s="8" t="s">
        <v>193</v>
      </c>
      <c r="BS164" s="9"/>
      <c r="BT164" s="9"/>
      <c r="BU164" s="9"/>
      <c r="BV164" s="8" t="s">
        <v>1842</v>
      </c>
      <c r="BW164" s="9"/>
      <c r="BX164" s="9"/>
      <c r="BY164" s="9"/>
      <c r="BZ164" s="9"/>
      <c r="CA164" s="9"/>
      <c r="CB164" s="8" t="s">
        <v>2039</v>
      </c>
      <c r="CC164" s="9"/>
      <c r="CD164" s="9"/>
      <c r="CE164" s="8" t="s">
        <v>115</v>
      </c>
      <c r="CF164" s="8" t="s">
        <v>2040</v>
      </c>
      <c r="CG164" s="9"/>
      <c r="CH164" s="9"/>
      <c r="CI164" s="9"/>
      <c r="CJ164" s="9"/>
      <c r="CK164" s="9"/>
      <c r="CL164" s="9"/>
      <c r="CM164" s="9"/>
      <c r="CN164" s="9"/>
      <c r="CO164" s="9"/>
      <c r="CP164" s="9"/>
    </row>
    <row r="165">
      <c r="A165" s="7" t="s">
        <v>2041</v>
      </c>
      <c r="B165" s="8" t="s">
        <v>2042</v>
      </c>
      <c r="C165" s="8" t="s">
        <v>2043</v>
      </c>
      <c r="D165" s="8" t="s">
        <v>94</v>
      </c>
      <c r="E165" s="8" t="s">
        <v>95</v>
      </c>
      <c r="F165" s="9"/>
      <c r="G165" s="8" t="s">
        <v>2044</v>
      </c>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t="str">
        <f t="shared" si="21"/>
        <v/>
      </c>
      <c r="AK165" s="8"/>
      <c r="AL165" s="8"/>
      <c r="AM165" s="8" t="s">
        <v>1477</v>
      </c>
      <c r="AN165" s="8" t="s">
        <v>2045</v>
      </c>
      <c r="AO165" s="9"/>
      <c r="AP165" s="9"/>
      <c r="AQ165" s="9"/>
      <c r="AR165" s="8" t="s">
        <v>1479</v>
      </c>
      <c r="AS165" s="8" t="s">
        <v>1480</v>
      </c>
      <c r="AT165" s="9"/>
      <c r="AU165" s="8" t="s">
        <v>2046</v>
      </c>
      <c r="AV165" s="8" t="s">
        <v>108</v>
      </c>
      <c r="AW165" s="9"/>
      <c r="AX165" s="9"/>
      <c r="AY165" s="8" t="s">
        <v>1946</v>
      </c>
      <c r="AZ165" s="8" t="b">
        <v>0</v>
      </c>
      <c r="BA165" s="8" t="s">
        <v>110</v>
      </c>
      <c r="BB165" s="9"/>
      <c r="BC165" s="9"/>
      <c r="BD165" s="9"/>
      <c r="BE165" s="8" t="s">
        <v>2047</v>
      </c>
      <c r="BF165" s="9"/>
      <c r="BG165" s="9"/>
      <c r="BH165" s="9"/>
      <c r="BI165" s="9"/>
      <c r="BJ165" s="9"/>
      <c r="BK165" s="9"/>
      <c r="BL165" s="9"/>
      <c r="BM165" s="9"/>
      <c r="BN165" s="9"/>
      <c r="BO165" s="9"/>
      <c r="BP165" s="9"/>
      <c r="BQ165" s="9"/>
      <c r="BR165" s="9"/>
      <c r="BS165" s="9"/>
      <c r="BT165" s="9"/>
      <c r="BU165" s="9"/>
      <c r="BV165" s="9"/>
      <c r="BW165" s="9"/>
      <c r="BX165" s="9"/>
      <c r="BY165" s="9"/>
      <c r="BZ165" s="9"/>
      <c r="CA165" s="9"/>
      <c r="CB165" s="8" t="s">
        <v>1904</v>
      </c>
      <c r="CC165" s="9"/>
      <c r="CD165" s="9"/>
      <c r="CE165" s="8" t="s">
        <v>412</v>
      </c>
      <c r="CF165" s="8" t="s">
        <v>2048</v>
      </c>
      <c r="CG165" s="9"/>
      <c r="CH165" s="9"/>
      <c r="CI165" s="9"/>
      <c r="CJ165" s="9"/>
      <c r="CK165" s="9"/>
      <c r="CL165" s="9"/>
      <c r="CM165" s="9"/>
      <c r="CN165" s="9"/>
      <c r="CO165" s="9"/>
      <c r="CP165" s="9"/>
    </row>
    <row r="166">
      <c r="A166" s="7" t="s">
        <v>2049</v>
      </c>
      <c r="B166" s="8" t="s">
        <v>2050</v>
      </c>
      <c r="C166" s="8" t="s">
        <v>2051</v>
      </c>
      <c r="D166" s="8" t="s">
        <v>94</v>
      </c>
      <c r="E166" s="8" t="s">
        <v>95</v>
      </c>
      <c r="F166" s="9"/>
      <c r="G166" s="8" t="s">
        <v>1900</v>
      </c>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t="str">
        <f t="shared" si="21"/>
        <v/>
      </c>
      <c r="AK166" s="8"/>
      <c r="AL166" s="8"/>
      <c r="AM166" s="8" t="s">
        <v>1477</v>
      </c>
      <c r="AN166" s="8" t="s">
        <v>2052</v>
      </c>
      <c r="AO166" s="9"/>
      <c r="AP166" s="9"/>
      <c r="AQ166" s="9"/>
      <c r="AR166" s="8" t="s">
        <v>1479</v>
      </c>
      <c r="AS166" s="8" t="s">
        <v>1480</v>
      </c>
      <c r="AT166" s="9"/>
      <c r="AU166" s="8" t="s">
        <v>2053</v>
      </c>
      <c r="AV166" s="8" t="s">
        <v>2054</v>
      </c>
      <c r="AW166" s="9"/>
      <c r="AX166" s="9"/>
      <c r="AY166" s="8" t="s">
        <v>1946</v>
      </c>
      <c r="AZ166" s="8" t="b">
        <v>0</v>
      </c>
      <c r="BA166" s="8" t="s">
        <v>110</v>
      </c>
      <c r="BB166" s="9"/>
      <c r="BC166" s="9"/>
      <c r="BD166" s="9"/>
      <c r="BE166" s="8" t="s">
        <v>2055</v>
      </c>
      <c r="BF166" s="9"/>
      <c r="BG166" s="9"/>
      <c r="BH166" s="9"/>
      <c r="BI166" s="9"/>
      <c r="BJ166" s="9"/>
      <c r="BK166" s="9"/>
      <c r="BL166" s="9"/>
      <c r="BM166" s="9"/>
      <c r="BN166" s="9"/>
      <c r="BO166" s="9"/>
      <c r="BP166" s="9"/>
      <c r="BQ166" s="9"/>
      <c r="BR166" s="9"/>
      <c r="BS166" s="9"/>
      <c r="BT166" s="9"/>
      <c r="BU166" s="9"/>
      <c r="BV166" s="9"/>
      <c r="BW166" s="9"/>
      <c r="BX166" s="9"/>
      <c r="BY166" s="9"/>
      <c r="BZ166" s="9"/>
      <c r="CA166" s="9"/>
      <c r="CB166" s="8" t="s">
        <v>2056</v>
      </c>
      <c r="CC166" s="9"/>
      <c r="CD166" s="9"/>
      <c r="CE166" s="8" t="s">
        <v>366</v>
      </c>
      <c r="CF166" s="8" t="s">
        <v>2057</v>
      </c>
      <c r="CG166" s="9"/>
      <c r="CH166" s="9"/>
      <c r="CI166" s="9"/>
      <c r="CJ166" s="9"/>
      <c r="CK166" s="9"/>
      <c r="CL166" s="9"/>
      <c r="CM166" s="9"/>
      <c r="CN166" s="9"/>
      <c r="CO166" s="9"/>
      <c r="CP166" s="9"/>
    </row>
    <row r="167">
      <c r="A167" s="7" t="s">
        <v>2058</v>
      </c>
      <c r="B167" s="8" t="s">
        <v>2059</v>
      </c>
      <c r="C167" s="8" t="s">
        <v>2060</v>
      </c>
      <c r="D167" s="8" t="s">
        <v>94</v>
      </c>
      <c r="E167" s="8" t="s">
        <v>95</v>
      </c>
      <c r="F167" s="9"/>
      <c r="G167" s="8" t="s">
        <v>2061</v>
      </c>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t="str">
        <f t="shared" si="21"/>
        <v/>
      </c>
      <c r="AK167" s="8"/>
      <c r="AL167" s="8"/>
      <c r="AM167" s="8" t="s">
        <v>1477</v>
      </c>
      <c r="AN167" s="8" t="s">
        <v>2062</v>
      </c>
      <c r="AO167" s="9"/>
      <c r="AP167" s="9"/>
      <c r="AQ167" s="9"/>
      <c r="AR167" s="8" t="s">
        <v>1479</v>
      </c>
      <c r="AS167" s="8" t="s">
        <v>1480</v>
      </c>
      <c r="AT167" s="9"/>
      <c r="AU167" s="8" t="s">
        <v>2063</v>
      </c>
      <c r="AV167" s="8" t="s">
        <v>108</v>
      </c>
      <c r="AW167" s="9"/>
      <c r="AX167" s="9"/>
      <c r="AY167" s="8" t="s">
        <v>1946</v>
      </c>
      <c r="AZ167" s="8" t="b">
        <v>0</v>
      </c>
      <c r="BA167" s="8" t="s">
        <v>110</v>
      </c>
      <c r="BB167" s="9"/>
      <c r="BC167" s="9"/>
      <c r="BD167" s="9"/>
      <c r="BE167" s="8" t="s">
        <v>1823</v>
      </c>
      <c r="BF167" s="9"/>
      <c r="BG167" s="9"/>
      <c r="BH167" s="9"/>
      <c r="BI167" s="9"/>
      <c r="BJ167" s="9"/>
      <c r="BK167" s="9"/>
      <c r="BL167" s="9"/>
      <c r="BM167" s="9"/>
      <c r="BN167" s="9"/>
      <c r="BO167" s="9"/>
      <c r="BP167" s="9"/>
      <c r="BQ167" s="9"/>
      <c r="BR167" s="9"/>
      <c r="BS167" s="9"/>
      <c r="BT167" s="9"/>
      <c r="BU167" s="9"/>
      <c r="BV167" s="9"/>
      <c r="BW167" s="9"/>
      <c r="BX167" s="9"/>
      <c r="BY167" s="9"/>
      <c r="BZ167" s="9"/>
      <c r="CA167" s="9"/>
      <c r="CB167" s="8" t="s">
        <v>1833</v>
      </c>
      <c r="CC167" s="9"/>
      <c r="CD167" s="9"/>
      <c r="CE167" s="8" t="s">
        <v>366</v>
      </c>
      <c r="CF167" s="8" t="s">
        <v>2064</v>
      </c>
      <c r="CG167" s="9"/>
      <c r="CH167" s="9"/>
      <c r="CI167" s="9"/>
      <c r="CJ167" s="9"/>
      <c r="CK167" s="9"/>
      <c r="CL167" s="9"/>
      <c r="CM167" s="9"/>
      <c r="CN167" s="9"/>
      <c r="CO167" s="9"/>
      <c r="CP167" s="9"/>
    </row>
    <row r="168">
      <c r="A168" s="7" t="s">
        <v>2065</v>
      </c>
      <c r="B168" s="8" t="s">
        <v>2066</v>
      </c>
      <c r="C168" s="8" t="s">
        <v>2067</v>
      </c>
      <c r="D168" s="8" t="s">
        <v>94</v>
      </c>
      <c r="E168" s="8" t="s">
        <v>95</v>
      </c>
      <c r="F168" s="9"/>
      <c r="G168" s="8" t="s">
        <v>2068</v>
      </c>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t="str">
        <f t="shared" si="21"/>
        <v/>
      </c>
      <c r="AK168" s="8"/>
      <c r="AL168" s="8"/>
      <c r="AM168" s="8" t="s">
        <v>1477</v>
      </c>
      <c r="AN168" s="8" t="s">
        <v>2069</v>
      </c>
      <c r="AO168" s="9"/>
      <c r="AP168" s="9"/>
      <c r="AQ168" s="9"/>
      <c r="AR168" s="8" t="s">
        <v>1479</v>
      </c>
      <c r="AS168" s="8" t="s">
        <v>1480</v>
      </c>
      <c r="AT168" s="9"/>
      <c r="AU168" s="8" t="s">
        <v>2070</v>
      </c>
      <c r="AV168" s="9"/>
      <c r="AW168" s="9"/>
      <c r="AX168" s="9"/>
      <c r="AY168" s="8" t="s">
        <v>1946</v>
      </c>
      <c r="AZ168" s="8" t="b">
        <v>0</v>
      </c>
      <c r="BA168" s="8" t="s">
        <v>190</v>
      </c>
      <c r="BB168" s="8" t="s">
        <v>191</v>
      </c>
      <c r="BC168" s="9"/>
      <c r="BD168" s="9"/>
      <c r="BE168" s="8" t="s">
        <v>2071</v>
      </c>
      <c r="BF168" s="9"/>
      <c r="BG168" s="9"/>
      <c r="BH168" s="9"/>
      <c r="BI168" s="9"/>
      <c r="BJ168" s="9"/>
      <c r="BK168" s="8" t="s">
        <v>935</v>
      </c>
      <c r="BL168" s="9"/>
      <c r="BM168" s="9"/>
      <c r="BN168" s="9"/>
      <c r="BO168" s="9"/>
      <c r="BP168" s="9"/>
      <c r="BQ168" s="9"/>
      <c r="BR168" s="8" t="s">
        <v>193</v>
      </c>
      <c r="BS168" s="8" t="s">
        <v>194</v>
      </c>
      <c r="BT168" s="9"/>
      <c r="BU168" s="9"/>
      <c r="BV168" s="8" t="s">
        <v>2072</v>
      </c>
      <c r="BW168" s="9"/>
      <c r="BX168" s="9"/>
      <c r="BY168" s="9"/>
      <c r="BZ168" s="8" t="s">
        <v>100</v>
      </c>
      <c r="CA168" s="8" t="s">
        <v>100</v>
      </c>
      <c r="CB168" s="8" t="s">
        <v>2073</v>
      </c>
      <c r="CC168" s="9"/>
      <c r="CD168" s="9"/>
      <c r="CE168" s="8" t="s">
        <v>197</v>
      </c>
      <c r="CF168" s="8" t="s">
        <v>2074</v>
      </c>
      <c r="CG168" s="9"/>
      <c r="CH168" s="9"/>
      <c r="CI168" s="9"/>
      <c r="CJ168" s="9"/>
      <c r="CK168" s="9"/>
      <c r="CL168" s="9"/>
      <c r="CM168" s="9"/>
      <c r="CN168" s="9"/>
      <c r="CO168" s="9"/>
      <c r="CP168" s="9"/>
    </row>
    <row r="169">
      <c r="A169" s="4" t="s">
        <v>2075</v>
      </c>
      <c r="B169" s="5" t="s">
        <v>2076</v>
      </c>
      <c r="C169" s="5" t="s">
        <v>2077</v>
      </c>
      <c r="D169" s="5" t="s">
        <v>94</v>
      </c>
      <c r="E169" s="5" t="s">
        <v>95</v>
      </c>
      <c r="F169" s="6"/>
      <c r="G169" s="5" t="s">
        <v>2078</v>
      </c>
      <c r="H169" s="5" t="s">
        <v>97</v>
      </c>
      <c r="I169" s="5" t="s">
        <v>1329</v>
      </c>
      <c r="J169" s="5"/>
      <c r="K169" s="5"/>
      <c r="L169" s="5"/>
      <c r="M169" s="5" t="s">
        <v>2079</v>
      </c>
      <c r="N169" s="10" t="s">
        <v>2080</v>
      </c>
      <c r="O169" s="5" t="s">
        <v>2081</v>
      </c>
      <c r="P169" s="5" t="s">
        <v>2082</v>
      </c>
      <c r="Q169" s="5"/>
      <c r="R169" s="5"/>
      <c r="S169" s="5" t="s">
        <v>100</v>
      </c>
      <c r="T169" s="5" t="s">
        <v>100</v>
      </c>
      <c r="U169" s="5" t="s">
        <v>100</v>
      </c>
      <c r="V169" s="5" t="s">
        <v>100</v>
      </c>
      <c r="W169" s="5" t="s">
        <v>100</v>
      </c>
      <c r="X169" s="5" t="s">
        <v>100</v>
      </c>
      <c r="Y169" s="5" t="s">
        <v>2083</v>
      </c>
      <c r="Z169" s="5" t="s">
        <v>100</v>
      </c>
      <c r="AA169" s="5"/>
      <c r="AB169" s="5" t="s">
        <v>100</v>
      </c>
      <c r="AC169" s="5" t="s">
        <v>100</v>
      </c>
      <c r="AD169" s="5" t="s">
        <v>100</v>
      </c>
      <c r="AE169" s="5" t="s">
        <v>100</v>
      </c>
      <c r="AF169" s="5" t="s">
        <v>100</v>
      </c>
      <c r="AG169" s="5" t="s">
        <v>100</v>
      </c>
      <c r="AH169" s="5" t="s">
        <v>100</v>
      </c>
      <c r="AI169" s="5" t="s">
        <v>2084</v>
      </c>
      <c r="AJ169" s="5" t="s">
        <v>2085</v>
      </c>
      <c r="AK169" s="5" t="s">
        <v>124</v>
      </c>
      <c r="AL169" s="5" t="s">
        <v>124</v>
      </c>
      <c r="AM169" s="5" t="s">
        <v>105</v>
      </c>
      <c r="AN169" s="5" t="s">
        <v>2086</v>
      </c>
      <c r="AO169" s="6"/>
      <c r="AP169" s="6"/>
      <c r="AQ169" s="6"/>
      <c r="AR169" s="6"/>
      <c r="AS169" s="6"/>
      <c r="AT169" s="6"/>
      <c r="AU169" s="5" t="s">
        <v>2087</v>
      </c>
      <c r="AV169" s="5" t="s">
        <v>108</v>
      </c>
      <c r="AW169" s="6"/>
      <c r="AX169" s="6"/>
      <c r="AY169" s="5" t="s">
        <v>2088</v>
      </c>
      <c r="AZ169" s="5" t="b">
        <v>0</v>
      </c>
      <c r="BA169" s="5" t="s">
        <v>110</v>
      </c>
      <c r="BB169" s="5" t="s">
        <v>773</v>
      </c>
      <c r="BC169" s="6"/>
      <c r="BD169" s="6"/>
      <c r="BE169" s="5" t="s">
        <v>2089</v>
      </c>
      <c r="BF169" s="6"/>
      <c r="BG169" s="6"/>
      <c r="BH169" s="6"/>
      <c r="BI169" s="6"/>
      <c r="BJ169" s="6"/>
      <c r="BK169" s="6"/>
      <c r="BL169" s="6"/>
      <c r="BM169" s="6"/>
      <c r="BN169" s="6"/>
      <c r="BO169" s="6"/>
      <c r="BP169" s="6"/>
      <c r="BQ169" s="6"/>
      <c r="BR169" s="6"/>
      <c r="BS169" s="6"/>
      <c r="BT169" s="6"/>
      <c r="BU169" s="6"/>
      <c r="BV169" s="6"/>
      <c r="BW169" s="6"/>
      <c r="BX169" s="6"/>
      <c r="BY169" s="6"/>
      <c r="BZ169" s="6"/>
      <c r="CA169" s="6"/>
      <c r="CB169" s="5" t="s">
        <v>665</v>
      </c>
      <c r="CC169" s="6"/>
      <c r="CD169" s="6"/>
      <c r="CE169" s="5" t="s">
        <v>115</v>
      </c>
      <c r="CF169" s="5" t="s">
        <v>2090</v>
      </c>
      <c r="CG169" s="6"/>
      <c r="CH169" s="6"/>
      <c r="CI169" s="6"/>
      <c r="CJ169" s="6"/>
      <c r="CK169" s="6"/>
      <c r="CL169" s="6"/>
      <c r="CM169" s="6"/>
      <c r="CN169" s="6"/>
      <c r="CO169" s="6"/>
      <c r="CP169" s="6"/>
    </row>
    <row r="170">
      <c r="A170" s="7" t="s">
        <v>2091</v>
      </c>
      <c r="B170" s="8" t="s">
        <v>2092</v>
      </c>
      <c r="C170" s="8" t="s">
        <v>2093</v>
      </c>
      <c r="D170" s="8" t="s">
        <v>94</v>
      </c>
      <c r="E170" s="8" t="s">
        <v>95</v>
      </c>
      <c r="F170" s="9"/>
      <c r="G170" s="8" t="s">
        <v>2094</v>
      </c>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t="str">
        <f t="shared" ref="AJ170:AJ176" si="22">CONCATENATE(J170,K170,L170,Q170,R170,X170,Y170,AA170,AG170)</f>
        <v/>
      </c>
      <c r="AK170" s="8"/>
      <c r="AL170" s="8"/>
      <c r="AM170" s="8" t="s">
        <v>1477</v>
      </c>
      <c r="AN170" s="8" t="s">
        <v>2095</v>
      </c>
      <c r="AO170" s="9"/>
      <c r="AP170" s="9"/>
      <c r="AQ170" s="9"/>
      <c r="AR170" s="8" t="s">
        <v>1479</v>
      </c>
      <c r="AS170" s="8" t="s">
        <v>1480</v>
      </c>
      <c r="AT170" s="9"/>
      <c r="AU170" s="8" t="s">
        <v>2096</v>
      </c>
      <c r="AV170" s="8" t="s">
        <v>108</v>
      </c>
      <c r="AW170" s="9"/>
      <c r="AX170" s="9"/>
      <c r="AY170" s="8" t="s">
        <v>2088</v>
      </c>
      <c r="AZ170" s="8" t="b">
        <v>0</v>
      </c>
      <c r="BA170" s="8" t="s">
        <v>110</v>
      </c>
      <c r="BB170" s="8" t="s">
        <v>2097</v>
      </c>
      <c r="BC170" s="9"/>
      <c r="BD170" s="9"/>
      <c r="BE170" s="8" t="s">
        <v>2098</v>
      </c>
      <c r="BF170" s="9"/>
      <c r="BG170" s="9"/>
      <c r="BH170" s="9"/>
      <c r="BI170" s="9"/>
      <c r="BJ170" s="9"/>
      <c r="BK170" s="9"/>
      <c r="BL170" s="9"/>
      <c r="BM170" s="9"/>
      <c r="BN170" s="9"/>
      <c r="BO170" s="9"/>
      <c r="BP170" s="9"/>
      <c r="BQ170" s="9"/>
      <c r="BR170" s="9"/>
      <c r="BS170" s="9"/>
      <c r="BT170" s="9"/>
      <c r="BU170" s="9"/>
      <c r="BV170" s="9"/>
      <c r="BW170" s="9"/>
      <c r="BX170" s="9"/>
      <c r="BY170" s="9"/>
      <c r="BZ170" s="9"/>
      <c r="CA170" s="9"/>
      <c r="CB170" s="8" t="s">
        <v>2099</v>
      </c>
      <c r="CC170" s="9"/>
      <c r="CD170" s="9"/>
      <c r="CE170" s="8" t="s">
        <v>366</v>
      </c>
      <c r="CF170" s="8" t="s">
        <v>2100</v>
      </c>
      <c r="CG170" s="9"/>
      <c r="CH170" s="9"/>
      <c r="CI170" s="9"/>
      <c r="CJ170" s="9"/>
      <c r="CK170" s="9"/>
      <c r="CL170" s="9"/>
      <c r="CM170" s="9"/>
      <c r="CN170" s="9"/>
      <c r="CO170" s="9"/>
      <c r="CP170" s="9"/>
    </row>
    <row r="171">
      <c r="A171" s="7" t="s">
        <v>2101</v>
      </c>
      <c r="B171" s="8" t="s">
        <v>2102</v>
      </c>
      <c r="C171" s="8" t="s">
        <v>2103</v>
      </c>
      <c r="D171" s="8" t="s">
        <v>94</v>
      </c>
      <c r="E171" s="8" t="s">
        <v>95</v>
      </c>
      <c r="F171" s="9"/>
      <c r="G171" s="8" t="s">
        <v>2104</v>
      </c>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t="str">
        <f t="shared" si="22"/>
        <v/>
      </c>
      <c r="AK171" s="8"/>
      <c r="AL171" s="8"/>
      <c r="AM171" s="8" t="s">
        <v>1477</v>
      </c>
      <c r="AN171" s="8" t="s">
        <v>2105</v>
      </c>
      <c r="AO171" s="9"/>
      <c r="AP171" s="9"/>
      <c r="AQ171" s="9"/>
      <c r="AR171" s="8" t="s">
        <v>1479</v>
      </c>
      <c r="AS171" s="8" t="s">
        <v>1480</v>
      </c>
      <c r="AT171" s="9"/>
      <c r="AU171" s="8" t="s">
        <v>2106</v>
      </c>
      <c r="AV171" s="8" t="s">
        <v>2107</v>
      </c>
      <c r="AW171" s="9"/>
      <c r="AX171" s="9"/>
      <c r="AY171" s="8" t="s">
        <v>2088</v>
      </c>
      <c r="AZ171" s="8" t="b">
        <v>0</v>
      </c>
      <c r="BA171" s="8" t="s">
        <v>110</v>
      </c>
      <c r="BB171" s="8" t="s">
        <v>2108</v>
      </c>
      <c r="BC171" s="9"/>
      <c r="BD171" s="9"/>
      <c r="BE171" s="8" t="s">
        <v>2109</v>
      </c>
      <c r="BF171" s="9"/>
      <c r="BG171" s="9"/>
      <c r="BH171" s="9"/>
      <c r="BI171" s="9"/>
      <c r="BJ171" s="9"/>
      <c r="BK171" s="9"/>
      <c r="BL171" s="9"/>
      <c r="BM171" s="9"/>
      <c r="BN171" s="9"/>
      <c r="BO171" s="9"/>
      <c r="BP171" s="9"/>
      <c r="BQ171" s="9"/>
      <c r="BR171" s="9"/>
      <c r="BS171" s="9"/>
      <c r="BT171" s="9"/>
      <c r="BU171" s="9"/>
      <c r="BV171" s="9"/>
      <c r="BW171" s="9"/>
      <c r="BX171" s="9"/>
      <c r="BY171" s="9"/>
      <c r="BZ171" s="9"/>
      <c r="CA171" s="9"/>
      <c r="CB171" s="8" t="s">
        <v>2110</v>
      </c>
      <c r="CC171" s="9"/>
      <c r="CD171" s="9"/>
      <c r="CE171" s="8" t="s">
        <v>115</v>
      </c>
      <c r="CF171" s="8" t="s">
        <v>2111</v>
      </c>
      <c r="CG171" s="9"/>
      <c r="CH171" s="9"/>
      <c r="CI171" s="9"/>
      <c r="CJ171" s="9"/>
      <c r="CK171" s="9"/>
      <c r="CL171" s="9"/>
      <c r="CM171" s="9"/>
      <c r="CN171" s="9"/>
      <c r="CO171" s="9"/>
      <c r="CP171" s="9"/>
    </row>
    <row r="172">
      <c r="A172" s="7" t="s">
        <v>2112</v>
      </c>
      <c r="B172" s="8" t="s">
        <v>2113</v>
      </c>
      <c r="C172" s="8" t="s">
        <v>2114</v>
      </c>
      <c r="D172" s="8" t="s">
        <v>94</v>
      </c>
      <c r="E172" s="8" t="s">
        <v>95</v>
      </c>
      <c r="F172" s="9"/>
      <c r="G172" s="8" t="s">
        <v>2115</v>
      </c>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t="str">
        <f t="shared" si="22"/>
        <v/>
      </c>
      <c r="AK172" s="8"/>
      <c r="AL172" s="8"/>
      <c r="AM172" s="8" t="s">
        <v>1477</v>
      </c>
      <c r="AN172" s="8" t="s">
        <v>2116</v>
      </c>
      <c r="AO172" s="9"/>
      <c r="AP172" s="9"/>
      <c r="AQ172" s="9"/>
      <c r="AR172" s="8" t="s">
        <v>1479</v>
      </c>
      <c r="AS172" s="8" t="s">
        <v>1480</v>
      </c>
      <c r="AT172" s="9"/>
      <c r="AU172" s="8" t="s">
        <v>2117</v>
      </c>
      <c r="AV172" s="8" t="s">
        <v>2118</v>
      </c>
      <c r="AW172" s="9"/>
      <c r="AX172" s="9"/>
      <c r="AY172" s="8" t="s">
        <v>2088</v>
      </c>
      <c r="AZ172" s="8" t="b">
        <v>0</v>
      </c>
      <c r="BA172" s="8" t="s">
        <v>110</v>
      </c>
      <c r="BB172" s="9"/>
      <c r="BC172" s="9"/>
      <c r="BD172" s="9"/>
      <c r="BE172" s="8" t="s">
        <v>2119</v>
      </c>
      <c r="BF172" s="9"/>
      <c r="BG172" s="9"/>
      <c r="BH172" s="9"/>
      <c r="BI172" s="9"/>
      <c r="BJ172" s="9"/>
      <c r="BK172" s="9"/>
      <c r="BL172" s="9"/>
      <c r="BM172" s="9"/>
      <c r="BN172" s="9"/>
      <c r="BO172" s="9"/>
      <c r="BP172" s="9"/>
      <c r="BQ172" s="9"/>
      <c r="BR172" s="9"/>
      <c r="BS172" s="9"/>
      <c r="BT172" s="9"/>
      <c r="BU172" s="9"/>
      <c r="BV172" s="9"/>
      <c r="BW172" s="9"/>
      <c r="BX172" s="9"/>
      <c r="BY172" s="9"/>
      <c r="BZ172" s="9"/>
      <c r="CA172" s="9"/>
      <c r="CB172" s="8" t="s">
        <v>2120</v>
      </c>
      <c r="CC172" s="9"/>
      <c r="CD172" s="9"/>
      <c r="CE172" s="8" t="s">
        <v>366</v>
      </c>
      <c r="CF172" s="8" t="s">
        <v>2121</v>
      </c>
      <c r="CG172" s="9"/>
      <c r="CH172" s="9"/>
      <c r="CI172" s="9"/>
      <c r="CJ172" s="9"/>
      <c r="CK172" s="9"/>
      <c r="CL172" s="9"/>
      <c r="CM172" s="9"/>
      <c r="CN172" s="9"/>
      <c r="CO172" s="9"/>
      <c r="CP172" s="9"/>
    </row>
    <row r="173">
      <c r="A173" s="7" t="s">
        <v>2122</v>
      </c>
      <c r="B173" s="8" t="s">
        <v>2123</v>
      </c>
      <c r="C173" s="8" t="s">
        <v>2124</v>
      </c>
      <c r="D173" s="8" t="s">
        <v>94</v>
      </c>
      <c r="E173" s="8" t="s">
        <v>95</v>
      </c>
      <c r="F173" s="9"/>
      <c r="G173" s="8" t="s">
        <v>2125</v>
      </c>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t="str">
        <f t="shared" si="22"/>
        <v/>
      </c>
      <c r="AK173" s="8"/>
      <c r="AL173" s="8"/>
      <c r="AM173" s="8" t="s">
        <v>1477</v>
      </c>
      <c r="AN173" s="8" t="s">
        <v>2126</v>
      </c>
      <c r="AO173" s="9"/>
      <c r="AP173" s="9"/>
      <c r="AQ173" s="9"/>
      <c r="AR173" s="8" t="s">
        <v>1479</v>
      </c>
      <c r="AS173" s="8" t="s">
        <v>1480</v>
      </c>
      <c r="AT173" s="9"/>
      <c r="AU173" s="8" t="s">
        <v>2127</v>
      </c>
      <c r="AV173" s="8" t="s">
        <v>108</v>
      </c>
      <c r="AW173" s="9"/>
      <c r="AX173" s="9"/>
      <c r="AY173" s="8" t="s">
        <v>2088</v>
      </c>
      <c r="AZ173" s="8" t="b">
        <v>0</v>
      </c>
      <c r="BA173" s="8" t="s">
        <v>110</v>
      </c>
      <c r="BB173" s="9"/>
      <c r="BC173" s="9"/>
      <c r="BD173" s="9"/>
      <c r="BE173" s="8" t="s">
        <v>2128</v>
      </c>
      <c r="BF173" s="9"/>
      <c r="BG173" s="9"/>
      <c r="BH173" s="9"/>
      <c r="BI173" s="9"/>
      <c r="BJ173" s="9"/>
      <c r="BK173" s="9"/>
      <c r="BL173" s="9"/>
      <c r="BM173" s="9"/>
      <c r="BN173" s="9"/>
      <c r="BO173" s="9"/>
      <c r="BP173" s="9"/>
      <c r="BQ173" s="9"/>
      <c r="BR173" s="9"/>
      <c r="BS173" s="9"/>
      <c r="BT173" s="9"/>
      <c r="BU173" s="9"/>
      <c r="BV173" s="9"/>
      <c r="BW173" s="9"/>
      <c r="BX173" s="9"/>
      <c r="BY173" s="9"/>
      <c r="BZ173" s="9"/>
      <c r="CA173" s="9"/>
      <c r="CB173" s="8" t="s">
        <v>2022</v>
      </c>
      <c r="CC173" s="9"/>
      <c r="CD173" s="9"/>
      <c r="CE173" s="8" t="s">
        <v>366</v>
      </c>
      <c r="CF173" s="8" t="s">
        <v>2129</v>
      </c>
      <c r="CG173" s="9"/>
      <c r="CH173" s="9"/>
      <c r="CI173" s="9"/>
      <c r="CJ173" s="9"/>
      <c r="CK173" s="9"/>
      <c r="CL173" s="9"/>
      <c r="CM173" s="9"/>
      <c r="CN173" s="9"/>
      <c r="CO173" s="9"/>
      <c r="CP173" s="9"/>
    </row>
    <row r="174">
      <c r="A174" s="7" t="s">
        <v>2130</v>
      </c>
      <c r="B174" s="8" t="s">
        <v>2131</v>
      </c>
      <c r="C174" s="8" t="s">
        <v>2132</v>
      </c>
      <c r="D174" s="8" t="s">
        <v>94</v>
      </c>
      <c r="E174" s="8" t="s">
        <v>95</v>
      </c>
      <c r="F174" s="9"/>
      <c r="G174" s="8" t="s">
        <v>2133</v>
      </c>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t="str">
        <f t="shared" si="22"/>
        <v/>
      </c>
      <c r="AK174" s="8"/>
      <c r="AL174" s="8"/>
      <c r="AM174" s="8" t="s">
        <v>1477</v>
      </c>
      <c r="AN174" s="8" t="s">
        <v>2134</v>
      </c>
      <c r="AO174" s="9"/>
      <c r="AP174" s="9"/>
      <c r="AQ174" s="9"/>
      <c r="AR174" s="8" t="s">
        <v>1479</v>
      </c>
      <c r="AS174" s="8" t="s">
        <v>1480</v>
      </c>
      <c r="AT174" s="9"/>
      <c r="AU174" s="8" t="s">
        <v>2135</v>
      </c>
      <c r="AV174" s="8" t="s">
        <v>2136</v>
      </c>
      <c r="AW174" s="9"/>
      <c r="AX174" s="9"/>
      <c r="AY174" s="8" t="s">
        <v>2088</v>
      </c>
      <c r="AZ174" s="8" t="b">
        <v>0</v>
      </c>
      <c r="BA174" s="8" t="s">
        <v>110</v>
      </c>
      <c r="BB174" s="9"/>
      <c r="BC174" s="9"/>
      <c r="BD174" s="9"/>
      <c r="BE174" s="8" t="s">
        <v>1223</v>
      </c>
      <c r="BF174" s="9"/>
      <c r="BG174" s="9"/>
      <c r="BH174" s="9"/>
      <c r="BI174" s="9"/>
      <c r="BJ174" s="9"/>
      <c r="BK174" s="9"/>
      <c r="BL174" s="9"/>
      <c r="BM174" s="9"/>
      <c r="BN174" s="9"/>
      <c r="BO174" s="9"/>
      <c r="BP174" s="9"/>
      <c r="BQ174" s="9"/>
      <c r="BR174" s="9"/>
      <c r="BS174" s="9"/>
      <c r="BT174" s="9"/>
      <c r="BU174" s="9"/>
      <c r="BV174" s="9"/>
      <c r="BW174" s="9"/>
      <c r="BX174" s="9"/>
      <c r="BY174" s="9"/>
      <c r="BZ174" s="9"/>
      <c r="CA174" s="9"/>
      <c r="CB174" s="8" t="s">
        <v>2137</v>
      </c>
      <c r="CC174" s="9"/>
      <c r="CD174" s="9"/>
      <c r="CE174" s="8" t="s">
        <v>366</v>
      </c>
      <c r="CF174" s="8" t="s">
        <v>2138</v>
      </c>
      <c r="CG174" s="9"/>
      <c r="CH174" s="9"/>
      <c r="CI174" s="9"/>
      <c r="CJ174" s="9"/>
      <c r="CK174" s="9"/>
      <c r="CL174" s="9"/>
      <c r="CM174" s="9"/>
      <c r="CN174" s="9"/>
      <c r="CO174" s="9"/>
      <c r="CP174" s="9"/>
    </row>
    <row r="175">
      <c r="A175" s="7" t="s">
        <v>2139</v>
      </c>
      <c r="B175" s="8" t="s">
        <v>2140</v>
      </c>
      <c r="C175" s="8" t="s">
        <v>2141</v>
      </c>
      <c r="D175" s="8" t="s">
        <v>94</v>
      </c>
      <c r="E175" s="8" t="s">
        <v>95</v>
      </c>
      <c r="F175" s="9"/>
      <c r="G175" s="8" t="s">
        <v>2142</v>
      </c>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t="str">
        <f t="shared" si="22"/>
        <v/>
      </c>
      <c r="AK175" s="8"/>
      <c r="AL175" s="8"/>
      <c r="AM175" s="8" t="s">
        <v>1477</v>
      </c>
      <c r="AN175" s="8" t="s">
        <v>2143</v>
      </c>
      <c r="AO175" s="9"/>
      <c r="AP175" s="9"/>
      <c r="AQ175" s="9"/>
      <c r="AR175" s="8" t="s">
        <v>1479</v>
      </c>
      <c r="AS175" s="8" t="s">
        <v>1480</v>
      </c>
      <c r="AT175" s="9"/>
      <c r="AU175" s="8" t="s">
        <v>2144</v>
      </c>
      <c r="AV175" s="8" t="s">
        <v>2145</v>
      </c>
      <c r="AW175" s="9"/>
      <c r="AX175" s="9"/>
      <c r="AY175" s="8" t="s">
        <v>2088</v>
      </c>
      <c r="AZ175" s="8" t="b">
        <v>0</v>
      </c>
      <c r="BA175" s="8" t="s">
        <v>110</v>
      </c>
      <c r="BB175" s="9"/>
      <c r="BC175" s="9"/>
      <c r="BD175" s="9"/>
      <c r="BE175" s="8" t="s">
        <v>1921</v>
      </c>
      <c r="BF175" s="9"/>
      <c r="BG175" s="9"/>
      <c r="BH175" s="9"/>
      <c r="BI175" s="9"/>
      <c r="BJ175" s="9"/>
      <c r="BK175" s="9"/>
      <c r="BL175" s="9"/>
      <c r="BM175" s="9"/>
      <c r="BN175" s="9"/>
      <c r="BO175" s="9"/>
      <c r="BP175" s="9"/>
      <c r="BQ175" s="9"/>
      <c r="BR175" s="9"/>
      <c r="BS175" s="9"/>
      <c r="BT175" s="9"/>
      <c r="BU175" s="9"/>
      <c r="BV175" s="9"/>
      <c r="BW175" s="9"/>
      <c r="BX175" s="9"/>
      <c r="BY175" s="9"/>
      <c r="BZ175" s="9"/>
      <c r="CA175" s="9"/>
      <c r="CB175" s="8" t="s">
        <v>1922</v>
      </c>
      <c r="CC175" s="9"/>
      <c r="CD175" s="9"/>
      <c r="CE175" s="8" t="s">
        <v>366</v>
      </c>
      <c r="CF175" s="8" t="s">
        <v>2146</v>
      </c>
      <c r="CG175" s="9"/>
      <c r="CH175" s="9"/>
      <c r="CI175" s="9"/>
      <c r="CJ175" s="9"/>
      <c r="CK175" s="9"/>
      <c r="CL175" s="9"/>
      <c r="CM175" s="9"/>
      <c r="CN175" s="9"/>
      <c r="CO175" s="9"/>
      <c r="CP175" s="9"/>
    </row>
    <row r="176">
      <c r="A176" s="7" t="s">
        <v>2147</v>
      </c>
      <c r="B176" s="8" t="s">
        <v>2148</v>
      </c>
      <c r="C176" s="8" t="s">
        <v>2149</v>
      </c>
      <c r="D176" s="8" t="s">
        <v>94</v>
      </c>
      <c r="E176" s="8" t="s">
        <v>95</v>
      </c>
      <c r="F176" s="9"/>
      <c r="G176" s="8" t="s">
        <v>2150</v>
      </c>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t="str">
        <f t="shared" si="22"/>
        <v/>
      </c>
      <c r="AK176" s="8"/>
      <c r="AL176" s="8"/>
      <c r="AM176" s="8" t="s">
        <v>2151</v>
      </c>
      <c r="AN176" s="8" t="s">
        <v>2152</v>
      </c>
      <c r="AO176" s="9"/>
      <c r="AP176" s="9"/>
      <c r="AQ176" s="9"/>
      <c r="AR176" s="9"/>
      <c r="AS176" s="9"/>
      <c r="AT176" s="9"/>
      <c r="AU176" s="8" t="s">
        <v>2153</v>
      </c>
      <c r="AV176" s="9"/>
      <c r="AW176" s="9"/>
      <c r="AX176" s="9"/>
      <c r="AY176" s="8" t="s">
        <v>2088</v>
      </c>
      <c r="AZ176" s="8" t="b">
        <v>0</v>
      </c>
      <c r="BA176" s="8" t="s">
        <v>190</v>
      </c>
      <c r="BB176" s="8" t="s">
        <v>191</v>
      </c>
      <c r="BC176" s="9"/>
      <c r="BD176" s="9"/>
      <c r="BE176" s="8" t="s">
        <v>2154</v>
      </c>
      <c r="BF176" s="9"/>
      <c r="BG176" s="9"/>
      <c r="BH176" s="9"/>
      <c r="BI176" s="9"/>
      <c r="BJ176" s="9"/>
      <c r="BK176" s="8" t="s">
        <v>2155</v>
      </c>
      <c r="BL176" s="9"/>
      <c r="BM176" s="9"/>
      <c r="BN176" s="9"/>
      <c r="BO176" s="9"/>
      <c r="BP176" s="9"/>
      <c r="BQ176" s="9"/>
      <c r="BR176" s="8" t="s">
        <v>193</v>
      </c>
      <c r="BS176" s="8" t="s">
        <v>194</v>
      </c>
      <c r="BT176" s="8" t="s">
        <v>2156</v>
      </c>
      <c r="BU176" s="9"/>
      <c r="BV176" s="8" t="s">
        <v>2157</v>
      </c>
      <c r="BW176" s="9"/>
      <c r="BX176" s="9"/>
      <c r="BY176" s="9"/>
      <c r="BZ176" s="9"/>
      <c r="CA176" s="8" t="s">
        <v>97</v>
      </c>
      <c r="CB176" s="8" t="s">
        <v>2158</v>
      </c>
      <c r="CC176" s="9"/>
      <c r="CD176" s="9"/>
      <c r="CE176" s="8" t="s">
        <v>115</v>
      </c>
      <c r="CF176" s="8" t="s">
        <v>2159</v>
      </c>
      <c r="CG176" s="9"/>
      <c r="CH176" s="9"/>
      <c r="CI176" s="9"/>
      <c r="CJ176" s="9"/>
      <c r="CK176" s="9"/>
      <c r="CL176" s="9"/>
      <c r="CM176" s="9"/>
      <c r="CN176" s="9"/>
      <c r="CO176" s="9"/>
      <c r="CP176" s="9"/>
    </row>
    <row r="177">
      <c r="A177" s="4" t="s">
        <v>2160</v>
      </c>
      <c r="B177" s="5" t="s">
        <v>2161</v>
      </c>
      <c r="C177" s="5" t="s">
        <v>2162</v>
      </c>
      <c r="D177" s="5" t="s">
        <v>94</v>
      </c>
      <c r="E177" s="5" t="s">
        <v>95</v>
      </c>
      <c r="F177" s="6"/>
      <c r="G177" s="5" t="s">
        <v>2163</v>
      </c>
      <c r="H177" s="5" t="s">
        <v>97</v>
      </c>
      <c r="I177" s="5" t="s">
        <v>1329</v>
      </c>
      <c r="J177" s="5"/>
      <c r="K177" s="5"/>
      <c r="L177" s="5"/>
      <c r="M177" s="5" t="s">
        <v>2164</v>
      </c>
      <c r="N177" s="5" t="s">
        <v>2165</v>
      </c>
      <c r="O177" s="5" t="s">
        <v>2166</v>
      </c>
      <c r="P177" s="5" t="s">
        <v>2167</v>
      </c>
      <c r="Q177" s="5"/>
      <c r="R177" s="5"/>
      <c r="S177" s="5" t="s">
        <v>100</v>
      </c>
      <c r="T177" s="5" t="s">
        <v>100</v>
      </c>
      <c r="U177" s="5" t="s">
        <v>100</v>
      </c>
      <c r="V177" s="5" t="s">
        <v>100</v>
      </c>
      <c r="W177" s="5" t="s">
        <v>100</v>
      </c>
      <c r="X177" s="14" t="s">
        <v>2168</v>
      </c>
      <c r="Y177" s="5" t="s">
        <v>2169</v>
      </c>
      <c r="Z177" s="5" t="s">
        <v>2170</v>
      </c>
      <c r="AA177" s="5"/>
      <c r="AB177" s="5"/>
      <c r="AC177" s="5" t="s">
        <v>100</v>
      </c>
      <c r="AD177" s="5" t="s">
        <v>100</v>
      </c>
      <c r="AE177" s="5" t="s">
        <v>2171</v>
      </c>
      <c r="AF177" s="5" t="s">
        <v>100</v>
      </c>
      <c r="AG177" s="5" t="s">
        <v>100</v>
      </c>
      <c r="AH177" s="5" t="s">
        <v>100</v>
      </c>
      <c r="AI177" s="5" t="s">
        <v>2172</v>
      </c>
      <c r="AJ177" s="5" t="s">
        <v>2173</v>
      </c>
      <c r="AK177" s="5" t="s">
        <v>124</v>
      </c>
      <c r="AL177" s="5" t="s">
        <v>124</v>
      </c>
      <c r="AM177" s="5" t="s">
        <v>105</v>
      </c>
      <c r="AN177" s="5" t="s">
        <v>2174</v>
      </c>
      <c r="AO177" s="6"/>
      <c r="AP177" s="6"/>
      <c r="AQ177" s="6"/>
      <c r="AR177" s="6"/>
      <c r="AS177" s="6"/>
      <c r="AT177" s="6"/>
      <c r="AU177" s="5" t="s">
        <v>2175</v>
      </c>
      <c r="AV177" s="5" t="s">
        <v>108</v>
      </c>
      <c r="AW177" s="6"/>
      <c r="AX177" s="6"/>
      <c r="AY177" s="5" t="s">
        <v>2176</v>
      </c>
      <c r="AZ177" s="5" t="b">
        <v>0</v>
      </c>
      <c r="BA177" s="5" t="s">
        <v>110</v>
      </c>
      <c r="BB177" s="5" t="s">
        <v>773</v>
      </c>
      <c r="BC177" s="6"/>
      <c r="BD177" s="6"/>
      <c r="BE177" s="5" t="s">
        <v>2177</v>
      </c>
      <c r="BF177" s="6"/>
      <c r="BG177" s="6"/>
      <c r="BH177" s="6"/>
      <c r="BI177" s="6"/>
      <c r="BJ177" s="6"/>
      <c r="BK177" s="6"/>
      <c r="BL177" s="6"/>
      <c r="BM177" s="6"/>
      <c r="BN177" s="6"/>
      <c r="BO177" s="6"/>
      <c r="BP177" s="6"/>
      <c r="BQ177" s="6"/>
      <c r="BR177" s="6"/>
      <c r="BS177" s="6"/>
      <c r="BT177" s="6"/>
      <c r="BU177" s="6"/>
      <c r="BV177" s="6"/>
      <c r="BW177" s="6"/>
      <c r="BX177" s="6"/>
      <c r="BY177" s="6"/>
      <c r="BZ177" s="6"/>
      <c r="CA177" s="6"/>
      <c r="CB177" s="5" t="s">
        <v>665</v>
      </c>
      <c r="CC177" s="6"/>
      <c r="CD177" s="6"/>
      <c r="CE177" s="5" t="s">
        <v>115</v>
      </c>
      <c r="CF177" s="5" t="s">
        <v>2178</v>
      </c>
      <c r="CG177" s="6"/>
      <c r="CH177" s="6"/>
      <c r="CI177" s="6"/>
      <c r="CJ177" s="6"/>
      <c r="CK177" s="6"/>
      <c r="CL177" s="6"/>
      <c r="CM177" s="6"/>
      <c r="CN177" s="6"/>
      <c r="CO177" s="6"/>
      <c r="CP177" s="6"/>
    </row>
    <row r="178">
      <c r="A178" s="7" t="s">
        <v>2179</v>
      </c>
      <c r="B178" s="8" t="s">
        <v>2180</v>
      </c>
      <c r="C178" s="8" t="s">
        <v>2181</v>
      </c>
      <c r="D178" s="8" t="s">
        <v>94</v>
      </c>
      <c r="E178" s="8" t="s">
        <v>95</v>
      </c>
      <c r="F178" s="9"/>
      <c r="G178" s="8" t="s">
        <v>2182</v>
      </c>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t="str">
        <f t="shared" ref="AJ178:AJ194" si="23">CONCATENATE(J178,K178,L178,Q178,R178,X178,Y178,AA178,AG178)</f>
        <v/>
      </c>
      <c r="AK178" s="8"/>
      <c r="AL178" s="8"/>
      <c r="AM178" s="8" t="s">
        <v>105</v>
      </c>
      <c r="AN178" s="8" t="s">
        <v>423</v>
      </c>
      <c r="AO178" s="9"/>
      <c r="AP178" s="9"/>
      <c r="AQ178" s="9"/>
      <c r="AR178" s="9"/>
      <c r="AS178" s="9"/>
      <c r="AT178" s="9"/>
      <c r="AU178" s="8" t="s">
        <v>2183</v>
      </c>
      <c r="AV178" s="9"/>
      <c r="AW178" s="9"/>
      <c r="AX178" s="9"/>
      <c r="AY178" s="8" t="s">
        <v>2176</v>
      </c>
      <c r="AZ178" s="8" t="b">
        <v>0</v>
      </c>
      <c r="BA178" s="8" t="s">
        <v>190</v>
      </c>
      <c r="BB178" s="8" t="s">
        <v>191</v>
      </c>
      <c r="BC178" s="9"/>
      <c r="BD178" s="9"/>
      <c r="BE178" s="8" t="s">
        <v>2184</v>
      </c>
      <c r="BF178" s="9"/>
      <c r="BG178" s="9"/>
      <c r="BH178" s="9"/>
      <c r="BI178" s="9"/>
      <c r="BJ178" s="9"/>
      <c r="BK178" s="9"/>
      <c r="BL178" s="9"/>
      <c r="BM178" s="9"/>
      <c r="BN178" s="9"/>
      <c r="BO178" s="9"/>
      <c r="BP178" s="9"/>
      <c r="BQ178" s="9"/>
      <c r="BR178" s="8" t="s">
        <v>193</v>
      </c>
      <c r="BS178" s="8" t="s">
        <v>194</v>
      </c>
      <c r="BT178" s="9"/>
      <c r="BU178" s="8" t="s">
        <v>2185</v>
      </c>
      <c r="BV178" s="9"/>
      <c r="BW178" s="9"/>
      <c r="BX178" s="9"/>
      <c r="BY178" s="9"/>
      <c r="BZ178" s="9"/>
      <c r="CA178" s="9"/>
      <c r="CB178" s="8" t="s">
        <v>2186</v>
      </c>
      <c r="CC178" s="9"/>
      <c r="CD178" s="9"/>
      <c r="CE178" s="8" t="s">
        <v>1605</v>
      </c>
      <c r="CF178" s="8" t="s">
        <v>2187</v>
      </c>
      <c r="CG178" s="9"/>
      <c r="CH178" s="9"/>
      <c r="CI178" s="9"/>
      <c r="CJ178" s="9"/>
      <c r="CK178" s="9"/>
      <c r="CL178" s="9"/>
      <c r="CM178" s="9"/>
      <c r="CN178" s="9"/>
      <c r="CO178" s="9"/>
      <c r="CP178" s="9"/>
    </row>
    <row r="179">
      <c r="A179" s="7" t="s">
        <v>2188</v>
      </c>
      <c r="B179" s="8" t="s">
        <v>2189</v>
      </c>
      <c r="C179" s="8" t="s">
        <v>2190</v>
      </c>
      <c r="D179" s="8" t="s">
        <v>94</v>
      </c>
      <c r="E179" s="8" t="s">
        <v>95</v>
      </c>
      <c r="F179" s="9"/>
      <c r="G179" s="8" t="s">
        <v>2191</v>
      </c>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t="str">
        <f t="shared" si="23"/>
        <v/>
      </c>
      <c r="AK179" s="8"/>
      <c r="AL179" s="8"/>
      <c r="AM179" s="8" t="s">
        <v>1477</v>
      </c>
      <c r="AN179" s="8" t="s">
        <v>2192</v>
      </c>
      <c r="AO179" s="9"/>
      <c r="AP179" s="9"/>
      <c r="AQ179" s="9"/>
      <c r="AR179" s="8" t="s">
        <v>1479</v>
      </c>
      <c r="AS179" s="8" t="s">
        <v>1480</v>
      </c>
      <c r="AT179" s="9"/>
      <c r="AU179" s="8" t="s">
        <v>2193</v>
      </c>
      <c r="AV179" s="8" t="s">
        <v>108</v>
      </c>
      <c r="AW179" s="9"/>
      <c r="AX179" s="9"/>
      <c r="AY179" s="8" t="s">
        <v>2176</v>
      </c>
      <c r="AZ179" s="8" t="b">
        <v>0</v>
      </c>
      <c r="BA179" s="8" t="s">
        <v>110</v>
      </c>
      <c r="BB179" s="8" t="s">
        <v>2011</v>
      </c>
      <c r="BC179" s="9"/>
      <c r="BD179" s="9"/>
      <c r="BE179" s="8" t="s">
        <v>2194</v>
      </c>
      <c r="BF179" s="9"/>
      <c r="BG179" s="9"/>
      <c r="BH179" s="9"/>
      <c r="BI179" s="9"/>
      <c r="BJ179" s="9"/>
      <c r="BK179" s="9"/>
      <c r="BL179" s="9"/>
      <c r="BM179" s="9"/>
      <c r="BN179" s="9"/>
      <c r="BO179" s="9"/>
      <c r="BP179" s="9"/>
      <c r="BQ179" s="9"/>
      <c r="BR179" s="9"/>
      <c r="BS179" s="9"/>
      <c r="BT179" s="9"/>
      <c r="BU179" s="9"/>
      <c r="BV179" s="9"/>
      <c r="BW179" s="9"/>
      <c r="BX179" s="9"/>
      <c r="BY179" s="9"/>
      <c r="BZ179" s="9"/>
      <c r="CA179" s="9"/>
      <c r="CB179" s="8" t="s">
        <v>2195</v>
      </c>
      <c r="CC179" s="9"/>
      <c r="CD179" s="9"/>
      <c r="CE179" s="8" t="s">
        <v>115</v>
      </c>
      <c r="CF179" s="8" t="s">
        <v>2196</v>
      </c>
      <c r="CG179" s="9"/>
      <c r="CH179" s="9"/>
      <c r="CI179" s="9"/>
      <c r="CJ179" s="9"/>
      <c r="CK179" s="9"/>
      <c r="CL179" s="9"/>
      <c r="CM179" s="9"/>
      <c r="CN179" s="9"/>
      <c r="CO179" s="9"/>
      <c r="CP179" s="9"/>
    </row>
    <row r="180">
      <c r="A180" s="7" t="s">
        <v>2197</v>
      </c>
      <c r="B180" s="8" t="s">
        <v>2198</v>
      </c>
      <c r="C180" s="8" t="s">
        <v>2199</v>
      </c>
      <c r="D180" s="8" t="s">
        <v>94</v>
      </c>
      <c r="E180" s="8" t="s">
        <v>95</v>
      </c>
      <c r="F180" s="9"/>
      <c r="G180" s="8" t="s">
        <v>2200</v>
      </c>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t="str">
        <f t="shared" si="23"/>
        <v/>
      </c>
      <c r="AK180" s="8"/>
      <c r="AL180" s="8"/>
      <c r="AM180" s="8" t="s">
        <v>1477</v>
      </c>
      <c r="AN180" s="8" t="s">
        <v>2201</v>
      </c>
      <c r="AO180" s="9"/>
      <c r="AP180" s="9"/>
      <c r="AQ180" s="9"/>
      <c r="AR180" s="8" t="s">
        <v>1479</v>
      </c>
      <c r="AS180" s="8" t="s">
        <v>1480</v>
      </c>
      <c r="AT180" s="9"/>
      <c r="AU180" s="8" t="s">
        <v>2202</v>
      </c>
      <c r="AV180" s="9"/>
      <c r="AW180" s="9"/>
      <c r="AX180" s="9"/>
      <c r="AY180" s="8" t="s">
        <v>2176</v>
      </c>
      <c r="AZ180" s="8" t="b">
        <v>0</v>
      </c>
      <c r="BA180" s="8" t="s">
        <v>110</v>
      </c>
      <c r="BB180" s="9"/>
      <c r="BC180" s="9"/>
      <c r="BD180" s="9"/>
      <c r="BE180" s="8" t="s">
        <v>2203</v>
      </c>
      <c r="BF180" s="9"/>
      <c r="BG180" s="9"/>
      <c r="BH180" s="9"/>
      <c r="BI180" s="9"/>
      <c r="BJ180" s="9"/>
      <c r="BK180" s="9"/>
      <c r="BL180" s="9"/>
      <c r="BM180" s="9"/>
      <c r="BN180" s="9"/>
      <c r="BO180" s="9"/>
      <c r="BP180" s="9"/>
      <c r="BQ180" s="9"/>
      <c r="BR180" s="9"/>
      <c r="BS180" s="9"/>
      <c r="BT180" s="9"/>
      <c r="BU180" s="9"/>
      <c r="BV180" s="9"/>
      <c r="BW180" s="9"/>
      <c r="BX180" s="9"/>
      <c r="BY180" s="9"/>
      <c r="BZ180" s="9"/>
      <c r="CA180" s="9"/>
      <c r="CB180" s="8" t="s">
        <v>2204</v>
      </c>
      <c r="CC180" s="9"/>
      <c r="CD180" s="9"/>
      <c r="CE180" s="8" t="s">
        <v>366</v>
      </c>
      <c r="CF180" s="8" t="s">
        <v>2205</v>
      </c>
      <c r="CG180" s="9"/>
      <c r="CH180" s="9"/>
      <c r="CI180" s="9"/>
      <c r="CJ180" s="9"/>
      <c r="CK180" s="9"/>
      <c r="CL180" s="9"/>
      <c r="CM180" s="9"/>
      <c r="CN180" s="9"/>
      <c r="CO180" s="9"/>
      <c r="CP180" s="9"/>
    </row>
    <row r="181">
      <c r="A181" s="7" t="s">
        <v>2206</v>
      </c>
      <c r="B181" s="8" t="s">
        <v>2207</v>
      </c>
      <c r="C181" s="8" t="s">
        <v>2208</v>
      </c>
      <c r="D181" s="8" t="s">
        <v>94</v>
      </c>
      <c r="E181" s="8" t="s">
        <v>95</v>
      </c>
      <c r="F181" s="9"/>
      <c r="G181" s="8" t="s">
        <v>2209</v>
      </c>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t="str">
        <f t="shared" si="23"/>
        <v/>
      </c>
      <c r="AK181" s="8"/>
      <c r="AL181" s="8"/>
      <c r="AM181" s="8" t="s">
        <v>1477</v>
      </c>
      <c r="AN181" s="8" t="s">
        <v>2210</v>
      </c>
      <c r="AO181" s="9"/>
      <c r="AP181" s="9"/>
      <c r="AQ181" s="9"/>
      <c r="AR181" s="8" t="s">
        <v>1479</v>
      </c>
      <c r="AS181" s="8" t="s">
        <v>1480</v>
      </c>
      <c r="AT181" s="9"/>
      <c r="AU181" s="8" t="s">
        <v>2211</v>
      </c>
      <c r="AV181" s="8" t="s">
        <v>108</v>
      </c>
      <c r="AW181" s="9"/>
      <c r="AX181" s="9"/>
      <c r="AY181" s="8" t="s">
        <v>2176</v>
      </c>
      <c r="AZ181" s="8" t="b">
        <v>0</v>
      </c>
      <c r="BA181" s="8" t="s">
        <v>110</v>
      </c>
      <c r="BB181" s="9"/>
      <c r="BC181" s="9"/>
      <c r="BD181" s="9"/>
      <c r="BE181" s="8" t="s">
        <v>361</v>
      </c>
      <c r="BF181" s="9"/>
      <c r="BG181" s="9"/>
      <c r="BH181" s="9"/>
      <c r="BI181" s="9"/>
      <c r="BJ181" s="9"/>
      <c r="BK181" s="9"/>
      <c r="BL181" s="9"/>
      <c r="BM181" s="9"/>
      <c r="BN181" s="9"/>
      <c r="BO181" s="9"/>
      <c r="BP181" s="9"/>
      <c r="BQ181" s="9"/>
      <c r="BR181" s="9"/>
      <c r="BS181" s="9"/>
      <c r="BT181" s="9"/>
      <c r="BU181" s="9"/>
      <c r="BV181" s="9"/>
      <c r="BW181" s="9"/>
      <c r="BX181" s="9"/>
      <c r="BY181" s="9"/>
      <c r="BZ181" s="9"/>
      <c r="CA181" s="9"/>
      <c r="CB181" s="8" t="s">
        <v>2212</v>
      </c>
      <c r="CC181" s="9"/>
      <c r="CD181" s="9"/>
      <c r="CE181" s="8" t="s">
        <v>366</v>
      </c>
      <c r="CF181" s="8" t="s">
        <v>2213</v>
      </c>
      <c r="CG181" s="9"/>
      <c r="CH181" s="9"/>
      <c r="CI181" s="9"/>
      <c r="CJ181" s="9"/>
      <c r="CK181" s="9"/>
      <c r="CL181" s="9"/>
      <c r="CM181" s="9"/>
      <c r="CN181" s="9"/>
      <c r="CO181" s="9"/>
      <c r="CP181" s="9"/>
    </row>
    <row r="182">
      <c r="A182" s="7" t="s">
        <v>2214</v>
      </c>
      <c r="B182" s="8" t="s">
        <v>2215</v>
      </c>
      <c r="C182" s="8" t="s">
        <v>2216</v>
      </c>
      <c r="D182" s="8" t="s">
        <v>94</v>
      </c>
      <c r="E182" s="8" t="s">
        <v>95</v>
      </c>
      <c r="F182" s="9"/>
      <c r="G182" s="8" t="s">
        <v>2217</v>
      </c>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t="str">
        <f t="shared" si="23"/>
        <v/>
      </c>
      <c r="AK182" s="8"/>
      <c r="AL182" s="8"/>
      <c r="AM182" s="8" t="s">
        <v>1477</v>
      </c>
      <c r="AN182" s="8" t="s">
        <v>2218</v>
      </c>
      <c r="AO182" s="9"/>
      <c r="AP182" s="9"/>
      <c r="AQ182" s="9"/>
      <c r="AR182" s="8" t="s">
        <v>1479</v>
      </c>
      <c r="AS182" s="8" t="s">
        <v>1480</v>
      </c>
      <c r="AT182" s="9"/>
      <c r="AU182" s="8" t="s">
        <v>2219</v>
      </c>
      <c r="AV182" s="8" t="s">
        <v>2220</v>
      </c>
      <c r="AW182" s="9"/>
      <c r="AX182" s="9"/>
      <c r="AY182" s="8" t="s">
        <v>2176</v>
      </c>
      <c r="AZ182" s="8" t="b">
        <v>0</v>
      </c>
      <c r="BA182" s="8" t="s">
        <v>110</v>
      </c>
      <c r="BB182" s="9"/>
      <c r="BC182" s="9"/>
      <c r="BD182" s="9"/>
      <c r="BE182" s="8" t="s">
        <v>2221</v>
      </c>
      <c r="BF182" s="9"/>
      <c r="BG182" s="9"/>
      <c r="BH182" s="9"/>
      <c r="BI182" s="9"/>
      <c r="BJ182" s="9"/>
      <c r="BK182" s="9"/>
      <c r="BL182" s="9"/>
      <c r="BM182" s="9"/>
      <c r="BN182" s="9"/>
      <c r="BO182" s="9"/>
      <c r="BP182" s="9"/>
      <c r="BQ182" s="9"/>
      <c r="BR182" s="9"/>
      <c r="BS182" s="9"/>
      <c r="BT182" s="9"/>
      <c r="BU182" s="9"/>
      <c r="BV182" s="9"/>
      <c r="BW182" s="9"/>
      <c r="BX182" s="9"/>
      <c r="BY182" s="9"/>
      <c r="BZ182" s="9"/>
      <c r="CA182" s="9"/>
      <c r="CB182" s="8" t="s">
        <v>2222</v>
      </c>
      <c r="CC182" s="9"/>
      <c r="CD182" s="9"/>
      <c r="CE182" s="8" t="s">
        <v>366</v>
      </c>
      <c r="CF182" s="8" t="s">
        <v>2223</v>
      </c>
      <c r="CG182" s="9"/>
      <c r="CH182" s="9"/>
      <c r="CI182" s="9"/>
      <c r="CJ182" s="9"/>
      <c r="CK182" s="9"/>
      <c r="CL182" s="9"/>
      <c r="CM182" s="9"/>
      <c r="CN182" s="9"/>
      <c r="CO182" s="9"/>
      <c r="CP182" s="9"/>
    </row>
    <row r="183">
      <c r="A183" s="7" t="s">
        <v>2224</v>
      </c>
      <c r="B183" s="8" t="s">
        <v>2225</v>
      </c>
      <c r="C183" s="8" t="s">
        <v>2226</v>
      </c>
      <c r="D183" s="8" t="s">
        <v>94</v>
      </c>
      <c r="E183" s="8" t="s">
        <v>95</v>
      </c>
      <c r="F183" s="9"/>
      <c r="G183" s="8" t="s">
        <v>2227</v>
      </c>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t="str">
        <f t="shared" si="23"/>
        <v/>
      </c>
      <c r="AK183" s="8"/>
      <c r="AL183" s="8"/>
      <c r="AM183" s="8" t="s">
        <v>1477</v>
      </c>
      <c r="AN183" s="8" t="s">
        <v>2228</v>
      </c>
      <c r="AO183" s="9"/>
      <c r="AP183" s="9"/>
      <c r="AQ183" s="9"/>
      <c r="AR183" s="8" t="s">
        <v>1479</v>
      </c>
      <c r="AS183" s="8" t="s">
        <v>1480</v>
      </c>
      <c r="AT183" s="9"/>
      <c r="AU183" s="8" t="s">
        <v>2229</v>
      </c>
      <c r="AV183" s="8" t="s">
        <v>2220</v>
      </c>
      <c r="AW183" s="9"/>
      <c r="AX183" s="9"/>
      <c r="AY183" s="8" t="s">
        <v>2176</v>
      </c>
      <c r="AZ183" s="8" t="b">
        <v>0</v>
      </c>
      <c r="BA183" s="8" t="s">
        <v>110</v>
      </c>
      <c r="BB183" s="9"/>
      <c r="BC183" s="9"/>
      <c r="BD183" s="9"/>
      <c r="BE183" s="8" t="s">
        <v>2221</v>
      </c>
      <c r="BF183" s="9"/>
      <c r="BG183" s="9"/>
      <c r="BH183" s="9"/>
      <c r="BI183" s="9"/>
      <c r="BJ183" s="9"/>
      <c r="BK183" s="9"/>
      <c r="BL183" s="9"/>
      <c r="BM183" s="9"/>
      <c r="BN183" s="9"/>
      <c r="BO183" s="9"/>
      <c r="BP183" s="9"/>
      <c r="BQ183" s="9"/>
      <c r="BR183" s="9"/>
      <c r="BS183" s="9"/>
      <c r="BT183" s="9"/>
      <c r="BU183" s="9"/>
      <c r="BV183" s="9"/>
      <c r="BW183" s="9"/>
      <c r="BX183" s="9"/>
      <c r="BY183" s="9"/>
      <c r="BZ183" s="9"/>
      <c r="CA183" s="9"/>
      <c r="CB183" s="8" t="s">
        <v>2230</v>
      </c>
      <c r="CC183" s="9"/>
      <c r="CD183" s="9"/>
      <c r="CE183" s="8" t="s">
        <v>366</v>
      </c>
      <c r="CF183" s="8" t="s">
        <v>2231</v>
      </c>
      <c r="CG183" s="9"/>
      <c r="CH183" s="9"/>
      <c r="CI183" s="9"/>
      <c r="CJ183" s="9"/>
      <c r="CK183" s="9"/>
      <c r="CL183" s="9"/>
      <c r="CM183" s="9"/>
      <c r="CN183" s="9"/>
      <c r="CO183" s="9"/>
      <c r="CP183" s="9"/>
    </row>
    <row r="184">
      <c r="A184" s="7" t="s">
        <v>2232</v>
      </c>
      <c r="B184" s="8" t="s">
        <v>2233</v>
      </c>
      <c r="C184" s="8" t="s">
        <v>2234</v>
      </c>
      <c r="D184" s="8" t="s">
        <v>94</v>
      </c>
      <c r="E184" s="8" t="s">
        <v>95</v>
      </c>
      <c r="F184" s="9"/>
      <c r="G184" s="8" t="s">
        <v>2235</v>
      </c>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t="str">
        <f t="shared" si="23"/>
        <v/>
      </c>
      <c r="AK184" s="8"/>
      <c r="AL184" s="8"/>
      <c r="AM184" s="8" t="s">
        <v>1477</v>
      </c>
      <c r="AN184" s="8" t="s">
        <v>2236</v>
      </c>
      <c r="AO184" s="9"/>
      <c r="AP184" s="9"/>
      <c r="AQ184" s="9"/>
      <c r="AR184" s="8" t="s">
        <v>1479</v>
      </c>
      <c r="AS184" s="8" t="s">
        <v>1480</v>
      </c>
      <c r="AT184" s="9"/>
      <c r="AU184" s="8" t="s">
        <v>2237</v>
      </c>
      <c r="AV184" s="8" t="s">
        <v>108</v>
      </c>
      <c r="AW184" s="9"/>
      <c r="AX184" s="9"/>
      <c r="AY184" s="8" t="s">
        <v>2176</v>
      </c>
      <c r="AZ184" s="8" t="b">
        <v>0</v>
      </c>
      <c r="BA184" s="8" t="s">
        <v>110</v>
      </c>
      <c r="BB184" s="9"/>
      <c r="BC184" s="9"/>
      <c r="BD184" s="9"/>
      <c r="BE184" s="8" t="s">
        <v>2238</v>
      </c>
      <c r="BF184" s="9"/>
      <c r="BG184" s="9"/>
      <c r="BH184" s="9"/>
      <c r="BI184" s="9"/>
      <c r="BJ184" s="9"/>
      <c r="BK184" s="9"/>
      <c r="BL184" s="9"/>
      <c r="BM184" s="9"/>
      <c r="BN184" s="9"/>
      <c r="BO184" s="9"/>
      <c r="BP184" s="9"/>
      <c r="BQ184" s="9"/>
      <c r="BR184" s="9"/>
      <c r="BS184" s="9"/>
      <c r="BT184" s="9"/>
      <c r="BU184" s="9"/>
      <c r="BV184" s="9"/>
      <c r="BW184" s="9"/>
      <c r="BX184" s="9"/>
      <c r="BY184" s="9"/>
      <c r="BZ184" s="9"/>
      <c r="CA184" s="9"/>
      <c r="CB184" s="8" t="s">
        <v>2239</v>
      </c>
      <c r="CC184" s="9"/>
      <c r="CD184" s="9"/>
      <c r="CE184" s="8" t="s">
        <v>366</v>
      </c>
      <c r="CF184" s="8" t="s">
        <v>2240</v>
      </c>
      <c r="CG184" s="9"/>
      <c r="CH184" s="9"/>
      <c r="CI184" s="9"/>
      <c r="CJ184" s="9"/>
      <c r="CK184" s="9"/>
      <c r="CL184" s="9"/>
      <c r="CM184" s="9"/>
      <c r="CN184" s="9"/>
      <c r="CO184" s="9"/>
      <c r="CP184" s="9"/>
    </row>
    <row r="185">
      <c r="A185" s="7" t="s">
        <v>2241</v>
      </c>
      <c r="B185" s="8" t="s">
        <v>2242</v>
      </c>
      <c r="C185" s="8" t="s">
        <v>2243</v>
      </c>
      <c r="D185" s="8" t="s">
        <v>94</v>
      </c>
      <c r="E185" s="8" t="s">
        <v>95</v>
      </c>
      <c r="F185" s="9"/>
      <c r="G185" s="8" t="s">
        <v>2244</v>
      </c>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t="str">
        <f t="shared" si="23"/>
        <v/>
      </c>
      <c r="AK185" s="8"/>
      <c r="AL185" s="8"/>
      <c r="AM185" s="8" t="s">
        <v>1477</v>
      </c>
      <c r="AN185" s="8" t="s">
        <v>2245</v>
      </c>
      <c r="AO185" s="9"/>
      <c r="AP185" s="9"/>
      <c r="AQ185" s="9"/>
      <c r="AR185" s="8" t="s">
        <v>1479</v>
      </c>
      <c r="AS185" s="8" t="s">
        <v>1480</v>
      </c>
      <c r="AT185" s="9"/>
      <c r="AU185" s="8" t="s">
        <v>2246</v>
      </c>
      <c r="AV185" s="8" t="s">
        <v>108</v>
      </c>
      <c r="AW185" s="9"/>
      <c r="AX185" s="9"/>
      <c r="AY185" s="8" t="s">
        <v>2176</v>
      </c>
      <c r="AZ185" s="8" t="b">
        <v>0</v>
      </c>
      <c r="BA185" s="8" t="s">
        <v>110</v>
      </c>
      <c r="BB185" s="9"/>
      <c r="BC185" s="9"/>
      <c r="BD185" s="9"/>
      <c r="BE185" s="8" t="s">
        <v>1356</v>
      </c>
      <c r="BF185" s="9"/>
      <c r="BG185" s="9"/>
      <c r="BH185" s="9"/>
      <c r="BI185" s="9"/>
      <c r="BJ185" s="9"/>
      <c r="BK185" s="9"/>
      <c r="BL185" s="9"/>
      <c r="BM185" s="9"/>
      <c r="BN185" s="9"/>
      <c r="BO185" s="9"/>
      <c r="BP185" s="9"/>
      <c r="BQ185" s="9"/>
      <c r="BR185" s="9"/>
      <c r="BS185" s="9"/>
      <c r="BT185" s="9"/>
      <c r="BU185" s="9"/>
      <c r="BV185" s="9"/>
      <c r="BW185" s="9"/>
      <c r="BX185" s="9"/>
      <c r="BY185" s="9"/>
      <c r="BZ185" s="9"/>
      <c r="CA185" s="9"/>
      <c r="CB185" s="8" t="s">
        <v>2247</v>
      </c>
      <c r="CC185" s="9"/>
      <c r="CD185" s="9"/>
      <c r="CE185" s="8" t="s">
        <v>366</v>
      </c>
      <c r="CF185" s="8" t="s">
        <v>2248</v>
      </c>
      <c r="CG185" s="9"/>
      <c r="CH185" s="9"/>
      <c r="CI185" s="9"/>
      <c r="CJ185" s="9"/>
      <c r="CK185" s="9"/>
      <c r="CL185" s="9"/>
      <c r="CM185" s="9"/>
      <c r="CN185" s="9"/>
      <c r="CO185" s="9"/>
      <c r="CP185" s="9"/>
    </row>
    <row r="186">
      <c r="A186" s="7" t="s">
        <v>2249</v>
      </c>
      <c r="B186" s="8" t="s">
        <v>2250</v>
      </c>
      <c r="C186" s="8" t="s">
        <v>2251</v>
      </c>
      <c r="D186" s="8" t="s">
        <v>94</v>
      </c>
      <c r="E186" s="8" t="s">
        <v>95</v>
      </c>
      <c r="F186" s="9"/>
      <c r="G186" s="8" t="s">
        <v>2252</v>
      </c>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t="str">
        <f t="shared" si="23"/>
        <v/>
      </c>
      <c r="AK186" s="8"/>
      <c r="AL186" s="8"/>
      <c r="AM186" s="8" t="s">
        <v>1477</v>
      </c>
      <c r="AN186" s="8" t="s">
        <v>2253</v>
      </c>
      <c r="AO186" s="9"/>
      <c r="AP186" s="9"/>
      <c r="AQ186" s="9"/>
      <c r="AR186" s="8" t="s">
        <v>1479</v>
      </c>
      <c r="AS186" s="8" t="s">
        <v>1480</v>
      </c>
      <c r="AT186" s="9"/>
      <c r="AU186" s="8" t="s">
        <v>2254</v>
      </c>
      <c r="AV186" s="8" t="s">
        <v>108</v>
      </c>
      <c r="AW186" s="9"/>
      <c r="AX186" s="9"/>
      <c r="AY186" s="8" t="s">
        <v>2176</v>
      </c>
      <c r="AZ186" s="8" t="b">
        <v>0</v>
      </c>
      <c r="BA186" s="8" t="s">
        <v>110</v>
      </c>
      <c r="BB186" s="9"/>
      <c r="BC186" s="9"/>
      <c r="BD186" s="9"/>
      <c r="BE186" s="8" t="s">
        <v>2255</v>
      </c>
      <c r="BF186" s="9"/>
      <c r="BG186" s="9"/>
      <c r="BH186" s="9"/>
      <c r="BI186" s="9"/>
      <c r="BJ186" s="9"/>
      <c r="BK186" s="9"/>
      <c r="BL186" s="9"/>
      <c r="BM186" s="9"/>
      <c r="BN186" s="9"/>
      <c r="BO186" s="9"/>
      <c r="BP186" s="9"/>
      <c r="BQ186" s="9"/>
      <c r="BR186" s="9"/>
      <c r="BS186" s="9"/>
      <c r="BT186" s="9"/>
      <c r="BU186" s="9"/>
      <c r="BV186" s="9"/>
      <c r="BW186" s="9"/>
      <c r="BX186" s="9"/>
      <c r="BY186" s="9"/>
      <c r="BZ186" s="9"/>
      <c r="CA186" s="9"/>
      <c r="CB186" s="8" t="s">
        <v>2256</v>
      </c>
      <c r="CC186" s="9"/>
      <c r="CD186" s="9"/>
      <c r="CE186" s="8" t="s">
        <v>366</v>
      </c>
      <c r="CF186" s="8" t="s">
        <v>2257</v>
      </c>
      <c r="CG186" s="9"/>
      <c r="CH186" s="9"/>
      <c r="CI186" s="9"/>
      <c r="CJ186" s="9"/>
      <c r="CK186" s="9"/>
      <c r="CL186" s="9"/>
      <c r="CM186" s="9"/>
      <c r="CN186" s="9"/>
      <c r="CO186" s="9"/>
      <c r="CP186" s="9"/>
    </row>
    <row r="187">
      <c r="A187" s="7" t="s">
        <v>2258</v>
      </c>
      <c r="B187" s="8" t="s">
        <v>2259</v>
      </c>
      <c r="C187" s="8" t="s">
        <v>2260</v>
      </c>
      <c r="D187" s="8" t="s">
        <v>94</v>
      </c>
      <c r="E187" s="8" t="s">
        <v>95</v>
      </c>
      <c r="F187" s="9"/>
      <c r="G187" s="8" t="s">
        <v>2261</v>
      </c>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t="str">
        <f t="shared" si="23"/>
        <v/>
      </c>
      <c r="AK187" s="8"/>
      <c r="AL187" s="8"/>
      <c r="AM187" s="8" t="s">
        <v>1477</v>
      </c>
      <c r="AN187" s="8" t="s">
        <v>2262</v>
      </c>
      <c r="AO187" s="9"/>
      <c r="AP187" s="9"/>
      <c r="AQ187" s="9"/>
      <c r="AR187" s="8" t="s">
        <v>1479</v>
      </c>
      <c r="AS187" s="8" t="s">
        <v>1480</v>
      </c>
      <c r="AT187" s="9"/>
      <c r="AU187" s="8" t="s">
        <v>2263</v>
      </c>
      <c r="AV187" s="8" t="s">
        <v>108</v>
      </c>
      <c r="AW187" s="9"/>
      <c r="AX187" s="9"/>
      <c r="AY187" s="8" t="s">
        <v>2176</v>
      </c>
      <c r="AZ187" s="8" t="b">
        <v>0</v>
      </c>
      <c r="BA187" s="8" t="s">
        <v>110</v>
      </c>
      <c r="BB187" s="9"/>
      <c r="BC187" s="9"/>
      <c r="BD187" s="9"/>
      <c r="BE187" s="8" t="s">
        <v>2264</v>
      </c>
      <c r="BF187" s="9"/>
      <c r="BG187" s="9"/>
      <c r="BH187" s="9"/>
      <c r="BI187" s="9"/>
      <c r="BJ187" s="9"/>
      <c r="BK187" s="9"/>
      <c r="BL187" s="9"/>
      <c r="BM187" s="9"/>
      <c r="BN187" s="9"/>
      <c r="BO187" s="9"/>
      <c r="BP187" s="9"/>
      <c r="BQ187" s="9"/>
      <c r="BR187" s="9"/>
      <c r="BS187" s="9"/>
      <c r="BT187" s="9"/>
      <c r="BU187" s="9"/>
      <c r="BV187" s="9"/>
      <c r="BW187" s="9"/>
      <c r="BX187" s="9"/>
      <c r="BY187" s="9"/>
      <c r="BZ187" s="9"/>
      <c r="CA187" s="9"/>
      <c r="CB187" s="8" t="s">
        <v>2265</v>
      </c>
      <c r="CC187" s="9"/>
      <c r="CD187" s="9"/>
      <c r="CE187" s="8" t="s">
        <v>359</v>
      </c>
      <c r="CF187" s="8" t="s">
        <v>2266</v>
      </c>
      <c r="CG187" s="9"/>
      <c r="CH187" s="9"/>
      <c r="CI187" s="9"/>
      <c r="CJ187" s="9"/>
      <c r="CK187" s="9"/>
      <c r="CL187" s="9"/>
      <c r="CM187" s="9"/>
      <c r="CN187" s="9"/>
      <c r="CO187" s="9"/>
      <c r="CP187" s="9"/>
    </row>
    <row r="188">
      <c r="A188" s="7" t="s">
        <v>2267</v>
      </c>
      <c r="B188" s="8" t="s">
        <v>2268</v>
      </c>
      <c r="C188" s="8" t="s">
        <v>2269</v>
      </c>
      <c r="D188" s="8" t="s">
        <v>94</v>
      </c>
      <c r="E188" s="8" t="s">
        <v>95</v>
      </c>
      <c r="F188" s="9"/>
      <c r="G188" s="8" t="s">
        <v>2270</v>
      </c>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t="str">
        <f t="shared" si="23"/>
        <v/>
      </c>
      <c r="AK188" s="8"/>
      <c r="AL188" s="8"/>
      <c r="AM188" s="8" t="s">
        <v>1477</v>
      </c>
      <c r="AN188" s="8" t="s">
        <v>2271</v>
      </c>
      <c r="AO188" s="9"/>
      <c r="AP188" s="9"/>
      <c r="AQ188" s="9"/>
      <c r="AR188" s="8" t="s">
        <v>1479</v>
      </c>
      <c r="AS188" s="8" t="s">
        <v>1480</v>
      </c>
      <c r="AT188" s="9"/>
      <c r="AU188" s="8" t="s">
        <v>2272</v>
      </c>
      <c r="AV188" s="8" t="s">
        <v>108</v>
      </c>
      <c r="AW188" s="9"/>
      <c r="AX188" s="9"/>
      <c r="AY188" s="8" t="s">
        <v>2176</v>
      </c>
      <c r="AZ188" s="8" t="b">
        <v>0</v>
      </c>
      <c r="BA188" s="8" t="s">
        <v>110</v>
      </c>
      <c r="BB188" s="9"/>
      <c r="BC188" s="9"/>
      <c r="BD188" s="9"/>
      <c r="BE188" s="8" t="s">
        <v>2273</v>
      </c>
      <c r="BF188" s="9"/>
      <c r="BG188" s="9"/>
      <c r="BH188" s="9"/>
      <c r="BI188" s="9"/>
      <c r="BJ188" s="9"/>
      <c r="BK188" s="9"/>
      <c r="BL188" s="9"/>
      <c r="BM188" s="9"/>
      <c r="BN188" s="9"/>
      <c r="BO188" s="9"/>
      <c r="BP188" s="9"/>
      <c r="BQ188" s="9"/>
      <c r="BR188" s="9"/>
      <c r="BS188" s="9"/>
      <c r="BT188" s="9"/>
      <c r="BU188" s="9"/>
      <c r="BV188" s="9"/>
      <c r="BW188" s="9"/>
      <c r="BX188" s="9"/>
      <c r="BY188" s="9"/>
      <c r="BZ188" s="9"/>
      <c r="CA188" s="9"/>
      <c r="CB188" s="8" t="s">
        <v>2265</v>
      </c>
      <c r="CC188" s="9"/>
      <c r="CD188" s="9"/>
      <c r="CE188" s="8" t="s">
        <v>366</v>
      </c>
      <c r="CF188" s="8" t="s">
        <v>2274</v>
      </c>
      <c r="CG188" s="9"/>
      <c r="CH188" s="9"/>
      <c r="CI188" s="9"/>
      <c r="CJ188" s="9"/>
      <c r="CK188" s="9"/>
      <c r="CL188" s="9"/>
      <c r="CM188" s="9"/>
      <c r="CN188" s="9"/>
      <c r="CO188" s="9"/>
      <c r="CP188" s="9"/>
    </row>
    <row r="189">
      <c r="A189" s="7" t="s">
        <v>2275</v>
      </c>
      <c r="B189" s="8" t="s">
        <v>2276</v>
      </c>
      <c r="C189" s="8" t="s">
        <v>2277</v>
      </c>
      <c r="D189" s="8" t="s">
        <v>94</v>
      </c>
      <c r="E189" s="8" t="s">
        <v>95</v>
      </c>
      <c r="F189" s="9"/>
      <c r="G189" s="8" t="s">
        <v>2278</v>
      </c>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t="str">
        <f t="shared" si="23"/>
        <v/>
      </c>
      <c r="AK189" s="8"/>
      <c r="AL189" s="8"/>
      <c r="AM189" s="8" t="s">
        <v>1477</v>
      </c>
      <c r="AN189" s="8" t="s">
        <v>2279</v>
      </c>
      <c r="AO189" s="9"/>
      <c r="AP189" s="9"/>
      <c r="AQ189" s="9"/>
      <c r="AR189" s="8" t="s">
        <v>1479</v>
      </c>
      <c r="AS189" s="8" t="s">
        <v>1480</v>
      </c>
      <c r="AT189" s="9"/>
      <c r="AU189" s="8" t="s">
        <v>2280</v>
      </c>
      <c r="AV189" s="8" t="s">
        <v>108</v>
      </c>
      <c r="AW189" s="9"/>
      <c r="AX189" s="9"/>
      <c r="AY189" s="8" t="s">
        <v>2176</v>
      </c>
      <c r="AZ189" s="8" t="b">
        <v>0</v>
      </c>
      <c r="BA189" s="8" t="s">
        <v>110</v>
      </c>
      <c r="BB189" s="9"/>
      <c r="BC189" s="9"/>
      <c r="BD189" s="9"/>
      <c r="BE189" s="8" t="s">
        <v>1806</v>
      </c>
      <c r="BF189" s="9"/>
      <c r="BG189" s="9"/>
      <c r="BH189" s="9"/>
      <c r="BI189" s="9"/>
      <c r="BJ189" s="9"/>
      <c r="BK189" s="9"/>
      <c r="BL189" s="9"/>
      <c r="BM189" s="9"/>
      <c r="BN189" s="9"/>
      <c r="BO189" s="9"/>
      <c r="BP189" s="9"/>
      <c r="BQ189" s="9"/>
      <c r="BR189" s="9"/>
      <c r="BS189" s="9"/>
      <c r="BT189" s="9"/>
      <c r="BU189" s="9"/>
      <c r="BV189" s="9"/>
      <c r="BW189" s="9"/>
      <c r="BX189" s="9"/>
      <c r="BY189" s="9"/>
      <c r="BZ189" s="9"/>
      <c r="CA189" s="9"/>
      <c r="CB189" s="8" t="s">
        <v>1598</v>
      </c>
      <c r="CC189" s="9"/>
      <c r="CD189" s="9"/>
      <c r="CE189" s="8" t="s">
        <v>366</v>
      </c>
      <c r="CF189" s="8" t="s">
        <v>2281</v>
      </c>
      <c r="CG189" s="9"/>
      <c r="CH189" s="9"/>
      <c r="CI189" s="9"/>
      <c r="CJ189" s="9"/>
      <c r="CK189" s="9"/>
      <c r="CL189" s="9"/>
      <c r="CM189" s="9"/>
      <c r="CN189" s="9"/>
      <c r="CO189" s="9"/>
      <c r="CP189" s="9"/>
    </row>
    <row r="190">
      <c r="A190" s="7" t="s">
        <v>2282</v>
      </c>
      <c r="B190" s="8" t="s">
        <v>2283</v>
      </c>
      <c r="C190" s="8" t="s">
        <v>2284</v>
      </c>
      <c r="D190" s="8" t="s">
        <v>94</v>
      </c>
      <c r="E190" s="8" t="s">
        <v>95</v>
      </c>
      <c r="F190" s="9"/>
      <c r="G190" s="8" t="s">
        <v>2285</v>
      </c>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t="str">
        <f t="shared" si="23"/>
        <v/>
      </c>
      <c r="AK190" s="8"/>
      <c r="AL190" s="8"/>
      <c r="AM190" s="8" t="s">
        <v>1477</v>
      </c>
      <c r="AN190" s="8" t="s">
        <v>2286</v>
      </c>
      <c r="AO190" s="9"/>
      <c r="AP190" s="9"/>
      <c r="AQ190" s="9"/>
      <c r="AR190" s="8" t="s">
        <v>1479</v>
      </c>
      <c r="AS190" s="8" t="s">
        <v>1480</v>
      </c>
      <c r="AT190" s="9"/>
      <c r="AU190" s="8" t="s">
        <v>2287</v>
      </c>
      <c r="AV190" s="8" t="s">
        <v>2136</v>
      </c>
      <c r="AW190" s="9"/>
      <c r="AX190" s="9"/>
      <c r="AY190" s="8" t="s">
        <v>2176</v>
      </c>
      <c r="AZ190" s="8" t="b">
        <v>0</v>
      </c>
      <c r="BA190" s="8" t="s">
        <v>110</v>
      </c>
      <c r="BB190" s="9"/>
      <c r="BC190" s="9"/>
      <c r="BD190" s="9"/>
      <c r="BE190" s="8" t="s">
        <v>2288</v>
      </c>
      <c r="BF190" s="9"/>
      <c r="BG190" s="9"/>
      <c r="BH190" s="9"/>
      <c r="BI190" s="9"/>
      <c r="BJ190" s="9"/>
      <c r="BK190" s="9"/>
      <c r="BL190" s="9"/>
      <c r="BM190" s="9"/>
      <c r="BN190" s="9"/>
      <c r="BO190" s="9"/>
      <c r="BP190" s="9"/>
      <c r="BQ190" s="9"/>
      <c r="BR190" s="9"/>
      <c r="BS190" s="9"/>
      <c r="BT190" s="9"/>
      <c r="BU190" s="9"/>
      <c r="BV190" s="9"/>
      <c r="BW190" s="9"/>
      <c r="BX190" s="9"/>
      <c r="BY190" s="9"/>
      <c r="BZ190" s="9"/>
      <c r="CA190" s="9"/>
      <c r="CB190" s="8" t="s">
        <v>2289</v>
      </c>
      <c r="CC190" s="9"/>
      <c r="CD190" s="9"/>
      <c r="CE190" s="8" t="s">
        <v>366</v>
      </c>
      <c r="CF190" s="8" t="s">
        <v>2290</v>
      </c>
      <c r="CG190" s="9"/>
      <c r="CH190" s="9"/>
      <c r="CI190" s="9"/>
      <c r="CJ190" s="9"/>
      <c r="CK190" s="9"/>
      <c r="CL190" s="9"/>
      <c r="CM190" s="9"/>
      <c r="CN190" s="9"/>
      <c r="CO190" s="9"/>
      <c r="CP190" s="9"/>
    </row>
    <row r="191">
      <c r="A191" s="7" t="s">
        <v>2291</v>
      </c>
      <c r="B191" s="8" t="s">
        <v>2292</v>
      </c>
      <c r="C191" s="8" t="s">
        <v>2293</v>
      </c>
      <c r="D191" s="8" t="s">
        <v>94</v>
      </c>
      <c r="E191" s="8" t="s">
        <v>95</v>
      </c>
      <c r="F191" s="9"/>
      <c r="G191" s="8" t="s">
        <v>2294</v>
      </c>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t="str">
        <f t="shared" si="23"/>
        <v/>
      </c>
      <c r="AK191" s="8"/>
      <c r="AL191" s="8"/>
      <c r="AM191" s="8" t="s">
        <v>1477</v>
      </c>
      <c r="AN191" s="8" t="s">
        <v>2295</v>
      </c>
      <c r="AO191" s="9"/>
      <c r="AP191" s="9"/>
      <c r="AQ191" s="9"/>
      <c r="AR191" s="8" t="s">
        <v>1479</v>
      </c>
      <c r="AS191" s="8" t="s">
        <v>1480</v>
      </c>
      <c r="AT191" s="9"/>
      <c r="AU191" s="8" t="s">
        <v>2296</v>
      </c>
      <c r="AV191" s="8" t="s">
        <v>108</v>
      </c>
      <c r="AW191" s="9"/>
      <c r="AX191" s="9"/>
      <c r="AY191" s="8" t="s">
        <v>2176</v>
      </c>
      <c r="AZ191" s="8" t="b">
        <v>0</v>
      </c>
      <c r="BA191" s="8" t="s">
        <v>110</v>
      </c>
      <c r="BB191" s="9"/>
      <c r="BC191" s="9"/>
      <c r="BD191" s="9"/>
      <c r="BE191" s="8" t="s">
        <v>1295</v>
      </c>
      <c r="BF191" s="9"/>
      <c r="BG191" s="9"/>
      <c r="BH191" s="9"/>
      <c r="BI191" s="9"/>
      <c r="BJ191" s="9"/>
      <c r="BK191" s="9"/>
      <c r="BL191" s="9"/>
      <c r="BM191" s="9"/>
      <c r="BN191" s="9"/>
      <c r="BO191" s="9"/>
      <c r="BP191" s="9"/>
      <c r="BQ191" s="9"/>
      <c r="BR191" s="9"/>
      <c r="BS191" s="9"/>
      <c r="BT191" s="9"/>
      <c r="BU191" s="9"/>
      <c r="BV191" s="9"/>
      <c r="BW191" s="9"/>
      <c r="BX191" s="9"/>
      <c r="BY191" s="9"/>
      <c r="BZ191" s="9"/>
      <c r="CA191" s="9"/>
      <c r="CB191" s="8" t="s">
        <v>2297</v>
      </c>
      <c r="CC191" s="9"/>
      <c r="CD191" s="9"/>
      <c r="CE191" s="8" t="s">
        <v>366</v>
      </c>
      <c r="CF191" s="8" t="s">
        <v>2298</v>
      </c>
      <c r="CG191" s="9"/>
      <c r="CH191" s="9"/>
      <c r="CI191" s="9"/>
      <c r="CJ191" s="9"/>
      <c r="CK191" s="9"/>
      <c r="CL191" s="9"/>
      <c r="CM191" s="9"/>
      <c r="CN191" s="9"/>
      <c r="CO191" s="9"/>
      <c r="CP191" s="9"/>
    </row>
    <row r="192">
      <c r="A192" s="7" t="s">
        <v>2299</v>
      </c>
      <c r="B192" s="8" t="s">
        <v>2300</v>
      </c>
      <c r="C192" s="8" t="s">
        <v>2301</v>
      </c>
      <c r="D192" s="8" t="s">
        <v>94</v>
      </c>
      <c r="E192" s="8" t="s">
        <v>95</v>
      </c>
      <c r="F192" s="9"/>
      <c r="G192" s="8" t="s">
        <v>2302</v>
      </c>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t="str">
        <f t="shared" si="23"/>
        <v/>
      </c>
      <c r="AK192" s="8"/>
      <c r="AL192" s="8"/>
      <c r="AM192" s="8" t="s">
        <v>1477</v>
      </c>
      <c r="AN192" s="8" t="s">
        <v>2303</v>
      </c>
      <c r="AO192" s="9"/>
      <c r="AP192" s="9"/>
      <c r="AQ192" s="9"/>
      <c r="AR192" s="8" t="s">
        <v>1479</v>
      </c>
      <c r="AS192" s="8" t="s">
        <v>1480</v>
      </c>
      <c r="AT192" s="9"/>
      <c r="AU192" s="8" t="s">
        <v>2304</v>
      </c>
      <c r="AV192" s="8" t="s">
        <v>2305</v>
      </c>
      <c r="AW192" s="9"/>
      <c r="AX192" s="9"/>
      <c r="AY192" s="8" t="s">
        <v>2176</v>
      </c>
      <c r="AZ192" s="8" t="b">
        <v>0</v>
      </c>
      <c r="BA192" s="8" t="s">
        <v>110</v>
      </c>
      <c r="BB192" s="9"/>
      <c r="BC192" s="9"/>
      <c r="BD192" s="9"/>
      <c r="BE192" s="8" t="s">
        <v>2306</v>
      </c>
      <c r="BF192" s="9"/>
      <c r="BG192" s="9"/>
      <c r="BH192" s="9"/>
      <c r="BI192" s="9"/>
      <c r="BJ192" s="9"/>
      <c r="BK192" s="9"/>
      <c r="BL192" s="9"/>
      <c r="BM192" s="9"/>
      <c r="BN192" s="9"/>
      <c r="BO192" s="9"/>
      <c r="BP192" s="9"/>
      <c r="BQ192" s="9"/>
      <c r="BR192" s="9"/>
      <c r="BS192" s="9"/>
      <c r="BT192" s="9"/>
      <c r="BU192" s="9"/>
      <c r="BV192" s="9"/>
      <c r="BW192" s="9"/>
      <c r="BX192" s="9"/>
      <c r="BY192" s="9"/>
      <c r="BZ192" s="9"/>
      <c r="CA192" s="9"/>
      <c r="CB192" s="8" t="s">
        <v>2307</v>
      </c>
      <c r="CC192" s="9"/>
      <c r="CD192" s="9"/>
      <c r="CE192" s="8" t="s">
        <v>366</v>
      </c>
      <c r="CF192" s="8" t="s">
        <v>2308</v>
      </c>
      <c r="CG192" s="9"/>
      <c r="CH192" s="9"/>
      <c r="CI192" s="9"/>
      <c r="CJ192" s="9"/>
      <c r="CK192" s="9"/>
      <c r="CL192" s="9"/>
      <c r="CM192" s="9"/>
      <c r="CN192" s="9"/>
      <c r="CO192" s="9"/>
      <c r="CP192" s="9"/>
    </row>
    <row r="193">
      <c r="A193" s="7" t="s">
        <v>2309</v>
      </c>
      <c r="B193" s="8" t="s">
        <v>2310</v>
      </c>
      <c r="C193" s="8" t="s">
        <v>2311</v>
      </c>
      <c r="D193" s="8" t="s">
        <v>94</v>
      </c>
      <c r="E193" s="8" t="s">
        <v>95</v>
      </c>
      <c r="F193" s="9"/>
      <c r="G193" s="8" t="s">
        <v>2312</v>
      </c>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t="str">
        <f t="shared" si="23"/>
        <v/>
      </c>
      <c r="AK193" s="8"/>
      <c r="AL193" s="8"/>
      <c r="AM193" s="8" t="s">
        <v>1477</v>
      </c>
      <c r="AN193" s="8" t="s">
        <v>2313</v>
      </c>
      <c r="AO193" s="9"/>
      <c r="AP193" s="9"/>
      <c r="AQ193" s="9"/>
      <c r="AR193" s="8" t="s">
        <v>1479</v>
      </c>
      <c r="AS193" s="8" t="s">
        <v>1480</v>
      </c>
      <c r="AT193" s="9"/>
      <c r="AU193" s="8" t="s">
        <v>2314</v>
      </c>
      <c r="AV193" s="9"/>
      <c r="AW193" s="9"/>
      <c r="AX193" s="9"/>
      <c r="AY193" s="8" t="s">
        <v>2176</v>
      </c>
      <c r="AZ193" s="8" t="b">
        <v>0</v>
      </c>
      <c r="BA193" s="8" t="s">
        <v>190</v>
      </c>
      <c r="BB193" s="8" t="s">
        <v>191</v>
      </c>
      <c r="BC193" s="8" t="s">
        <v>2315</v>
      </c>
      <c r="BD193" s="9"/>
      <c r="BE193" s="8" t="s">
        <v>1356</v>
      </c>
      <c r="BF193" s="9"/>
      <c r="BG193" s="9"/>
      <c r="BH193" s="9"/>
      <c r="BI193" s="9"/>
      <c r="BJ193" s="9"/>
      <c r="BK193" s="8" t="s">
        <v>490</v>
      </c>
      <c r="BL193" s="9"/>
      <c r="BM193" s="9"/>
      <c r="BN193" s="9"/>
      <c r="BO193" s="9"/>
      <c r="BP193" s="9"/>
      <c r="BQ193" s="9"/>
      <c r="BR193" s="8" t="s">
        <v>193</v>
      </c>
      <c r="BS193" s="8" t="s">
        <v>194</v>
      </c>
      <c r="BT193" s="9"/>
      <c r="BU193" s="8" t="s">
        <v>2316</v>
      </c>
      <c r="BV193" s="8" t="s">
        <v>2317</v>
      </c>
      <c r="BW193" s="9"/>
      <c r="BX193" s="9"/>
      <c r="BY193" s="9"/>
      <c r="BZ193" s="9"/>
      <c r="CA193" s="9"/>
      <c r="CB193" s="8" t="s">
        <v>2318</v>
      </c>
      <c r="CC193" s="9"/>
      <c r="CD193" s="9"/>
      <c r="CE193" s="8" t="s">
        <v>115</v>
      </c>
      <c r="CF193" s="8" t="s">
        <v>2319</v>
      </c>
      <c r="CG193" s="9"/>
      <c r="CH193" s="9"/>
      <c r="CI193" s="9"/>
      <c r="CJ193" s="9"/>
      <c r="CK193" s="9"/>
      <c r="CL193" s="9"/>
      <c r="CM193" s="9"/>
      <c r="CN193" s="9"/>
      <c r="CO193" s="9"/>
      <c r="CP193" s="9"/>
    </row>
    <row r="194">
      <c r="A194" s="7" t="s">
        <v>2320</v>
      </c>
      <c r="B194" s="8" t="s">
        <v>2321</v>
      </c>
      <c r="C194" s="8" t="s">
        <v>2321</v>
      </c>
      <c r="D194" s="8" t="s">
        <v>354</v>
      </c>
      <c r="E194" s="8" t="s">
        <v>355</v>
      </c>
      <c r="F194" s="9"/>
      <c r="G194" s="8" t="s">
        <v>2322</v>
      </c>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t="str">
        <f t="shared" si="23"/>
        <v/>
      </c>
      <c r="AK194" s="8"/>
      <c r="AL194" s="8"/>
      <c r="AM194" s="8" t="s">
        <v>1217</v>
      </c>
      <c r="AN194" s="9"/>
      <c r="AO194" s="9"/>
      <c r="AP194" s="9"/>
      <c r="AQ194" s="9"/>
      <c r="AR194" s="8" t="s">
        <v>1218</v>
      </c>
      <c r="AS194" s="8" t="s">
        <v>1219</v>
      </c>
      <c r="AT194" s="9"/>
      <c r="AU194" s="8" t="s">
        <v>2323</v>
      </c>
      <c r="AV194" s="9"/>
      <c r="AW194" s="8" t="s">
        <v>156</v>
      </c>
      <c r="AX194" s="8" t="s">
        <v>412</v>
      </c>
      <c r="AY194" s="8" t="s">
        <v>2176</v>
      </c>
      <c r="AZ194" s="8" t="b">
        <v>0</v>
      </c>
      <c r="BA194" s="8" t="s">
        <v>190</v>
      </c>
      <c r="BB194" s="8" t="s">
        <v>1222</v>
      </c>
      <c r="BC194" s="9"/>
      <c r="BD194" s="9"/>
      <c r="BE194" s="8" t="s">
        <v>2324</v>
      </c>
      <c r="BF194" s="9"/>
      <c r="BG194" s="9"/>
      <c r="BH194" s="9"/>
      <c r="BI194" s="8" t="s">
        <v>2325</v>
      </c>
      <c r="BJ194" s="8" t="s">
        <v>2326</v>
      </c>
      <c r="BK194" s="9"/>
      <c r="BL194" s="9"/>
      <c r="BM194" s="9"/>
      <c r="BN194" s="9"/>
      <c r="BO194" s="9"/>
      <c r="BP194" s="9"/>
      <c r="BQ194" s="9"/>
      <c r="BR194" s="8" t="s">
        <v>1226</v>
      </c>
      <c r="BS194" s="8" t="s">
        <v>194</v>
      </c>
      <c r="BT194" s="9"/>
      <c r="BU194" s="9"/>
      <c r="BV194" s="8" t="s">
        <v>2327</v>
      </c>
      <c r="BW194" s="9"/>
      <c r="BX194" s="9"/>
      <c r="BY194" s="9"/>
      <c r="BZ194" s="9"/>
      <c r="CA194" s="9"/>
      <c r="CB194" s="8" t="s">
        <v>1366</v>
      </c>
      <c r="CC194" s="9"/>
      <c r="CD194" s="9"/>
      <c r="CE194" s="8" t="s">
        <v>366</v>
      </c>
      <c r="CF194" s="9"/>
      <c r="CG194" s="9"/>
      <c r="CH194" s="9"/>
      <c r="CI194" s="9"/>
      <c r="CJ194" s="9"/>
      <c r="CK194" s="9"/>
      <c r="CL194" s="9"/>
      <c r="CM194" s="9"/>
      <c r="CN194" s="9"/>
      <c r="CO194" s="9"/>
      <c r="CP194" s="9"/>
    </row>
    <row r="195">
      <c r="A195" s="4" t="s">
        <v>2328</v>
      </c>
      <c r="B195" s="5" t="s">
        <v>2329</v>
      </c>
      <c r="C195" s="5" t="s">
        <v>2330</v>
      </c>
      <c r="D195" s="5" t="s">
        <v>94</v>
      </c>
      <c r="E195" s="5" t="s">
        <v>95</v>
      </c>
      <c r="F195" s="6"/>
      <c r="G195" s="5" t="s">
        <v>2331</v>
      </c>
      <c r="H195" s="5" t="s">
        <v>97</v>
      </c>
      <c r="I195" s="5" t="s">
        <v>1329</v>
      </c>
      <c r="J195" s="5"/>
      <c r="K195" s="5"/>
      <c r="L195" s="5"/>
      <c r="M195" s="5" t="s">
        <v>2332</v>
      </c>
      <c r="N195" s="5" t="s">
        <v>2333</v>
      </c>
      <c r="O195" s="5" t="s">
        <v>2334</v>
      </c>
      <c r="P195" s="5" t="s">
        <v>2335</v>
      </c>
      <c r="Q195" s="5"/>
      <c r="R195" s="5"/>
      <c r="S195" s="5" t="s">
        <v>100</v>
      </c>
      <c r="T195" s="5" t="s">
        <v>100</v>
      </c>
      <c r="U195" s="5" t="s">
        <v>100</v>
      </c>
      <c r="V195" s="5" t="s">
        <v>100</v>
      </c>
      <c r="W195" s="5" t="s">
        <v>100</v>
      </c>
      <c r="X195" s="5" t="s">
        <v>2336</v>
      </c>
      <c r="Y195" s="5" t="s">
        <v>2337</v>
      </c>
      <c r="Z195" s="5" t="s">
        <v>2338</v>
      </c>
      <c r="AA195" s="5"/>
      <c r="AB195" s="5" t="s">
        <v>100</v>
      </c>
      <c r="AC195" s="5" t="s">
        <v>100</v>
      </c>
      <c r="AD195" s="5" t="s">
        <v>100</v>
      </c>
      <c r="AE195" s="5" t="s">
        <v>100</v>
      </c>
      <c r="AF195" s="5" t="s">
        <v>100</v>
      </c>
      <c r="AG195" s="5" t="s">
        <v>100</v>
      </c>
      <c r="AH195" s="5" t="s">
        <v>100</v>
      </c>
      <c r="AI195" s="5" t="s">
        <v>2339</v>
      </c>
      <c r="AJ195" s="5" t="s">
        <v>2340</v>
      </c>
      <c r="AK195" s="5" t="s">
        <v>124</v>
      </c>
      <c r="AL195" s="5" t="s">
        <v>124</v>
      </c>
      <c r="AM195" s="5" t="s">
        <v>105</v>
      </c>
      <c r="AN195" s="5" t="s">
        <v>2341</v>
      </c>
      <c r="AO195" s="6"/>
      <c r="AP195" s="6"/>
      <c r="AQ195" s="6"/>
      <c r="AR195" s="6"/>
      <c r="AS195" s="6"/>
      <c r="AT195" s="6"/>
      <c r="AU195" s="5" t="s">
        <v>2342</v>
      </c>
      <c r="AV195" s="5" t="s">
        <v>108</v>
      </c>
      <c r="AW195" s="6"/>
      <c r="AX195" s="6"/>
      <c r="AY195" s="5" t="s">
        <v>2343</v>
      </c>
      <c r="AZ195" s="5" t="b">
        <v>0</v>
      </c>
      <c r="BA195" s="5" t="s">
        <v>110</v>
      </c>
      <c r="BB195" s="5" t="s">
        <v>773</v>
      </c>
      <c r="BC195" s="6"/>
      <c r="BD195" s="6"/>
      <c r="BE195" s="5" t="s">
        <v>2344</v>
      </c>
      <c r="BF195" s="6"/>
      <c r="BG195" s="6"/>
      <c r="BH195" s="6"/>
      <c r="BI195" s="6"/>
      <c r="BJ195" s="6"/>
      <c r="BK195" s="6"/>
      <c r="BL195" s="6"/>
      <c r="BM195" s="6"/>
      <c r="BN195" s="6"/>
      <c r="BO195" s="6"/>
      <c r="BP195" s="6"/>
      <c r="BQ195" s="6"/>
      <c r="BR195" s="6"/>
      <c r="BS195" s="6"/>
      <c r="BT195" s="6"/>
      <c r="BU195" s="6"/>
      <c r="BV195" s="6"/>
      <c r="BW195" s="6"/>
      <c r="BX195" s="6"/>
      <c r="BY195" s="6"/>
      <c r="BZ195" s="6"/>
      <c r="CA195" s="6"/>
      <c r="CB195" s="5" t="s">
        <v>665</v>
      </c>
      <c r="CC195" s="6"/>
      <c r="CD195" s="6"/>
      <c r="CE195" s="5" t="s">
        <v>115</v>
      </c>
      <c r="CF195" s="5" t="s">
        <v>2345</v>
      </c>
      <c r="CG195" s="6"/>
      <c r="CH195" s="6"/>
      <c r="CI195" s="6"/>
      <c r="CJ195" s="6"/>
      <c r="CK195" s="6"/>
      <c r="CL195" s="6"/>
      <c r="CM195" s="6"/>
      <c r="CN195" s="6"/>
      <c r="CO195" s="6"/>
      <c r="CP195" s="6"/>
    </row>
    <row r="196">
      <c r="A196" s="7" t="s">
        <v>2346</v>
      </c>
      <c r="B196" s="8" t="s">
        <v>2347</v>
      </c>
      <c r="C196" s="8" t="s">
        <v>2348</v>
      </c>
      <c r="D196" s="8" t="s">
        <v>94</v>
      </c>
      <c r="E196" s="8" t="s">
        <v>95</v>
      </c>
      <c r="F196" s="9"/>
      <c r="G196" s="8" t="s">
        <v>2349</v>
      </c>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t="str">
        <f t="shared" ref="AJ196:AJ203" si="24">CONCATENATE(J196,K196,L196,Q196,R196,X196,Y196,AA196,AG196)</f>
        <v/>
      </c>
      <c r="AK196" s="8"/>
      <c r="AL196" s="8"/>
      <c r="AM196" s="8" t="s">
        <v>1477</v>
      </c>
      <c r="AN196" s="8" t="s">
        <v>2350</v>
      </c>
      <c r="AO196" s="9"/>
      <c r="AP196" s="9"/>
      <c r="AQ196" s="9"/>
      <c r="AR196" s="8" t="s">
        <v>1479</v>
      </c>
      <c r="AS196" s="8" t="s">
        <v>1480</v>
      </c>
      <c r="AT196" s="9"/>
      <c r="AU196" s="8" t="s">
        <v>2351</v>
      </c>
      <c r="AV196" s="8" t="s">
        <v>108</v>
      </c>
      <c r="AW196" s="9"/>
      <c r="AX196" s="9"/>
      <c r="AY196" s="8" t="s">
        <v>2343</v>
      </c>
      <c r="AZ196" s="8" t="b">
        <v>0</v>
      </c>
      <c r="BA196" s="8" t="s">
        <v>110</v>
      </c>
      <c r="BB196" s="8" t="s">
        <v>2352</v>
      </c>
      <c r="BC196" s="9"/>
      <c r="BD196" s="9"/>
      <c r="BE196" s="8" t="s">
        <v>2353</v>
      </c>
      <c r="BF196" s="9"/>
      <c r="BG196" s="9"/>
      <c r="BH196" s="9"/>
      <c r="BI196" s="9"/>
      <c r="BJ196" s="9"/>
      <c r="BK196" s="9"/>
      <c r="BL196" s="9"/>
      <c r="BM196" s="9"/>
      <c r="BN196" s="9"/>
      <c r="BO196" s="9"/>
      <c r="BP196" s="9"/>
      <c r="BQ196" s="9"/>
      <c r="BR196" s="9"/>
      <c r="BS196" s="9"/>
      <c r="BT196" s="9"/>
      <c r="BU196" s="9"/>
      <c r="BV196" s="9"/>
      <c r="BW196" s="9"/>
      <c r="BX196" s="9"/>
      <c r="BY196" s="9"/>
      <c r="BZ196" s="9"/>
      <c r="CA196" s="9"/>
      <c r="CB196" s="8" t="s">
        <v>2354</v>
      </c>
      <c r="CC196" s="9"/>
      <c r="CD196" s="9"/>
      <c r="CE196" s="8" t="s">
        <v>197</v>
      </c>
      <c r="CF196" s="8" t="s">
        <v>2355</v>
      </c>
      <c r="CG196" s="9"/>
      <c r="CH196" s="9"/>
      <c r="CI196" s="9"/>
      <c r="CJ196" s="9"/>
      <c r="CK196" s="9"/>
      <c r="CL196" s="9"/>
      <c r="CM196" s="9"/>
      <c r="CN196" s="9"/>
      <c r="CO196" s="9"/>
      <c r="CP196" s="9"/>
    </row>
    <row r="197">
      <c r="A197" s="7" t="s">
        <v>2356</v>
      </c>
      <c r="B197" s="8" t="s">
        <v>2357</v>
      </c>
      <c r="C197" s="8" t="s">
        <v>2358</v>
      </c>
      <c r="D197" s="8" t="s">
        <v>94</v>
      </c>
      <c r="E197" s="8" t="s">
        <v>95</v>
      </c>
      <c r="F197" s="9"/>
      <c r="G197" s="8" t="s">
        <v>2359</v>
      </c>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t="str">
        <f t="shared" si="24"/>
        <v/>
      </c>
      <c r="AK197" s="8"/>
      <c r="AL197" s="8"/>
      <c r="AM197" s="8" t="s">
        <v>1477</v>
      </c>
      <c r="AN197" s="8" t="s">
        <v>2360</v>
      </c>
      <c r="AO197" s="9"/>
      <c r="AP197" s="9"/>
      <c r="AQ197" s="9"/>
      <c r="AR197" s="8" t="s">
        <v>1479</v>
      </c>
      <c r="AS197" s="8" t="s">
        <v>1480</v>
      </c>
      <c r="AT197" s="9"/>
      <c r="AU197" s="8" t="s">
        <v>2361</v>
      </c>
      <c r="AV197" s="8" t="s">
        <v>108</v>
      </c>
      <c r="AW197" s="9"/>
      <c r="AX197" s="9"/>
      <c r="AY197" s="8" t="s">
        <v>2343</v>
      </c>
      <c r="AZ197" s="8" t="b">
        <v>0</v>
      </c>
      <c r="BA197" s="8" t="s">
        <v>110</v>
      </c>
      <c r="BB197" s="9"/>
      <c r="BC197" s="9"/>
      <c r="BD197" s="9"/>
      <c r="BE197" s="8" t="s">
        <v>2362</v>
      </c>
      <c r="BF197" s="9"/>
      <c r="BG197" s="9"/>
      <c r="BH197" s="9"/>
      <c r="BI197" s="9"/>
      <c r="BJ197" s="9"/>
      <c r="BK197" s="9"/>
      <c r="BL197" s="9"/>
      <c r="BM197" s="9"/>
      <c r="BN197" s="9"/>
      <c r="BO197" s="9"/>
      <c r="BP197" s="9"/>
      <c r="BQ197" s="9"/>
      <c r="BR197" s="9"/>
      <c r="BS197" s="9"/>
      <c r="BT197" s="9"/>
      <c r="BU197" s="9"/>
      <c r="BV197" s="9"/>
      <c r="BW197" s="9"/>
      <c r="BX197" s="9"/>
      <c r="BY197" s="9"/>
      <c r="BZ197" s="9"/>
      <c r="CA197" s="9"/>
      <c r="CB197" s="8" t="s">
        <v>2363</v>
      </c>
      <c r="CC197" s="9"/>
      <c r="CD197" s="9"/>
      <c r="CE197" s="8" t="s">
        <v>366</v>
      </c>
      <c r="CF197" s="8" t="s">
        <v>2364</v>
      </c>
      <c r="CG197" s="9"/>
      <c r="CH197" s="9"/>
      <c r="CI197" s="9"/>
      <c r="CJ197" s="9"/>
      <c r="CK197" s="9"/>
      <c r="CL197" s="9"/>
      <c r="CM197" s="9"/>
      <c r="CN197" s="9"/>
      <c r="CO197" s="9"/>
      <c r="CP197" s="9"/>
    </row>
    <row r="198">
      <c r="A198" s="7" t="s">
        <v>2365</v>
      </c>
      <c r="B198" s="8" t="s">
        <v>2366</v>
      </c>
      <c r="C198" s="8" t="s">
        <v>2367</v>
      </c>
      <c r="D198" s="8" t="s">
        <v>94</v>
      </c>
      <c r="E198" s="8" t="s">
        <v>95</v>
      </c>
      <c r="F198" s="9"/>
      <c r="G198" s="8" t="s">
        <v>2368</v>
      </c>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t="str">
        <f t="shared" si="24"/>
        <v/>
      </c>
      <c r="AK198" s="8"/>
      <c r="AL198" s="8"/>
      <c r="AM198" s="8" t="s">
        <v>1477</v>
      </c>
      <c r="AN198" s="8" t="s">
        <v>2369</v>
      </c>
      <c r="AO198" s="9"/>
      <c r="AP198" s="9"/>
      <c r="AQ198" s="9"/>
      <c r="AR198" s="8" t="s">
        <v>1479</v>
      </c>
      <c r="AS198" s="8" t="s">
        <v>1480</v>
      </c>
      <c r="AT198" s="9"/>
      <c r="AU198" s="8" t="s">
        <v>2370</v>
      </c>
      <c r="AV198" s="8" t="s">
        <v>2371</v>
      </c>
      <c r="AW198" s="9"/>
      <c r="AX198" s="9"/>
      <c r="AY198" s="8" t="s">
        <v>2343</v>
      </c>
      <c r="AZ198" s="8" t="b">
        <v>0</v>
      </c>
      <c r="BA198" s="8" t="s">
        <v>110</v>
      </c>
      <c r="BB198" s="9"/>
      <c r="BC198" s="9"/>
      <c r="BD198" s="9"/>
      <c r="BE198" s="8" t="s">
        <v>2372</v>
      </c>
      <c r="BF198" s="9"/>
      <c r="BG198" s="9"/>
      <c r="BH198" s="9"/>
      <c r="BI198" s="9"/>
      <c r="BJ198" s="9"/>
      <c r="BK198" s="9"/>
      <c r="BL198" s="9"/>
      <c r="BM198" s="9"/>
      <c r="BN198" s="9"/>
      <c r="BO198" s="9"/>
      <c r="BP198" s="9"/>
      <c r="BQ198" s="9"/>
      <c r="BR198" s="9"/>
      <c r="BS198" s="9"/>
      <c r="BT198" s="9"/>
      <c r="BU198" s="9"/>
      <c r="BV198" s="9"/>
      <c r="BW198" s="9"/>
      <c r="BX198" s="9"/>
      <c r="BY198" s="9"/>
      <c r="BZ198" s="9"/>
      <c r="CA198" s="9"/>
      <c r="CB198" s="8" t="s">
        <v>2373</v>
      </c>
      <c r="CC198" s="9"/>
      <c r="CD198" s="9"/>
      <c r="CE198" s="8" t="s">
        <v>366</v>
      </c>
      <c r="CF198" s="8" t="s">
        <v>2374</v>
      </c>
      <c r="CG198" s="9"/>
      <c r="CH198" s="9"/>
      <c r="CI198" s="9"/>
      <c r="CJ198" s="9"/>
      <c r="CK198" s="9"/>
      <c r="CL198" s="9"/>
      <c r="CM198" s="9"/>
      <c r="CN198" s="9"/>
      <c r="CO198" s="9"/>
      <c r="CP198" s="9"/>
    </row>
    <row r="199">
      <c r="A199" s="7" t="s">
        <v>2375</v>
      </c>
      <c r="B199" s="8" t="s">
        <v>2376</v>
      </c>
      <c r="C199" s="8" t="s">
        <v>2377</v>
      </c>
      <c r="D199" s="8" t="s">
        <v>94</v>
      </c>
      <c r="E199" s="8" t="s">
        <v>95</v>
      </c>
      <c r="F199" s="9"/>
      <c r="G199" s="8" t="s">
        <v>2378</v>
      </c>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t="str">
        <f t="shared" si="24"/>
        <v/>
      </c>
      <c r="AK199" s="8"/>
      <c r="AL199" s="8"/>
      <c r="AM199" s="8" t="s">
        <v>1477</v>
      </c>
      <c r="AN199" s="8" t="s">
        <v>2379</v>
      </c>
      <c r="AO199" s="9"/>
      <c r="AP199" s="9"/>
      <c r="AQ199" s="9"/>
      <c r="AR199" s="8" t="s">
        <v>1479</v>
      </c>
      <c r="AS199" s="8" t="s">
        <v>1480</v>
      </c>
      <c r="AT199" s="9"/>
      <c r="AU199" s="8" t="s">
        <v>2380</v>
      </c>
      <c r="AV199" s="9"/>
      <c r="AW199" s="9"/>
      <c r="AX199" s="9"/>
      <c r="AY199" s="8" t="s">
        <v>2343</v>
      </c>
      <c r="AZ199" s="8" t="b">
        <v>0</v>
      </c>
      <c r="BA199" s="8" t="s">
        <v>190</v>
      </c>
      <c r="BB199" s="8" t="s">
        <v>191</v>
      </c>
      <c r="BC199" s="9"/>
      <c r="BD199" s="9"/>
      <c r="BE199" s="8" t="s">
        <v>2381</v>
      </c>
      <c r="BF199" s="9"/>
      <c r="BG199" s="9"/>
      <c r="BH199" s="9"/>
      <c r="BI199" s="9"/>
      <c r="BJ199" s="9"/>
      <c r="BK199" s="9"/>
      <c r="BL199" s="9"/>
      <c r="BM199" s="9"/>
      <c r="BN199" s="9"/>
      <c r="BO199" s="9"/>
      <c r="BP199" s="9"/>
      <c r="BQ199" s="9"/>
      <c r="BR199" s="8" t="s">
        <v>193</v>
      </c>
      <c r="BS199" s="8" t="s">
        <v>194</v>
      </c>
      <c r="BT199" s="9"/>
      <c r="BU199" s="9"/>
      <c r="BV199" s="8" t="s">
        <v>2382</v>
      </c>
      <c r="BW199" s="9"/>
      <c r="BX199" s="9"/>
      <c r="BY199" s="9"/>
      <c r="BZ199" s="8" t="s">
        <v>100</v>
      </c>
      <c r="CA199" s="8" t="s">
        <v>100</v>
      </c>
      <c r="CB199" s="8" t="s">
        <v>2230</v>
      </c>
      <c r="CC199" s="9"/>
      <c r="CD199" s="9"/>
      <c r="CE199" s="8" t="s">
        <v>115</v>
      </c>
      <c r="CF199" s="8" t="s">
        <v>2383</v>
      </c>
      <c r="CG199" s="9"/>
      <c r="CH199" s="9"/>
      <c r="CI199" s="9"/>
      <c r="CJ199" s="9"/>
      <c r="CK199" s="9"/>
      <c r="CL199" s="9"/>
      <c r="CM199" s="9"/>
      <c r="CN199" s="9"/>
      <c r="CO199" s="9"/>
      <c r="CP199" s="9"/>
    </row>
    <row r="200">
      <c r="A200" s="7" t="s">
        <v>2384</v>
      </c>
      <c r="B200" s="8" t="s">
        <v>2385</v>
      </c>
      <c r="C200" s="8" t="s">
        <v>2386</v>
      </c>
      <c r="D200" s="8" t="s">
        <v>94</v>
      </c>
      <c r="E200" s="8" t="s">
        <v>95</v>
      </c>
      <c r="F200" s="9"/>
      <c r="G200" s="8" t="s">
        <v>2387</v>
      </c>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t="str">
        <f t="shared" si="24"/>
        <v/>
      </c>
      <c r="AK200" s="8"/>
      <c r="AL200" s="8"/>
      <c r="AM200" s="8" t="s">
        <v>1477</v>
      </c>
      <c r="AN200" s="8" t="s">
        <v>2388</v>
      </c>
      <c r="AO200" s="9"/>
      <c r="AP200" s="9"/>
      <c r="AQ200" s="9"/>
      <c r="AR200" s="8" t="s">
        <v>1479</v>
      </c>
      <c r="AS200" s="8" t="s">
        <v>1480</v>
      </c>
      <c r="AT200" s="9"/>
      <c r="AU200" s="8" t="s">
        <v>2389</v>
      </c>
      <c r="AV200" s="9"/>
      <c r="AW200" s="9"/>
      <c r="AX200" s="9"/>
      <c r="AY200" s="8" t="s">
        <v>2343</v>
      </c>
      <c r="AZ200" s="8" t="b">
        <v>0</v>
      </c>
      <c r="BA200" s="8" t="s">
        <v>190</v>
      </c>
      <c r="BB200" s="8" t="s">
        <v>191</v>
      </c>
      <c r="BC200" s="9"/>
      <c r="BD200" s="9"/>
      <c r="BE200" s="8" t="s">
        <v>1137</v>
      </c>
      <c r="BF200" s="9"/>
      <c r="BG200" s="9"/>
      <c r="BH200" s="9"/>
      <c r="BI200" s="9"/>
      <c r="BJ200" s="9"/>
      <c r="BK200" s="8" t="s">
        <v>2390</v>
      </c>
      <c r="BL200" s="9"/>
      <c r="BM200" s="9"/>
      <c r="BN200" s="9"/>
      <c r="BO200" s="9"/>
      <c r="BP200" s="9"/>
      <c r="BQ200" s="9"/>
      <c r="BR200" s="8" t="s">
        <v>193</v>
      </c>
      <c r="BS200" s="8" t="s">
        <v>194</v>
      </c>
      <c r="BT200" s="9"/>
      <c r="BU200" s="9"/>
      <c r="BV200" s="8" t="s">
        <v>1842</v>
      </c>
      <c r="BW200" s="9"/>
      <c r="BX200" s="9"/>
      <c r="BY200" s="9"/>
      <c r="BZ200" s="8" t="s">
        <v>100</v>
      </c>
      <c r="CA200" s="8" t="s">
        <v>100</v>
      </c>
      <c r="CB200" s="8" t="s">
        <v>2391</v>
      </c>
      <c r="CC200" s="9"/>
      <c r="CD200" s="9"/>
      <c r="CE200" s="8" t="s">
        <v>115</v>
      </c>
      <c r="CF200" s="8" t="s">
        <v>2392</v>
      </c>
      <c r="CG200" s="9"/>
      <c r="CH200" s="9"/>
      <c r="CI200" s="9"/>
      <c r="CJ200" s="9"/>
      <c r="CK200" s="9"/>
      <c r="CL200" s="9"/>
      <c r="CM200" s="9"/>
      <c r="CN200" s="9"/>
      <c r="CO200" s="9"/>
      <c r="CP200" s="9"/>
    </row>
    <row r="201">
      <c r="A201" s="7" t="s">
        <v>2393</v>
      </c>
      <c r="B201" s="8" t="s">
        <v>2394</v>
      </c>
      <c r="C201" s="8" t="s">
        <v>2395</v>
      </c>
      <c r="D201" s="8" t="s">
        <v>94</v>
      </c>
      <c r="E201" s="8" t="s">
        <v>95</v>
      </c>
      <c r="F201" s="9"/>
      <c r="G201" s="8" t="s">
        <v>2396</v>
      </c>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t="str">
        <f t="shared" si="24"/>
        <v/>
      </c>
      <c r="AK201" s="8"/>
      <c r="AL201" s="8"/>
      <c r="AM201" s="8" t="s">
        <v>1477</v>
      </c>
      <c r="AN201" s="8" t="s">
        <v>2397</v>
      </c>
      <c r="AO201" s="9"/>
      <c r="AP201" s="9"/>
      <c r="AQ201" s="9"/>
      <c r="AR201" s="8" t="s">
        <v>1479</v>
      </c>
      <c r="AS201" s="8" t="s">
        <v>1480</v>
      </c>
      <c r="AT201" s="9"/>
      <c r="AU201" s="8" t="s">
        <v>2398</v>
      </c>
      <c r="AV201" s="8" t="s">
        <v>108</v>
      </c>
      <c r="AW201" s="9"/>
      <c r="AX201" s="9"/>
      <c r="AY201" s="8" t="s">
        <v>2343</v>
      </c>
      <c r="AZ201" s="8" t="b">
        <v>0</v>
      </c>
      <c r="BA201" s="8" t="s">
        <v>110</v>
      </c>
      <c r="BB201" s="9"/>
      <c r="BC201" s="9"/>
      <c r="BD201" s="9"/>
      <c r="BE201" s="8" t="s">
        <v>2399</v>
      </c>
      <c r="BF201" s="9"/>
      <c r="BG201" s="9"/>
      <c r="BH201" s="9"/>
      <c r="BI201" s="9"/>
      <c r="BJ201" s="9"/>
      <c r="BK201" s="9"/>
      <c r="BL201" s="9"/>
      <c r="BM201" s="9"/>
      <c r="BN201" s="9"/>
      <c r="BO201" s="9"/>
      <c r="BP201" s="9"/>
      <c r="BQ201" s="9"/>
      <c r="BR201" s="9"/>
      <c r="BS201" s="9"/>
      <c r="BT201" s="9"/>
      <c r="BU201" s="9"/>
      <c r="BV201" s="9"/>
      <c r="BW201" s="9"/>
      <c r="BX201" s="9"/>
      <c r="BY201" s="9"/>
      <c r="BZ201" s="9"/>
      <c r="CA201" s="9"/>
      <c r="CB201" s="8" t="s">
        <v>1922</v>
      </c>
      <c r="CC201" s="9"/>
      <c r="CD201" s="9"/>
      <c r="CE201" s="8" t="s">
        <v>115</v>
      </c>
      <c r="CF201" s="8" t="s">
        <v>2400</v>
      </c>
      <c r="CG201" s="9"/>
      <c r="CH201" s="9"/>
      <c r="CI201" s="9"/>
      <c r="CJ201" s="9"/>
      <c r="CK201" s="9"/>
      <c r="CL201" s="9"/>
      <c r="CM201" s="9"/>
      <c r="CN201" s="9"/>
      <c r="CO201" s="9"/>
      <c r="CP201" s="9"/>
    </row>
    <row r="202">
      <c r="A202" s="7" t="s">
        <v>2401</v>
      </c>
      <c r="B202" s="8" t="s">
        <v>2402</v>
      </c>
      <c r="C202" s="8" t="s">
        <v>2403</v>
      </c>
      <c r="D202" s="8" t="s">
        <v>94</v>
      </c>
      <c r="E202" s="8" t="s">
        <v>95</v>
      </c>
      <c r="F202" s="9"/>
      <c r="G202" s="8" t="s">
        <v>2404</v>
      </c>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t="str">
        <f t="shared" si="24"/>
        <v/>
      </c>
      <c r="AK202" s="8"/>
      <c r="AL202" s="8"/>
      <c r="AM202" s="8" t="s">
        <v>1477</v>
      </c>
      <c r="AN202" s="8" t="s">
        <v>2405</v>
      </c>
      <c r="AO202" s="9"/>
      <c r="AP202" s="9"/>
      <c r="AQ202" s="9"/>
      <c r="AR202" s="8" t="s">
        <v>1479</v>
      </c>
      <c r="AS202" s="8" t="s">
        <v>1480</v>
      </c>
      <c r="AT202" s="9"/>
      <c r="AU202" s="8" t="s">
        <v>2406</v>
      </c>
      <c r="AV202" s="8" t="s">
        <v>108</v>
      </c>
      <c r="AW202" s="9"/>
      <c r="AX202" s="9"/>
      <c r="AY202" s="8" t="s">
        <v>2343</v>
      </c>
      <c r="AZ202" s="8" t="b">
        <v>0</v>
      </c>
      <c r="BA202" s="8" t="s">
        <v>110</v>
      </c>
      <c r="BB202" s="9"/>
      <c r="BC202" s="9"/>
      <c r="BD202" s="9"/>
      <c r="BE202" s="8" t="s">
        <v>1295</v>
      </c>
      <c r="BF202" s="9"/>
      <c r="BG202" s="9"/>
      <c r="BH202" s="9"/>
      <c r="BI202" s="9"/>
      <c r="BJ202" s="9"/>
      <c r="BK202" s="9"/>
      <c r="BL202" s="9"/>
      <c r="BM202" s="9"/>
      <c r="BN202" s="9"/>
      <c r="BO202" s="9"/>
      <c r="BP202" s="9"/>
      <c r="BQ202" s="9"/>
      <c r="BR202" s="9"/>
      <c r="BS202" s="9"/>
      <c r="BT202" s="9"/>
      <c r="BU202" s="9"/>
      <c r="BV202" s="9"/>
      <c r="BW202" s="9"/>
      <c r="BX202" s="9"/>
      <c r="BY202" s="9"/>
      <c r="BZ202" s="9"/>
      <c r="CA202" s="9"/>
      <c r="CB202" s="8" t="s">
        <v>2407</v>
      </c>
      <c r="CC202" s="9"/>
      <c r="CD202" s="9"/>
      <c r="CE202" s="8" t="s">
        <v>366</v>
      </c>
      <c r="CF202" s="8" t="s">
        <v>2408</v>
      </c>
      <c r="CG202" s="9"/>
      <c r="CH202" s="9"/>
      <c r="CI202" s="9"/>
      <c r="CJ202" s="9"/>
      <c r="CK202" s="9"/>
      <c r="CL202" s="9"/>
      <c r="CM202" s="9"/>
      <c r="CN202" s="9"/>
      <c r="CO202" s="9"/>
      <c r="CP202" s="9"/>
    </row>
    <row r="203">
      <c r="A203" s="7" t="s">
        <v>2409</v>
      </c>
      <c r="B203" s="8" t="s">
        <v>2410</v>
      </c>
      <c r="C203" s="8" t="s">
        <v>2411</v>
      </c>
      <c r="D203" s="8" t="s">
        <v>94</v>
      </c>
      <c r="E203" s="8" t="s">
        <v>95</v>
      </c>
      <c r="F203" s="9"/>
      <c r="G203" s="8" t="s">
        <v>2412</v>
      </c>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t="str">
        <f t="shared" si="24"/>
        <v/>
      </c>
      <c r="AK203" s="8"/>
      <c r="AL203" s="8"/>
      <c r="AM203" s="8" t="s">
        <v>2413</v>
      </c>
      <c r="AN203" s="8" t="s">
        <v>2414</v>
      </c>
      <c r="AO203" s="9"/>
      <c r="AP203" s="9"/>
      <c r="AQ203" s="9"/>
      <c r="AR203" s="9"/>
      <c r="AS203" s="9"/>
      <c r="AT203" s="9"/>
      <c r="AU203" s="8" t="s">
        <v>2415</v>
      </c>
      <c r="AV203" s="9"/>
      <c r="AW203" s="9"/>
      <c r="AX203" s="9"/>
      <c r="AY203" s="8" t="s">
        <v>2343</v>
      </c>
      <c r="AZ203" s="8" t="b">
        <v>0</v>
      </c>
      <c r="BA203" s="8" t="s">
        <v>190</v>
      </c>
      <c r="BB203" s="8" t="s">
        <v>191</v>
      </c>
      <c r="BC203" s="9"/>
      <c r="BD203" s="9"/>
      <c r="BE203" s="8" t="s">
        <v>2416</v>
      </c>
      <c r="BF203" s="9"/>
      <c r="BG203" s="9"/>
      <c r="BH203" s="9"/>
      <c r="BI203" s="9"/>
      <c r="BJ203" s="9"/>
      <c r="BK203" s="9"/>
      <c r="BL203" s="9"/>
      <c r="BM203" s="9"/>
      <c r="BN203" s="9"/>
      <c r="BO203" s="9"/>
      <c r="BP203" s="9"/>
      <c r="BQ203" s="9"/>
      <c r="BR203" s="8" t="s">
        <v>193</v>
      </c>
      <c r="BS203" s="8" t="s">
        <v>194</v>
      </c>
      <c r="BT203" s="8" t="s">
        <v>2417</v>
      </c>
      <c r="BU203" s="9"/>
      <c r="BV203" s="8" t="s">
        <v>2418</v>
      </c>
      <c r="BW203" s="9"/>
      <c r="BX203" s="9"/>
      <c r="BY203" s="8" t="s">
        <v>2419</v>
      </c>
      <c r="BZ203" s="9"/>
      <c r="CA203" s="9"/>
      <c r="CB203" s="8" t="s">
        <v>2420</v>
      </c>
      <c r="CC203" s="9"/>
      <c r="CD203" s="9"/>
      <c r="CE203" s="8" t="s">
        <v>115</v>
      </c>
      <c r="CF203" s="8" t="s">
        <v>2421</v>
      </c>
      <c r="CG203" s="9"/>
      <c r="CH203" s="9"/>
      <c r="CI203" s="9"/>
      <c r="CJ203" s="9"/>
      <c r="CK203" s="9"/>
      <c r="CL203" s="9"/>
      <c r="CM203" s="9"/>
      <c r="CN203" s="9"/>
      <c r="CO203" s="9"/>
      <c r="CP203" s="9"/>
    </row>
    <row r="204">
      <c r="A204" s="4" t="s">
        <v>2422</v>
      </c>
      <c r="B204" s="5" t="s">
        <v>2423</v>
      </c>
      <c r="C204" s="5" t="s">
        <v>2424</v>
      </c>
      <c r="D204" s="5" t="s">
        <v>94</v>
      </c>
      <c r="E204" s="5" t="s">
        <v>95</v>
      </c>
      <c r="F204" s="6"/>
      <c r="G204" s="5" t="s">
        <v>2425</v>
      </c>
      <c r="H204" s="5" t="s">
        <v>97</v>
      </c>
      <c r="I204" s="5" t="s">
        <v>1329</v>
      </c>
      <c r="J204" s="5"/>
      <c r="K204" s="5"/>
      <c r="L204" s="5"/>
      <c r="M204" s="5" t="s">
        <v>2426</v>
      </c>
      <c r="N204" s="5" t="s">
        <v>2427</v>
      </c>
      <c r="O204" s="5" t="s">
        <v>2428</v>
      </c>
      <c r="P204" s="5" t="s">
        <v>2429</v>
      </c>
      <c r="Q204" s="5"/>
      <c r="R204" s="5"/>
      <c r="S204" s="5" t="s">
        <v>100</v>
      </c>
      <c r="T204" s="5"/>
      <c r="U204" s="5"/>
      <c r="V204" s="5"/>
      <c r="W204" s="5"/>
      <c r="X204" s="5"/>
      <c r="Y204" s="5" t="s">
        <v>2430</v>
      </c>
      <c r="Z204" s="5" t="s">
        <v>2431</v>
      </c>
      <c r="AA204" s="5"/>
      <c r="AB204" s="5"/>
      <c r="AC204" s="5"/>
      <c r="AD204" s="5"/>
      <c r="AE204" s="5"/>
      <c r="AF204" s="5"/>
      <c r="AG204" s="5"/>
      <c r="AH204" s="5"/>
      <c r="AI204" s="5" t="s">
        <v>2432</v>
      </c>
      <c r="AJ204" s="5" t="s">
        <v>2433</v>
      </c>
      <c r="AK204" s="5" t="s">
        <v>124</v>
      </c>
      <c r="AL204" s="5" t="s">
        <v>124</v>
      </c>
      <c r="AM204" s="5" t="s">
        <v>105</v>
      </c>
      <c r="AN204" s="5" t="s">
        <v>2434</v>
      </c>
      <c r="AO204" s="6"/>
      <c r="AP204" s="6"/>
      <c r="AQ204" s="6"/>
      <c r="AR204" s="6"/>
      <c r="AS204" s="6"/>
      <c r="AT204" s="6"/>
      <c r="AU204" s="5" t="s">
        <v>2435</v>
      </c>
      <c r="AV204" s="5" t="s">
        <v>108</v>
      </c>
      <c r="AW204" s="6"/>
      <c r="AX204" s="6"/>
      <c r="AY204" s="5" t="s">
        <v>2436</v>
      </c>
      <c r="AZ204" s="5" t="b">
        <v>0</v>
      </c>
      <c r="BA204" s="5" t="s">
        <v>110</v>
      </c>
      <c r="BB204" s="5" t="s">
        <v>773</v>
      </c>
      <c r="BC204" s="6"/>
      <c r="BD204" s="6"/>
      <c r="BE204" s="5" t="s">
        <v>2437</v>
      </c>
      <c r="BF204" s="6"/>
      <c r="BG204" s="6"/>
      <c r="BH204" s="6"/>
      <c r="BI204" s="6"/>
      <c r="BJ204" s="6"/>
      <c r="BK204" s="6"/>
      <c r="BL204" s="6"/>
      <c r="BM204" s="6"/>
      <c r="BN204" s="6"/>
      <c r="BO204" s="6"/>
      <c r="BP204" s="6"/>
      <c r="BQ204" s="6"/>
      <c r="BR204" s="6"/>
      <c r="BS204" s="6"/>
      <c r="BT204" s="6"/>
      <c r="BU204" s="6"/>
      <c r="BV204" s="6"/>
      <c r="BW204" s="6"/>
      <c r="BX204" s="6"/>
      <c r="BY204" s="6"/>
      <c r="BZ204" s="6"/>
      <c r="CA204" s="6"/>
      <c r="CB204" s="5" t="s">
        <v>665</v>
      </c>
      <c r="CC204" s="6"/>
      <c r="CD204" s="6"/>
      <c r="CE204" s="5" t="s">
        <v>115</v>
      </c>
      <c r="CF204" s="5" t="s">
        <v>2438</v>
      </c>
      <c r="CG204" s="6"/>
      <c r="CH204" s="6"/>
      <c r="CI204" s="6"/>
      <c r="CJ204" s="6"/>
      <c r="CK204" s="6"/>
      <c r="CL204" s="6"/>
      <c r="CM204" s="6"/>
      <c r="CN204" s="6"/>
      <c r="CO204" s="6"/>
      <c r="CP204" s="6"/>
    </row>
    <row r="205">
      <c r="A205" s="7" t="s">
        <v>2439</v>
      </c>
      <c r="B205" s="8" t="s">
        <v>2440</v>
      </c>
      <c r="C205" s="8" t="s">
        <v>2441</v>
      </c>
      <c r="D205" s="8" t="s">
        <v>94</v>
      </c>
      <c r="E205" s="8" t="s">
        <v>95</v>
      </c>
      <c r="F205" s="9"/>
      <c r="G205" s="8" t="s">
        <v>2442</v>
      </c>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t="s">
        <v>105</v>
      </c>
      <c r="AN205" s="8" t="s">
        <v>2443</v>
      </c>
      <c r="AO205" s="9"/>
      <c r="AP205" s="9"/>
      <c r="AQ205" s="9"/>
      <c r="AR205" s="9"/>
      <c r="AS205" s="9"/>
      <c r="AT205" s="9"/>
      <c r="AU205" s="8" t="s">
        <v>2444</v>
      </c>
      <c r="AV205" s="9"/>
      <c r="AW205" s="9"/>
      <c r="AX205" s="9"/>
      <c r="AY205" s="8" t="s">
        <v>2436</v>
      </c>
      <c r="AZ205" s="8" t="b">
        <v>0</v>
      </c>
      <c r="BA205" s="8" t="s">
        <v>190</v>
      </c>
      <c r="BB205" s="8" t="s">
        <v>191</v>
      </c>
      <c r="BC205" s="9"/>
      <c r="BD205" s="9"/>
      <c r="BE205" s="8" t="s">
        <v>2445</v>
      </c>
      <c r="BF205" s="9"/>
      <c r="BG205" s="9"/>
      <c r="BH205" s="9"/>
      <c r="BI205" s="9"/>
      <c r="BJ205" s="9"/>
      <c r="BK205" s="9"/>
      <c r="BL205" s="9"/>
      <c r="BM205" s="9"/>
      <c r="BN205" s="9"/>
      <c r="BO205" s="9"/>
      <c r="BP205" s="9"/>
      <c r="BQ205" s="9"/>
      <c r="BR205" s="8" t="s">
        <v>193</v>
      </c>
      <c r="BS205" s="8" t="s">
        <v>2446</v>
      </c>
      <c r="BT205" s="9"/>
      <c r="BU205" s="9"/>
      <c r="BV205" s="9"/>
      <c r="BW205" s="9"/>
      <c r="BX205" s="9"/>
      <c r="BY205" s="9"/>
      <c r="BZ205" s="9"/>
      <c r="CA205" s="9"/>
      <c r="CB205" s="8" t="s">
        <v>665</v>
      </c>
      <c r="CC205" s="9"/>
      <c r="CD205" s="9"/>
      <c r="CE205" s="8" t="s">
        <v>302</v>
      </c>
      <c r="CF205" s="8" t="s">
        <v>2447</v>
      </c>
      <c r="CG205" s="9"/>
      <c r="CH205" s="9"/>
      <c r="CI205" s="9"/>
      <c r="CJ205" s="9"/>
      <c r="CK205" s="9"/>
      <c r="CL205" s="9"/>
      <c r="CM205" s="9"/>
      <c r="CN205" s="9"/>
      <c r="CO205" s="9"/>
      <c r="CP205" s="9"/>
    </row>
    <row r="206">
      <c r="A206" s="7" t="s">
        <v>2448</v>
      </c>
      <c r="B206" s="8" t="s">
        <v>2449</v>
      </c>
      <c r="C206" s="8" t="s">
        <v>2450</v>
      </c>
      <c r="D206" s="8" t="s">
        <v>94</v>
      </c>
      <c r="E206" s="8" t="s">
        <v>95</v>
      </c>
      <c r="F206" s="9"/>
      <c r="G206" s="8" t="s">
        <v>2451</v>
      </c>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t="str">
        <f t="shared" ref="AJ206:AJ218" si="25">CONCATENATE(J206,K206,L206,Q206,R206,X206,Y206,AA206,AG206)</f>
        <v/>
      </c>
      <c r="AK206" s="8"/>
      <c r="AL206" s="8"/>
      <c r="AM206" s="8" t="s">
        <v>105</v>
      </c>
      <c r="AN206" s="8" t="s">
        <v>2452</v>
      </c>
      <c r="AO206" s="9"/>
      <c r="AP206" s="8" t="s">
        <v>713</v>
      </c>
      <c r="AQ206" s="9"/>
      <c r="AR206" s="9"/>
      <c r="AS206" s="9"/>
      <c r="AT206" s="9"/>
      <c r="AU206" s="8" t="s">
        <v>2453</v>
      </c>
      <c r="AV206" s="9"/>
      <c r="AW206" s="9"/>
      <c r="AX206" s="9"/>
      <c r="AY206" s="8" t="s">
        <v>2436</v>
      </c>
      <c r="AZ206" s="8" t="b">
        <v>0</v>
      </c>
      <c r="BA206" s="8" t="s">
        <v>190</v>
      </c>
      <c r="BB206" s="8" t="s">
        <v>2454</v>
      </c>
      <c r="BC206" s="9"/>
      <c r="BD206" s="9"/>
      <c r="BE206" s="8" t="s">
        <v>2455</v>
      </c>
      <c r="BF206" s="9"/>
      <c r="BG206" s="9"/>
      <c r="BH206" s="9"/>
      <c r="BI206" s="9"/>
      <c r="BJ206" s="9"/>
      <c r="BK206" s="9"/>
      <c r="BL206" s="9"/>
      <c r="BM206" s="9"/>
      <c r="BN206" s="9"/>
      <c r="BO206" s="9"/>
      <c r="BP206" s="9"/>
      <c r="BQ206" s="9"/>
      <c r="BR206" s="8" t="s">
        <v>193</v>
      </c>
      <c r="BS206" s="8" t="s">
        <v>2456</v>
      </c>
      <c r="BT206" s="9"/>
      <c r="BU206" s="9"/>
      <c r="BV206" s="9"/>
      <c r="BW206" s="9"/>
      <c r="BX206" s="9"/>
      <c r="BY206" s="9"/>
      <c r="BZ206" s="9"/>
      <c r="CA206" s="9"/>
      <c r="CB206" s="8" t="s">
        <v>2457</v>
      </c>
      <c r="CC206" s="9"/>
      <c r="CD206" s="9"/>
      <c r="CE206" s="8" t="s">
        <v>412</v>
      </c>
      <c r="CF206" s="8" t="s">
        <v>2458</v>
      </c>
      <c r="CG206" s="9"/>
      <c r="CH206" s="9"/>
      <c r="CI206" s="9"/>
      <c r="CJ206" s="9"/>
      <c r="CK206" s="9"/>
      <c r="CL206" s="9"/>
      <c r="CM206" s="9"/>
      <c r="CN206" s="9"/>
      <c r="CO206" s="9"/>
      <c r="CP206" s="9"/>
    </row>
    <row r="207">
      <c r="A207" s="7" t="s">
        <v>2459</v>
      </c>
      <c r="B207" s="8" t="s">
        <v>2460</v>
      </c>
      <c r="C207" s="8" t="s">
        <v>2461</v>
      </c>
      <c r="D207" s="8" t="s">
        <v>94</v>
      </c>
      <c r="E207" s="8" t="s">
        <v>95</v>
      </c>
      <c r="F207" s="9"/>
      <c r="G207" s="8" t="s">
        <v>2462</v>
      </c>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t="str">
        <f t="shared" si="25"/>
        <v/>
      </c>
      <c r="AK207" s="8"/>
      <c r="AL207" s="8"/>
      <c r="AM207" s="8" t="s">
        <v>105</v>
      </c>
      <c r="AN207" s="8" t="s">
        <v>2463</v>
      </c>
      <c r="AO207" s="9"/>
      <c r="AP207" s="9"/>
      <c r="AQ207" s="9"/>
      <c r="AR207" s="9"/>
      <c r="AS207" s="9"/>
      <c r="AT207" s="9"/>
      <c r="AU207" s="8" t="s">
        <v>2464</v>
      </c>
      <c r="AV207" s="9"/>
      <c r="AW207" s="9"/>
      <c r="AX207" s="9"/>
      <c r="AY207" s="8" t="s">
        <v>2436</v>
      </c>
      <c r="AZ207" s="8" t="b">
        <v>0</v>
      </c>
      <c r="BA207" s="8" t="s">
        <v>190</v>
      </c>
      <c r="BB207" s="8" t="s">
        <v>191</v>
      </c>
      <c r="BC207" s="9"/>
      <c r="BD207" s="9"/>
      <c r="BE207" s="8" t="s">
        <v>2465</v>
      </c>
      <c r="BF207" s="9"/>
      <c r="BG207" s="9"/>
      <c r="BH207" s="9"/>
      <c r="BI207" s="9"/>
      <c r="BJ207" s="9"/>
      <c r="BK207" s="9"/>
      <c r="BL207" s="9"/>
      <c r="BM207" s="9"/>
      <c r="BN207" s="9"/>
      <c r="BO207" s="9"/>
      <c r="BP207" s="9"/>
      <c r="BQ207" s="9"/>
      <c r="BR207" s="8" t="s">
        <v>193</v>
      </c>
      <c r="BS207" s="8" t="s">
        <v>194</v>
      </c>
      <c r="BT207" s="8" t="s">
        <v>2466</v>
      </c>
      <c r="BU207" s="9"/>
      <c r="BV207" s="8" t="s">
        <v>2467</v>
      </c>
      <c r="BW207" s="9"/>
      <c r="BX207" s="9"/>
      <c r="BY207" s="9"/>
      <c r="BZ207" s="9"/>
      <c r="CA207" s="9"/>
      <c r="CB207" s="8" t="s">
        <v>2468</v>
      </c>
      <c r="CC207" s="9"/>
      <c r="CD207" s="9"/>
      <c r="CE207" s="8" t="s">
        <v>450</v>
      </c>
      <c r="CF207" s="8" t="s">
        <v>2469</v>
      </c>
      <c r="CG207" s="9"/>
      <c r="CH207" s="9"/>
      <c r="CI207" s="9"/>
      <c r="CJ207" s="9"/>
      <c r="CK207" s="9"/>
      <c r="CL207" s="9"/>
      <c r="CM207" s="9"/>
      <c r="CN207" s="9"/>
      <c r="CO207" s="9"/>
      <c r="CP207" s="9"/>
    </row>
    <row r="208">
      <c r="A208" s="7" t="s">
        <v>2470</v>
      </c>
      <c r="B208" s="8" t="s">
        <v>2471</v>
      </c>
      <c r="C208" s="8" t="s">
        <v>2472</v>
      </c>
      <c r="D208" s="8" t="s">
        <v>94</v>
      </c>
      <c r="E208" s="8" t="s">
        <v>95</v>
      </c>
      <c r="F208" s="9"/>
      <c r="G208" s="8" t="s">
        <v>2473</v>
      </c>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t="str">
        <f t="shared" si="25"/>
        <v/>
      </c>
      <c r="AK208" s="8"/>
      <c r="AL208" s="8"/>
      <c r="AM208" s="8" t="s">
        <v>1477</v>
      </c>
      <c r="AN208" s="8" t="s">
        <v>2474</v>
      </c>
      <c r="AO208" s="9"/>
      <c r="AP208" s="9"/>
      <c r="AQ208" s="9"/>
      <c r="AR208" s="8" t="s">
        <v>1479</v>
      </c>
      <c r="AS208" s="8" t="s">
        <v>1480</v>
      </c>
      <c r="AT208" s="9"/>
      <c r="AU208" s="8" t="s">
        <v>2475</v>
      </c>
      <c r="AV208" s="8" t="s">
        <v>108</v>
      </c>
      <c r="AW208" s="9"/>
      <c r="AX208" s="9"/>
      <c r="AY208" s="8" t="s">
        <v>2436</v>
      </c>
      <c r="AZ208" s="8" t="b">
        <v>0</v>
      </c>
      <c r="BA208" s="8" t="s">
        <v>110</v>
      </c>
      <c r="BB208" s="8" t="s">
        <v>2476</v>
      </c>
      <c r="BC208" s="9"/>
      <c r="BD208" s="9"/>
      <c r="BE208" s="8" t="s">
        <v>2477</v>
      </c>
      <c r="BF208" s="9"/>
      <c r="BG208" s="9"/>
      <c r="BH208" s="9"/>
      <c r="BI208" s="9"/>
      <c r="BJ208" s="9"/>
      <c r="BK208" s="9"/>
      <c r="BL208" s="9"/>
      <c r="BM208" s="9"/>
      <c r="BN208" s="9"/>
      <c r="BO208" s="9"/>
      <c r="BP208" s="9"/>
      <c r="BQ208" s="9"/>
      <c r="BR208" s="9"/>
      <c r="BS208" s="9"/>
      <c r="BT208" s="9"/>
      <c r="BU208" s="9"/>
      <c r="BV208" s="9"/>
      <c r="BW208" s="9"/>
      <c r="BX208" s="9"/>
      <c r="BY208" s="9"/>
      <c r="BZ208" s="9"/>
      <c r="CA208" s="9"/>
      <c r="CB208" s="8" t="s">
        <v>2354</v>
      </c>
      <c r="CC208" s="9"/>
      <c r="CD208" s="9"/>
      <c r="CE208" s="8" t="s">
        <v>197</v>
      </c>
      <c r="CF208" s="8" t="s">
        <v>2478</v>
      </c>
      <c r="CG208" s="9"/>
      <c r="CH208" s="9"/>
      <c r="CI208" s="9"/>
      <c r="CJ208" s="9"/>
      <c r="CK208" s="9"/>
      <c r="CL208" s="9"/>
      <c r="CM208" s="9"/>
      <c r="CN208" s="9"/>
      <c r="CO208" s="9"/>
      <c r="CP208" s="9"/>
    </row>
    <row r="209">
      <c r="A209" s="7" t="s">
        <v>2479</v>
      </c>
      <c r="B209" s="8" t="s">
        <v>2480</v>
      </c>
      <c r="C209" s="8" t="s">
        <v>2481</v>
      </c>
      <c r="D209" s="8" t="s">
        <v>94</v>
      </c>
      <c r="E209" s="8" t="s">
        <v>95</v>
      </c>
      <c r="F209" s="9"/>
      <c r="G209" s="8" t="s">
        <v>2482</v>
      </c>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t="str">
        <f t="shared" si="25"/>
        <v/>
      </c>
      <c r="AK209" s="8"/>
      <c r="AL209" s="8"/>
      <c r="AM209" s="8" t="s">
        <v>1477</v>
      </c>
      <c r="AN209" s="8" t="s">
        <v>2483</v>
      </c>
      <c r="AO209" s="9"/>
      <c r="AP209" s="9"/>
      <c r="AQ209" s="9"/>
      <c r="AR209" s="8" t="s">
        <v>1479</v>
      </c>
      <c r="AS209" s="8" t="s">
        <v>1480</v>
      </c>
      <c r="AT209" s="9"/>
      <c r="AU209" s="8" t="s">
        <v>2484</v>
      </c>
      <c r="AV209" s="8" t="s">
        <v>108</v>
      </c>
      <c r="AW209" s="9"/>
      <c r="AX209" s="9"/>
      <c r="AY209" s="8" t="s">
        <v>2436</v>
      </c>
      <c r="AZ209" s="8" t="b">
        <v>0</v>
      </c>
      <c r="BA209" s="8" t="s">
        <v>110</v>
      </c>
      <c r="BB209" s="8" t="s">
        <v>2485</v>
      </c>
      <c r="BC209" s="9"/>
      <c r="BD209" s="9"/>
      <c r="BE209" s="8" t="s">
        <v>2486</v>
      </c>
      <c r="BF209" s="9"/>
      <c r="BG209" s="9"/>
      <c r="BH209" s="9"/>
      <c r="BI209" s="9"/>
      <c r="BJ209" s="9"/>
      <c r="BK209" s="9"/>
      <c r="BL209" s="9"/>
      <c r="BM209" s="9"/>
      <c r="BN209" s="9"/>
      <c r="BO209" s="9"/>
      <c r="BP209" s="9"/>
      <c r="BQ209" s="9"/>
      <c r="BR209" s="9"/>
      <c r="BS209" s="9"/>
      <c r="BT209" s="9"/>
      <c r="BU209" s="9"/>
      <c r="BV209" s="9"/>
      <c r="BW209" s="9"/>
      <c r="BX209" s="9"/>
      <c r="BY209" s="9"/>
      <c r="BZ209" s="9"/>
      <c r="CA209" s="9"/>
      <c r="CB209" s="8" t="s">
        <v>2487</v>
      </c>
      <c r="CC209" s="9"/>
      <c r="CD209" s="9"/>
      <c r="CE209" s="8" t="s">
        <v>366</v>
      </c>
      <c r="CF209" s="8" t="s">
        <v>2488</v>
      </c>
      <c r="CG209" s="9"/>
      <c r="CH209" s="9"/>
      <c r="CI209" s="9"/>
      <c r="CJ209" s="9"/>
      <c r="CK209" s="9"/>
      <c r="CL209" s="9"/>
      <c r="CM209" s="9"/>
      <c r="CN209" s="9"/>
      <c r="CO209" s="9"/>
      <c r="CP209" s="9"/>
    </row>
    <row r="210">
      <c r="A210" s="7" t="s">
        <v>2489</v>
      </c>
      <c r="B210" s="8" t="s">
        <v>2490</v>
      </c>
      <c r="C210" s="8" t="s">
        <v>2491</v>
      </c>
      <c r="D210" s="8" t="s">
        <v>94</v>
      </c>
      <c r="E210" s="8" t="s">
        <v>95</v>
      </c>
      <c r="F210" s="9"/>
      <c r="G210" s="8" t="s">
        <v>2492</v>
      </c>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t="str">
        <f t="shared" si="25"/>
        <v/>
      </c>
      <c r="AK210" s="8"/>
      <c r="AL210" s="8"/>
      <c r="AM210" s="8" t="s">
        <v>1477</v>
      </c>
      <c r="AN210" s="8" t="s">
        <v>2493</v>
      </c>
      <c r="AO210" s="9"/>
      <c r="AP210" s="9"/>
      <c r="AQ210" s="9"/>
      <c r="AR210" s="8" t="s">
        <v>1479</v>
      </c>
      <c r="AS210" s="8" t="s">
        <v>1480</v>
      </c>
      <c r="AT210" s="9"/>
      <c r="AU210" s="8" t="s">
        <v>2494</v>
      </c>
      <c r="AV210" s="8" t="s">
        <v>108</v>
      </c>
      <c r="AW210" s="9"/>
      <c r="AX210" s="9"/>
      <c r="AY210" s="8" t="s">
        <v>2436</v>
      </c>
      <c r="AZ210" s="8" t="b">
        <v>0</v>
      </c>
      <c r="BA210" s="8" t="s">
        <v>110</v>
      </c>
      <c r="BB210" s="9"/>
      <c r="BC210" s="9"/>
      <c r="BD210" s="9"/>
      <c r="BE210" s="8" t="s">
        <v>2495</v>
      </c>
      <c r="BF210" s="9"/>
      <c r="BG210" s="9"/>
      <c r="BH210" s="9"/>
      <c r="BI210" s="9"/>
      <c r="BJ210" s="9"/>
      <c r="BK210" s="9"/>
      <c r="BL210" s="9"/>
      <c r="BM210" s="9"/>
      <c r="BN210" s="9"/>
      <c r="BO210" s="9"/>
      <c r="BP210" s="9"/>
      <c r="BQ210" s="9"/>
      <c r="BR210" s="9"/>
      <c r="BS210" s="9"/>
      <c r="BT210" s="9"/>
      <c r="BU210" s="9"/>
      <c r="BV210" s="9"/>
      <c r="BW210" s="9"/>
      <c r="BX210" s="9"/>
      <c r="BY210" s="9"/>
      <c r="BZ210" s="9"/>
      <c r="CA210" s="9"/>
      <c r="CB210" s="8" t="s">
        <v>2212</v>
      </c>
      <c r="CC210" s="9"/>
      <c r="CD210" s="9"/>
      <c r="CE210" s="8" t="s">
        <v>115</v>
      </c>
      <c r="CF210" s="8" t="s">
        <v>2496</v>
      </c>
      <c r="CG210" s="9"/>
      <c r="CH210" s="9"/>
      <c r="CI210" s="9"/>
      <c r="CJ210" s="9"/>
      <c r="CK210" s="9"/>
      <c r="CL210" s="9"/>
      <c r="CM210" s="9"/>
      <c r="CN210" s="9"/>
      <c r="CO210" s="9"/>
      <c r="CP210" s="9"/>
    </row>
    <row r="211">
      <c r="A211" s="7" t="s">
        <v>2497</v>
      </c>
      <c r="B211" s="8" t="s">
        <v>2498</v>
      </c>
      <c r="C211" s="8" t="s">
        <v>2499</v>
      </c>
      <c r="D211" s="8" t="s">
        <v>94</v>
      </c>
      <c r="E211" s="8" t="s">
        <v>95</v>
      </c>
      <c r="F211" s="9"/>
      <c r="G211" s="8" t="s">
        <v>2500</v>
      </c>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t="str">
        <f t="shared" si="25"/>
        <v/>
      </c>
      <c r="AK211" s="8"/>
      <c r="AL211" s="8"/>
      <c r="AM211" s="8" t="s">
        <v>1477</v>
      </c>
      <c r="AN211" s="8" t="s">
        <v>2501</v>
      </c>
      <c r="AO211" s="9"/>
      <c r="AP211" s="9"/>
      <c r="AQ211" s="9"/>
      <c r="AR211" s="8" t="s">
        <v>1479</v>
      </c>
      <c r="AS211" s="8" t="s">
        <v>1480</v>
      </c>
      <c r="AT211" s="9"/>
      <c r="AU211" s="8" t="s">
        <v>2502</v>
      </c>
      <c r="AV211" s="9"/>
      <c r="AW211" s="9"/>
      <c r="AX211" s="9"/>
      <c r="AY211" s="8" t="s">
        <v>2436</v>
      </c>
      <c r="AZ211" s="8" t="b">
        <v>0</v>
      </c>
      <c r="BA211" s="8" t="s">
        <v>190</v>
      </c>
      <c r="BB211" s="8" t="s">
        <v>191</v>
      </c>
      <c r="BC211" s="9"/>
      <c r="BD211" s="9"/>
      <c r="BE211" s="8" t="s">
        <v>2503</v>
      </c>
      <c r="BF211" s="9"/>
      <c r="BG211" s="9"/>
      <c r="BH211" s="9"/>
      <c r="BI211" s="9"/>
      <c r="BJ211" s="9"/>
      <c r="BK211" s="9"/>
      <c r="BL211" s="9"/>
      <c r="BM211" s="9"/>
      <c r="BN211" s="9"/>
      <c r="BO211" s="9"/>
      <c r="BP211" s="9"/>
      <c r="BQ211" s="9"/>
      <c r="BR211" s="8" t="s">
        <v>193</v>
      </c>
      <c r="BS211" s="8" t="s">
        <v>194</v>
      </c>
      <c r="BT211" s="8" t="s">
        <v>1551</v>
      </c>
      <c r="BU211" s="9"/>
      <c r="BV211" s="8" t="s">
        <v>2504</v>
      </c>
      <c r="BW211" s="9"/>
      <c r="BX211" s="9"/>
      <c r="BY211" s="9"/>
      <c r="BZ211" s="8" t="s">
        <v>100</v>
      </c>
      <c r="CA211" s="8" t="s">
        <v>100</v>
      </c>
      <c r="CB211" s="8" t="s">
        <v>2239</v>
      </c>
      <c r="CC211" s="9"/>
      <c r="CD211" s="9"/>
      <c r="CE211" s="8" t="s">
        <v>197</v>
      </c>
      <c r="CF211" s="8" t="s">
        <v>2505</v>
      </c>
      <c r="CG211" s="9"/>
      <c r="CH211" s="9"/>
      <c r="CI211" s="9"/>
      <c r="CJ211" s="9"/>
      <c r="CK211" s="9"/>
      <c r="CL211" s="9"/>
      <c r="CM211" s="9"/>
      <c r="CN211" s="9"/>
      <c r="CO211" s="9"/>
      <c r="CP211" s="9"/>
    </row>
    <row r="212">
      <c r="A212" s="7" t="s">
        <v>2506</v>
      </c>
      <c r="B212" s="8" t="s">
        <v>2507</v>
      </c>
      <c r="C212" s="8" t="s">
        <v>2508</v>
      </c>
      <c r="D212" s="8" t="s">
        <v>94</v>
      </c>
      <c r="E212" s="8" t="s">
        <v>95</v>
      </c>
      <c r="F212" s="9"/>
      <c r="G212" s="8" t="s">
        <v>2509</v>
      </c>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t="str">
        <f t="shared" si="25"/>
        <v/>
      </c>
      <c r="AK212" s="8"/>
      <c r="AL212" s="8"/>
      <c r="AM212" s="8" t="s">
        <v>1477</v>
      </c>
      <c r="AN212" s="8" t="s">
        <v>2510</v>
      </c>
      <c r="AO212" s="9"/>
      <c r="AP212" s="9"/>
      <c r="AQ212" s="9"/>
      <c r="AR212" s="8" t="s">
        <v>1479</v>
      </c>
      <c r="AS212" s="8" t="s">
        <v>1480</v>
      </c>
      <c r="AT212" s="9"/>
      <c r="AU212" s="8" t="s">
        <v>2511</v>
      </c>
      <c r="AV212" s="8" t="s">
        <v>108</v>
      </c>
      <c r="AW212" s="9"/>
      <c r="AX212" s="9"/>
      <c r="AY212" s="8" t="s">
        <v>2436</v>
      </c>
      <c r="AZ212" s="8" t="b">
        <v>0</v>
      </c>
      <c r="BA212" s="8" t="s">
        <v>110</v>
      </c>
      <c r="BB212" s="9"/>
      <c r="BC212" s="9"/>
      <c r="BD212" s="9"/>
      <c r="BE212" s="8" t="s">
        <v>2512</v>
      </c>
      <c r="BF212" s="9"/>
      <c r="BG212" s="9"/>
      <c r="BH212" s="9"/>
      <c r="BI212" s="9"/>
      <c r="BJ212" s="9"/>
      <c r="BK212" s="9"/>
      <c r="BL212" s="9"/>
      <c r="BM212" s="9"/>
      <c r="BN212" s="9"/>
      <c r="BO212" s="9"/>
      <c r="BP212" s="9"/>
      <c r="BQ212" s="9"/>
      <c r="BR212" s="9"/>
      <c r="BS212" s="9"/>
      <c r="BT212" s="9"/>
      <c r="BU212" s="9"/>
      <c r="BV212" s="9"/>
      <c r="BW212" s="9"/>
      <c r="BX212" s="9"/>
      <c r="BY212" s="9"/>
      <c r="BZ212" s="9"/>
      <c r="CA212" s="9"/>
      <c r="CB212" s="8" t="s">
        <v>2513</v>
      </c>
      <c r="CC212" s="9"/>
      <c r="CD212" s="9"/>
      <c r="CE212" s="8" t="s">
        <v>366</v>
      </c>
      <c r="CF212" s="8" t="s">
        <v>2514</v>
      </c>
      <c r="CG212" s="9"/>
      <c r="CH212" s="9"/>
      <c r="CI212" s="9"/>
      <c r="CJ212" s="9"/>
      <c r="CK212" s="9"/>
      <c r="CL212" s="9"/>
      <c r="CM212" s="9"/>
      <c r="CN212" s="9"/>
      <c r="CO212" s="9"/>
      <c r="CP212" s="9"/>
    </row>
    <row r="213">
      <c r="A213" s="7" t="s">
        <v>2515</v>
      </c>
      <c r="B213" s="8" t="s">
        <v>2516</v>
      </c>
      <c r="C213" s="8" t="s">
        <v>2517</v>
      </c>
      <c r="D213" s="8" t="s">
        <v>94</v>
      </c>
      <c r="E213" s="8" t="s">
        <v>95</v>
      </c>
      <c r="F213" s="9"/>
      <c r="G213" s="8" t="s">
        <v>2518</v>
      </c>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t="str">
        <f t="shared" si="25"/>
        <v/>
      </c>
      <c r="AK213" s="8"/>
      <c r="AL213" s="8"/>
      <c r="AM213" s="8" t="s">
        <v>1477</v>
      </c>
      <c r="AN213" s="8" t="s">
        <v>2519</v>
      </c>
      <c r="AO213" s="9"/>
      <c r="AP213" s="9"/>
      <c r="AQ213" s="9"/>
      <c r="AR213" s="8" t="s">
        <v>1479</v>
      </c>
      <c r="AS213" s="8" t="s">
        <v>1480</v>
      </c>
      <c r="AT213" s="9"/>
      <c r="AU213" s="8" t="s">
        <v>2520</v>
      </c>
      <c r="AV213" s="9"/>
      <c r="AW213" s="9"/>
      <c r="AX213" s="9"/>
      <c r="AY213" s="8" t="s">
        <v>2436</v>
      </c>
      <c r="AZ213" s="8" t="b">
        <v>0</v>
      </c>
      <c r="BA213" s="8" t="s">
        <v>190</v>
      </c>
      <c r="BB213" s="8" t="s">
        <v>191</v>
      </c>
      <c r="BC213" s="9"/>
      <c r="BD213" s="9"/>
      <c r="BE213" s="8" t="s">
        <v>1264</v>
      </c>
      <c r="BF213" s="9"/>
      <c r="BG213" s="9"/>
      <c r="BH213" s="9"/>
      <c r="BI213" s="9"/>
      <c r="BJ213" s="9"/>
      <c r="BK213" s="9"/>
      <c r="BL213" s="9"/>
      <c r="BM213" s="9"/>
      <c r="BN213" s="9"/>
      <c r="BO213" s="9"/>
      <c r="BP213" s="9"/>
      <c r="BQ213" s="9"/>
      <c r="BR213" s="8" t="s">
        <v>193</v>
      </c>
      <c r="BS213" s="8" t="s">
        <v>194</v>
      </c>
      <c r="BT213" s="8" t="s">
        <v>2521</v>
      </c>
      <c r="BU213" s="9"/>
      <c r="BV213" s="9"/>
      <c r="BW213" s="9"/>
      <c r="BX213" s="9"/>
      <c r="BY213" s="9"/>
      <c r="BZ213" s="9"/>
      <c r="CA213" s="9"/>
      <c r="CB213" s="8" t="s">
        <v>2247</v>
      </c>
      <c r="CC213" s="9"/>
      <c r="CD213" s="9"/>
      <c r="CE213" s="8" t="s">
        <v>115</v>
      </c>
      <c r="CF213" s="8" t="s">
        <v>2522</v>
      </c>
      <c r="CG213" s="9"/>
      <c r="CH213" s="9"/>
      <c r="CI213" s="9"/>
      <c r="CJ213" s="9"/>
      <c r="CK213" s="9"/>
      <c r="CL213" s="9"/>
      <c r="CM213" s="9"/>
      <c r="CN213" s="9"/>
      <c r="CO213" s="9"/>
      <c r="CP213" s="9"/>
    </row>
    <row r="214">
      <c r="A214" s="7" t="s">
        <v>2523</v>
      </c>
      <c r="B214" s="8" t="s">
        <v>2524</v>
      </c>
      <c r="C214" s="8" t="s">
        <v>2525</v>
      </c>
      <c r="D214" s="8" t="s">
        <v>94</v>
      </c>
      <c r="E214" s="8" t="s">
        <v>95</v>
      </c>
      <c r="F214" s="9"/>
      <c r="G214" s="8" t="s">
        <v>2526</v>
      </c>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t="str">
        <f t="shared" si="25"/>
        <v/>
      </c>
      <c r="AK214" s="8"/>
      <c r="AL214" s="8"/>
      <c r="AM214" s="8" t="s">
        <v>1477</v>
      </c>
      <c r="AN214" s="8" t="s">
        <v>2527</v>
      </c>
      <c r="AO214" s="9"/>
      <c r="AP214" s="9"/>
      <c r="AQ214" s="9"/>
      <c r="AR214" s="8" t="s">
        <v>1479</v>
      </c>
      <c r="AS214" s="8" t="s">
        <v>1480</v>
      </c>
      <c r="AT214" s="9"/>
      <c r="AU214" s="8" t="s">
        <v>2528</v>
      </c>
      <c r="AV214" s="8" t="s">
        <v>108</v>
      </c>
      <c r="AW214" s="9"/>
      <c r="AX214" s="9"/>
      <c r="AY214" s="8" t="s">
        <v>2436</v>
      </c>
      <c r="AZ214" s="8" t="b">
        <v>0</v>
      </c>
      <c r="BA214" s="8" t="s">
        <v>110</v>
      </c>
      <c r="BB214" s="9"/>
      <c r="BC214" s="9"/>
      <c r="BD214" s="9"/>
      <c r="BE214" s="8" t="s">
        <v>2529</v>
      </c>
      <c r="BF214" s="9"/>
      <c r="BG214" s="9"/>
      <c r="BH214" s="9"/>
      <c r="BI214" s="9"/>
      <c r="BJ214" s="9"/>
      <c r="BK214" s="9"/>
      <c r="BL214" s="9"/>
      <c r="BM214" s="9"/>
      <c r="BN214" s="9"/>
      <c r="BO214" s="9"/>
      <c r="BP214" s="9"/>
      <c r="BQ214" s="9"/>
      <c r="BR214" s="9"/>
      <c r="BS214" s="9"/>
      <c r="BT214" s="9"/>
      <c r="BU214" s="9"/>
      <c r="BV214" s="9"/>
      <c r="BW214" s="9"/>
      <c r="BX214" s="9"/>
      <c r="BY214" s="9"/>
      <c r="BZ214" s="9"/>
      <c r="CA214" s="9"/>
      <c r="CB214" s="8" t="s">
        <v>2530</v>
      </c>
      <c r="CC214" s="9"/>
      <c r="CD214" s="9"/>
      <c r="CE214" s="8" t="s">
        <v>366</v>
      </c>
      <c r="CF214" s="8" t="s">
        <v>2531</v>
      </c>
      <c r="CG214" s="9"/>
      <c r="CH214" s="9"/>
      <c r="CI214" s="9"/>
      <c r="CJ214" s="9"/>
      <c r="CK214" s="9"/>
      <c r="CL214" s="9"/>
      <c r="CM214" s="9"/>
      <c r="CN214" s="9"/>
      <c r="CO214" s="9"/>
      <c r="CP214" s="9"/>
    </row>
    <row r="215">
      <c r="A215" s="7" t="s">
        <v>2532</v>
      </c>
      <c r="B215" s="8" t="s">
        <v>2533</v>
      </c>
      <c r="C215" s="8" t="s">
        <v>2534</v>
      </c>
      <c r="D215" s="8" t="s">
        <v>94</v>
      </c>
      <c r="E215" s="8" t="s">
        <v>95</v>
      </c>
      <c r="F215" s="9"/>
      <c r="G215" s="8" t="s">
        <v>2535</v>
      </c>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t="str">
        <f t="shared" si="25"/>
        <v/>
      </c>
      <c r="AK215" s="8"/>
      <c r="AL215" s="8"/>
      <c r="AM215" s="8" t="s">
        <v>1477</v>
      </c>
      <c r="AN215" s="8" t="s">
        <v>2536</v>
      </c>
      <c r="AO215" s="9"/>
      <c r="AP215" s="9"/>
      <c r="AQ215" s="9"/>
      <c r="AR215" s="8" t="s">
        <v>1479</v>
      </c>
      <c r="AS215" s="8" t="s">
        <v>1480</v>
      </c>
      <c r="AT215" s="9"/>
      <c r="AU215" s="8" t="s">
        <v>2537</v>
      </c>
      <c r="AV215" s="8" t="s">
        <v>108</v>
      </c>
      <c r="AW215" s="9"/>
      <c r="AX215" s="9"/>
      <c r="AY215" s="8" t="s">
        <v>2436</v>
      </c>
      <c r="AZ215" s="8" t="b">
        <v>0</v>
      </c>
      <c r="BA215" s="8" t="s">
        <v>110</v>
      </c>
      <c r="BB215" s="9"/>
      <c r="BC215" s="9"/>
      <c r="BD215" s="9"/>
      <c r="BE215" s="8" t="s">
        <v>2538</v>
      </c>
      <c r="BF215" s="9"/>
      <c r="BG215" s="9"/>
      <c r="BH215" s="9"/>
      <c r="BI215" s="9"/>
      <c r="BJ215" s="9"/>
      <c r="BK215" s="9"/>
      <c r="BL215" s="9"/>
      <c r="BM215" s="9"/>
      <c r="BN215" s="9"/>
      <c r="BO215" s="9"/>
      <c r="BP215" s="9"/>
      <c r="BQ215" s="9"/>
      <c r="BR215" s="9"/>
      <c r="BS215" s="9"/>
      <c r="BT215" s="9"/>
      <c r="BU215" s="9"/>
      <c r="BV215" s="9"/>
      <c r="BW215" s="9"/>
      <c r="BX215" s="9"/>
      <c r="BY215" s="9"/>
      <c r="BZ215" s="9"/>
      <c r="CA215" s="9"/>
      <c r="CB215" s="8" t="s">
        <v>2539</v>
      </c>
      <c r="CC215" s="9"/>
      <c r="CD215" s="9"/>
      <c r="CE215" s="8" t="s">
        <v>366</v>
      </c>
      <c r="CF215" s="8" t="s">
        <v>2540</v>
      </c>
      <c r="CG215" s="9"/>
      <c r="CH215" s="9"/>
      <c r="CI215" s="9"/>
      <c r="CJ215" s="9"/>
      <c r="CK215" s="9"/>
      <c r="CL215" s="9"/>
      <c r="CM215" s="9"/>
      <c r="CN215" s="9"/>
      <c r="CO215" s="9"/>
      <c r="CP215" s="9"/>
    </row>
    <row r="216">
      <c r="A216" s="7" t="s">
        <v>2541</v>
      </c>
      <c r="B216" s="8" t="s">
        <v>2542</v>
      </c>
      <c r="C216" s="8" t="s">
        <v>2543</v>
      </c>
      <c r="D216" s="8" t="s">
        <v>94</v>
      </c>
      <c r="E216" s="8" t="s">
        <v>95</v>
      </c>
      <c r="F216" s="9"/>
      <c r="G216" s="8" t="s">
        <v>2544</v>
      </c>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t="str">
        <f t="shared" si="25"/>
        <v/>
      </c>
      <c r="AK216" s="8"/>
      <c r="AL216" s="8"/>
      <c r="AM216" s="8" t="s">
        <v>1477</v>
      </c>
      <c r="AN216" s="8" t="s">
        <v>2545</v>
      </c>
      <c r="AO216" s="9"/>
      <c r="AP216" s="9"/>
      <c r="AQ216" s="9"/>
      <c r="AR216" s="8" t="s">
        <v>1479</v>
      </c>
      <c r="AS216" s="8" t="s">
        <v>1480</v>
      </c>
      <c r="AT216" s="9"/>
      <c r="AU216" s="8" t="s">
        <v>2546</v>
      </c>
      <c r="AV216" s="8" t="s">
        <v>2547</v>
      </c>
      <c r="AW216" s="9"/>
      <c r="AX216" s="9"/>
      <c r="AY216" s="8" t="s">
        <v>2436</v>
      </c>
      <c r="AZ216" s="8" t="b">
        <v>0</v>
      </c>
      <c r="BA216" s="8" t="s">
        <v>110</v>
      </c>
      <c r="BB216" s="9"/>
      <c r="BC216" s="9"/>
      <c r="BD216" s="9"/>
      <c r="BE216" s="8" t="s">
        <v>2548</v>
      </c>
      <c r="BF216" s="9"/>
      <c r="BG216" s="9"/>
      <c r="BH216" s="9"/>
      <c r="BI216" s="9"/>
      <c r="BJ216" s="9"/>
      <c r="BK216" s="9"/>
      <c r="BL216" s="9"/>
      <c r="BM216" s="9"/>
      <c r="BN216" s="9"/>
      <c r="BO216" s="9"/>
      <c r="BP216" s="9"/>
      <c r="BQ216" s="9"/>
      <c r="BR216" s="9"/>
      <c r="BS216" s="9"/>
      <c r="BT216" s="9"/>
      <c r="BU216" s="9"/>
      <c r="BV216" s="9"/>
      <c r="BW216" s="9"/>
      <c r="BX216" s="9"/>
      <c r="BY216" s="9"/>
      <c r="BZ216" s="9"/>
      <c r="CA216" s="9"/>
      <c r="CB216" s="8" t="s">
        <v>1922</v>
      </c>
      <c r="CC216" s="9"/>
      <c r="CD216" s="9"/>
      <c r="CE216" s="8" t="s">
        <v>366</v>
      </c>
      <c r="CF216" s="8" t="s">
        <v>2549</v>
      </c>
      <c r="CG216" s="9"/>
      <c r="CH216" s="9"/>
      <c r="CI216" s="9"/>
      <c r="CJ216" s="9"/>
      <c r="CK216" s="9"/>
      <c r="CL216" s="9"/>
      <c r="CM216" s="9"/>
      <c r="CN216" s="9"/>
      <c r="CO216" s="9"/>
      <c r="CP216" s="9"/>
    </row>
    <row r="217">
      <c r="A217" s="7" t="s">
        <v>2550</v>
      </c>
      <c r="B217" s="8" t="s">
        <v>2551</v>
      </c>
      <c r="C217" s="8" t="s">
        <v>2551</v>
      </c>
      <c r="D217" s="8" t="s">
        <v>354</v>
      </c>
      <c r="E217" s="8" t="s">
        <v>355</v>
      </c>
      <c r="F217" s="9"/>
      <c r="G217" s="8" t="s">
        <v>2552</v>
      </c>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t="str">
        <f t="shared" si="25"/>
        <v/>
      </c>
      <c r="AK217" s="8"/>
      <c r="AL217" s="8"/>
      <c r="AM217" s="8" t="s">
        <v>2553</v>
      </c>
      <c r="AN217" s="9"/>
      <c r="AO217" s="9"/>
      <c r="AP217" s="9"/>
      <c r="AQ217" s="9"/>
      <c r="AR217" s="9"/>
      <c r="AS217" s="9"/>
      <c r="AT217" s="9"/>
      <c r="AU217" s="9"/>
      <c r="AV217" s="9"/>
      <c r="AW217" s="9"/>
      <c r="AX217" s="9"/>
      <c r="AY217" s="8" t="s">
        <v>2436</v>
      </c>
      <c r="AZ217" s="8" t="b">
        <v>0</v>
      </c>
      <c r="BA217" s="8" t="s">
        <v>190</v>
      </c>
      <c r="BB217" s="8" t="s">
        <v>2554</v>
      </c>
      <c r="BC217" s="8" t="s">
        <v>2555</v>
      </c>
      <c r="BD217" s="9"/>
      <c r="BE217" s="8" t="s">
        <v>2556</v>
      </c>
      <c r="BF217" s="8" t="s">
        <v>94</v>
      </c>
      <c r="BG217" s="8" t="s">
        <v>2557</v>
      </c>
      <c r="BH217" s="8" t="s">
        <v>2553</v>
      </c>
      <c r="BI217" s="8" t="s">
        <v>1974</v>
      </c>
      <c r="BJ217" s="8" t="s">
        <v>2558</v>
      </c>
      <c r="BK217" s="9"/>
      <c r="BL217" s="9"/>
      <c r="BM217" s="9"/>
      <c r="BN217" s="9"/>
      <c r="BO217" s="9"/>
      <c r="BP217" s="9"/>
      <c r="BQ217" s="9"/>
      <c r="BR217" s="8" t="s">
        <v>193</v>
      </c>
      <c r="BS217" s="8" t="s">
        <v>194</v>
      </c>
      <c r="BT217" s="9"/>
      <c r="BU217" s="9"/>
      <c r="BV217" s="9"/>
      <c r="BW217" s="9"/>
      <c r="BX217" s="9"/>
      <c r="BY217" s="9"/>
      <c r="BZ217" s="9"/>
      <c r="CA217" s="9"/>
      <c r="CB217" s="8" t="s">
        <v>2559</v>
      </c>
      <c r="CC217" s="9"/>
      <c r="CD217" s="9"/>
      <c r="CE217" s="8" t="s">
        <v>115</v>
      </c>
      <c r="CF217" s="8" t="s">
        <v>2560</v>
      </c>
      <c r="CG217" s="9"/>
      <c r="CH217" s="9"/>
      <c r="CI217" s="9"/>
      <c r="CJ217" s="9"/>
      <c r="CK217" s="9"/>
      <c r="CL217" s="9"/>
      <c r="CM217" s="9"/>
      <c r="CN217" s="9"/>
      <c r="CO217" s="9"/>
      <c r="CP217" s="9"/>
    </row>
    <row r="218">
      <c r="A218" s="7" t="s">
        <v>2561</v>
      </c>
      <c r="B218" s="8" t="s">
        <v>2562</v>
      </c>
      <c r="C218" s="8" t="s">
        <v>2562</v>
      </c>
      <c r="D218" s="8" t="s">
        <v>354</v>
      </c>
      <c r="E218" s="8" t="s">
        <v>355</v>
      </c>
      <c r="F218" s="9"/>
      <c r="G218" s="8" t="s">
        <v>2563</v>
      </c>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t="str">
        <f t="shared" si="25"/>
        <v/>
      </c>
      <c r="AK218" s="8"/>
      <c r="AL218" s="8"/>
      <c r="AM218" s="8" t="s">
        <v>2564</v>
      </c>
      <c r="AN218" s="9"/>
      <c r="AO218" s="9"/>
      <c r="AP218" s="9"/>
      <c r="AQ218" s="9"/>
      <c r="AR218" s="9"/>
      <c r="AS218" s="9"/>
      <c r="AT218" s="9"/>
      <c r="AU218" s="8" t="s">
        <v>2565</v>
      </c>
      <c r="AV218" s="9"/>
      <c r="AW218" s="8" t="s">
        <v>476</v>
      </c>
      <c r="AX218" s="8" t="s">
        <v>359</v>
      </c>
      <c r="AY218" s="8" t="s">
        <v>2436</v>
      </c>
      <c r="AZ218" s="8" t="b">
        <v>0</v>
      </c>
      <c r="BA218" s="8" t="s">
        <v>190</v>
      </c>
      <c r="BB218" s="8" t="s">
        <v>2566</v>
      </c>
      <c r="BC218" s="9"/>
      <c r="BD218" s="9"/>
      <c r="BE218" s="8" t="s">
        <v>2567</v>
      </c>
      <c r="BF218" s="9"/>
      <c r="BG218" s="9"/>
      <c r="BH218" s="9"/>
      <c r="BI218" s="8" t="s">
        <v>2568</v>
      </c>
      <c r="BJ218" s="8" t="s">
        <v>2569</v>
      </c>
      <c r="BK218" s="9"/>
      <c r="BL218" s="9"/>
      <c r="BM218" s="9"/>
      <c r="BN218" s="9"/>
      <c r="BO218" s="9"/>
      <c r="BP218" s="9"/>
      <c r="BQ218" s="9"/>
      <c r="BR218" s="8" t="s">
        <v>193</v>
      </c>
      <c r="BS218" s="8" t="s">
        <v>194</v>
      </c>
      <c r="BT218" s="8" t="s">
        <v>2570</v>
      </c>
      <c r="BU218" s="9"/>
      <c r="BV218" s="9"/>
      <c r="BW218" s="9"/>
      <c r="BX218" s="9"/>
      <c r="BY218" s="9"/>
      <c r="BZ218" s="9"/>
      <c r="CA218" s="9"/>
      <c r="CB218" s="8" t="s">
        <v>2571</v>
      </c>
      <c r="CC218" s="9"/>
      <c r="CD218" s="9"/>
      <c r="CE218" s="8" t="s">
        <v>366</v>
      </c>
      <c r="CF218" s="9"/>
      <c r="CG218" s="9"/>
      <c r="CH218" s="9"/>
      <c r="CI218" s="9"/>
      <c r="CJ218" s="9"/>
      <c r="CK218" s="9"/>
      <c r="CL218" s="9"/>
      <c r="CM218" s="9"/>
      <c r="CN218" s="9"/>
      <c r="CO218" s="9"/>
      <c r="CP218" s="9"/>
    </row>
    <row r="219">
      <c r="A219" s="4" t="s">
        <v>2572</v>
      </c>
      <c r="B219" s="5" t="s">
        <v>2573</v>
      </c>
      <c r="C219" s="5" t="s">
        <v>2574</v>
      </c>
      <c r="D219" s="5" t="s">
        <v>94</v>
      </c>
      <c r="E219" s="5" t="s">
        <v>95</v>
      </c>
      <c r="F219" s="6"/>
      <c r="G219" s="5" t="s">
        <v>2575</v>
      </c>
      <c r="H219" s="5" t="s">
        <v>97</v>
      </c>
      <c r="I219" s="5" t="s">
        <v>1329</v>
      </c>
      <c r="J219" s="5" t="s">
        <v>2576</v>
      </c>
      <c r="K219" s="5"/>
      <c r="L219" s="5"/>
      <c r="M219" s="5" t="s">
        <v>2577</v>
      </c>
      <c r="N219" s="5" t="s">
        <v>100</v>
      </c>
      <c r="O219" s="5" t="s">
        <v>2578</v>
      </c>
      <c r="P219" s="5" t="s">
        <v>2573</v>
      </c>
      <c r="Q219" s="5" t="s">
        <v>2579</v>
      </c>
      <c r="R219" s="5"/>
      <c r="S219" s="5" t="s">
        <v>100</v>
      </c>
      <c r="T219" s="5" t="s">
        <v>100</v>
      </c>
      <c r="U219" s="5" t="s">
        <v>100</v>
      </c>
      <c r="V219" s="5" t="s">
        <v>100</v>
      </c>
      <c r="W219" s="5" t="s">
        <v>100</v>
      </c>
      <c r="X219" s="5" t="s">
        <v>100</v>
      </c>
      <c r="Y219" s="5" t="s">
        <v>100</v>
      </c>
      <c r="Z219" s="5" t="s">
        <v>100</v>
      </c>
      <c r="AA219" s="5"/>
      <c r="AB219" s="5" t="s">
        <v>100</v>
      </c>
      <c r="AC219" s="5" t="s">
        <v>100</v>
      </c>
      <c r="AD219" s="5" t="s">
        <v>100</v>
      </c>
      <c r="AE219" s="5" t="s">
        <v>100</v>
      </c>
      <c r="AF219" s="5" t="s">
        <v>100</v>
      </c>
      <c r="AG219" s="5" t="s">
        <v>100</v>
      </c>
      <c r="AH219" s="5" t="s">
        <v>100</v>
      </c>
      <c r="AI219" s="5" t="s">
        <v>2580</v>
      </c>
      <c r="AJ219" s="5" t="s">
        <v>2581</v>
      </c>
      <c r="AK219" s="5" t="s">
        <v>103</v>
      </c>
      <c r="AL219" s="5" t="s">
        <v>124</v>
      </c>
      <c r="AM219" s="5" t="s">
        <v>105</v>
      </c>
      <c r="AN219" s="5" t="s">
        <v>2582</v>
      </c>
      <c r="AO219" s="6"/>
      <c r="AP219" s="5" t="s">
        <v>642</v>
      </c>
      <c r="AQ219" s="6"/>
      <c r="AR219" s="6"/>
      <c r="AS219" s="6"/>
      <c r="AT219" s="6"/>
      <c r="AU219" s="5" t="s">
        <v>2583</v>
      </c>
      <c r="AV219" s="5" t="s">
        <v>108</v>
      </c>
      <c r="AW219" s="6"/>
      <c r="AX219" s="6"/>
      <c r="AY219" s="5" t="s">
        <v>2584</v>
      </c>
      <c r="AZ219" s="5" t="b">
        <v>0</v>
      </c>
      <c r="BA219" s="5" t="s">
        <v>110</v>
      </c>
      <c r="BB219" s="5" t="s">
        <v>277</v>
      </c>
      <c r="BC219" s="6"/>
      <c r="BD219" s="6"/>
      <c r="BE219" s="5" t="s">
        <v>2585</v>
      </c>
      <c r="BF219" s="6"/>
      <c r="BG219" s="6"/>
      <c r="BH219" s="6"/>
      <c r="BI219" s="6"/>
      <c r="BJ219" s="6"/>
      <c r="BK219" s="6"/>
      <c r="BL219" s="6"/>
      <c r="BM219" s="6"/>
      <c r="BN219" s="6"/>
      <c r="BO219" s="6"/>
      <c r="BP219" s="6"/>
      <c r="BQ219" s="6"/>
      <c r="BR219" s="6"/>
      <c r="BS219" s="6"/>
      <c r="BT219" s="6"/>
      <c r="BU219" s="6"/>
      <c r="BV219" s="6"/>
      <c r="BW219" s="6"/>
      <c r="BX219" s="6"/>
      <c r="BY219" s="6"/>
      <c r="BZ219" s="6"/>
      <c r="CA219" s="6"/>
      <c r="CB219" s="5" t="s">
        <v>2586</v>
      </c>
      <c r="CC219" s="6"/>
      <c r="CD219" s="6"/>
      <c r="CE219" s="5" t="s">
        <v>197</v>
      </c>
      <c r="CF219" s="5" t="s">
        <v>2587</v>
      </c>
      <c r="CG219" s="6"/>
      <c r="CH219" s="6"/>
      <c r="CI219" s="6"/>
      <c r="CJ219" s="6"/>
      <c r="CK219" s="6"/>
      <c r="CL219" s="6"/>
      <c r="CM219" s="6"/>
      <c r="CN219" s="6"/>
      <c r="CO219" s="6"/>
      <c r="CP219" s="6"/>
    </row>
    <row r="220">
      <c r="A220" s="7" t="s">
        <v>2588</v>
      </c>
      <c r="B220" s="8" t="s">
        <v>2589</v>
      </c>
      <c r="C220" s="8" t="s">
        <v>2590</v>
      </c>
      <c r="D220" s="8" t="s">
        <v>94</v>
      </c>
      <c r="E220" s="8" t="s">
        <v>95</v>
      </c>
      <c r="F220" s="9"/>
      <c r="G220" s="8" t="s">
        <v>2591</v>
      </c>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t="s">
        <v>105</v>
      </c>
      <c r="AN220" s="8" t="s">
        <v>2592</v>
      </c>
      <c r="AO220" s="9"/>
      <c r="AP220" s="9"/>
      <c r="AQ220" s="9"/>
      <c r="AR220" s="9"/>
      <c r="AS220" s="9"/>
      <c r="AT220" s="9"/>
      <c r="AU220" s="8" t="s">
        <v>2593</v>
      </c>
      <c r="AV220" s="8" t="s">
        <v>108</v>
      </c>
      <c r="AW220" s="9"/>
      <c r="AX220" s="9"/>
      <c r="AY220" s="8" t="s">
        <v>2584</v>
      </c>
      <c r="AZ220" s="8" t="b">
        <v>0</v>
      </c>
      <c r="BA220" s="8" t="s">
        <v>110</v>
      </c>
      <c r="BB220" s="8" t="s">
        <v>773</v>
      </c>
      <c r="BC220" s="9"/>
      <c r="BD220" s="9"/>
      <c r="BE220" s="8" t="s">
        <v>2594</v>
      </c>
      <c r="BF220" s="9"/>
      <c r="BG220" s="9"/>
      <c r="BH220" s="9"/>
      <c r="BI220" s="9"/>
      <c r="BJ220" s="9"/>
      <c r="BK220" s="9"/>
      <c r="BL220" s="9"/>
      <c r="BM220" s="9"/>
      <c r="BN220" s="9"/>
      <c r="BO220" s="9"/>
      <c r="BP220" s="9"/>
      <c r="BQ220" s="9"/>
      <c r="BR220" s="9"/>
      <c r="BS220" s="9"/>
      <c r="BT220" s="9"/>
      <c r="BU220" s="9"/>
      <c r="BV220" s="9"/>
      <c r="BW220" s="9"/>
      <c r="BX220" s="9"/>
      <c r="BY220" s="9"/>
      <c r="BZ220" s="9"/>
      <c r="CA220" s="9"/>
      <c r="CB220" s="8" t="s">
        <v>665</v>
      </c>
      <c r="CC220" s="9"/>
      <c r="CD220" s="9"/>
      <c r="CE220" s="8" t="s">
        <v>115</v>
      </c>
      <c r="CF220" s="8" t="s">
        <v>2595</v>
      </c>
      <c r="CG220" s="9"/>
      <c r="CH220" s="9"/>
      <c r="CI220" s="9"/>
      <c r="CJ220" s="9"/>
      <c r="CK220" s="9"/>
      <c r="CL220" s="9"/>
      <c r="CM220" s="9"/>
      <c r="CN220" s="9"/>
      <c r="CO220" s="9"/>
      <c r="CP220" s="9"/>
    </row>
    <row r="221">
      <c r="A221" s="7" t="s">
        <v>2596</v>
      </c>
      <c r="B221" s="8" t="s">
        <v>2597</v>
      </c>
      <c r="C221" s="8" t="s">
        <v>2598</v>
      </c>
      <c r="D221" s="8" t="s">
        <v>94</v>
      </c>
      <c r="E221" s="8" t="s">
        <v>95</v>
      </c>
      <c r="F221" s="9"/>
      <c r="G221" s="8" t="s">
        <v>2599</v>
      </c>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t="str">
        <f t="shared" ref="AJ221:AJ236" si="26">CONCATENATE(J221,K221,L221,Q221,R221,X221,Y221,AA221,AG221)</f>
        <v/>
      </c>
      <c r="AK221" s="8"/>
      <c r="AL221" s="8"/>
      <c r="AM221" s="8" t="s">
        <v>105</v>
      </c>
      <c r="AN221" s="8" t="s">
        <v>2568</v>
      </c>
      <c r="AO221" s="9"/>
      <c r="AP221" s="9"/>
      <c r="AQ221" s="9"/>
      <c r="AR221" s="9"/>
      <c r="AS221" s="9"/>
      <c r="AT221" s="9"/>
      <c r="AU221" s="8" t="s">
        <v>2600</v>
      </c>
      <c r="AV221" s="9"/>
      <c r="AW221" s="9"/>
      <c r="AX221" s="9"/>
      <c r="AY221" s="8" t="s">
        <v>2584</v>
      </c>
      <c r="AZ221" s="8" t="b">
        <v>0</v>
      </c>
      <c r="BA221" s="8" t="s">
        <v>190</v>
      </c>
      <c r="BB221" s="8" t="s">
        <v>191</v>
      </c>
      <c r="BC221" s="9"/>
      <c r="BD221" s="9"/>
      <c r="BE221" s="8" t="s">
        <v>2601</v>
      </c>
      <c r="BF221" s="9"/>
      <c r="BG221" s="9"/>
      <c r="BH221" s="9"/>
      <c r="BI221" s="9"/>
      <c r="BJ221" s="9"/>
      <c r="BK221" s="9"/>
      <c r="BL221" s="9"/>
      <c r="BM221" s="9"/>
      <c r="BN221" s="9"/>
      <c r="BO221" s="9"/>
      <c r="BP221" s="9"/>
      <c r="BQ221" s="9"/>
      <c r="BR221" s="8" t="s">
        <v>193</v>
      </c>
      <c r="BS221" s="8" t="s">
        <v>194</v>
      </c>
      <c r="BT221" s="9"/>
      <c r="BU221" s="9"/>
      <c r="BV221" s="8" t="s">
        <v>2602</v>
      </c>
      <c r="BW221" s="9"/>
      <c r="BX221" s="9"/>
      <c r="BY221" s="9"/>
      <c r="BZ221" s="9"/>
      <c r="CA221" s="9"/>
      <c r="CB221" s="8" t="s">
        <v>2603</v>
      </c>
      <c r="CC221" s="9"/>
      <c r="CD221" s="9"/>
      <c r="CE221" s="8" t="s">
        <v>490</v>
      </c>
      <c r="CF221" s="8" t="s">
        <v>2604</v>
      </c>
      <c r="CG221" s="9"/>
      <c r="CH221" s="9"/>
      <c r="CI221" s="9"/>
      <c r="CJ221" s="9"/>
      <c r="CK221" s="9"/>
      <c r="CL221" s="9"/>
      <c r="CM221" s="9"/>
      <c r="CN221" s="9"/>
      <c r="CO221" s="9"/>
      <c r="CP221" s="9"/>
    </row>
    <row r="222">
      <c r="A222" s="7" t="s">
        <v>2605</v>
      </c>
      <c r="B222" s="8" t="s">
        <v>2606</v>
      </c>
      <c r="C222" s="8" t="s">
        <v>2607</v>
      </c>
      <c r="D222" s="8" t="s">
        <v>94</v>
      </c>
      <c r="E222" s="8" t="s">
        <v>95</v>
      </c>
      <c r="F222" s="9"/>
      <c r="G222" s="8" t="s">
        <v>2608</v>
      </c>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t="str">
        <f t="shared" si="26"/>
        <v/>
      </c>
      <c r="AK222" s="8"/>
      <c r="AL222" s="8"/>
      <c r="AM222" s="8" t="s">
        <v>1877</v>
      </c>
      <c r="AN222" s="8" t="s">
        <v>723</v>
      </c>
      <c r="AO222" s="9"/>
      <c r="AP222" s="9"/>
      <c r="AQ222" s="9"/>
      <c r="AR222" s="8" t="s">
        <v>1879</v>
      </c>
      <c r="AS222" s="8" t="s">
        <v>1880</v>
      </c>
      <c r="AT222" s="9"/>
      <c r="AU222" s="8" t="s">
        <v>2609</v>
      </c>
      <c r="AV222" s="8" t="s">
        <v>108</v>
      </c>
      <c r="AW222" s="9"/>
      <c r="AX222" s="9"/>
      <c r="AY222" s="8" t="s">
        <v>2584</v>
      </c>
      <c r="AZ222" s="8" t="b">
        <v>0</v>
      </c>
      <c r="BA222" s="8" t="s">
        <v>110</v>
      </c>
      <c r="BB222" s="8" t="s">
        <v>2485</v>
      </c>
      <c r="BC222" s="9"/>
      <c r="BD222" s="9"/>
      <c r="BE222" s="8" t="s">
        <v>2610</v>
      </c>
      <c r="BF222" s="9"/>
      <c r="BG222" s="9"/>
      <c r="BH222" s="9"/>
      <c r="BI222" s="9"/>
      <c r="BJ222" s="9"/>
      <c r="BK222" s="9"/>
      <c r="BL222" s="9"/>
      <c r="BM222" s="9"/>
      <c r="BN222" s="9"/>
      <c r="BO222" s="9"/>
      <c r="BP222" s="9"/>
      <c r="BQ222" s="9"/>
      <c r="BR222" s="9"/>
      <c r="BS222" s="9"/>
      <c r="BT222" s="9"/>
      <c r="BU222" s="9"/>
      <c r="BV222" s="9"/>
      <c r="BW222" s="9"/>
      <c r="BX222" s="9"/>
      <c r="BY222" s="9"/>
      <c r="BZ222" s="9"/>
      <c r="CA222" s="9"/>
      <c r="CB222" s="8" t="s">
        <v>2611</v>
      </c>
      <c r="CC222" s="9"/>
      <c r="CD222" s="9"/>
      <c r="CE222" s="8" t="s">
        <v>115</v>
      </c>
      <c r="CF222" s="8" t="s">
        <v>2612</v>
      </c>
      <c r="CG222" s="9"/>
      <c r="CH222" s="9"/>
      <c r="CI222" s="9"/>
      <c r="CJ222" s="9"/>
      <c r="CK222" s="9"/>
      <c r="CL222" s="9"/>
      <c r="CM222" s="9"/>
      <c r="CN222" s="9"/>
      <c r="CO222" s="9"/>
      <c r="CP222" s="9"/>
    </row>
    <row r="223">
      <c r="A223" s="7" t="s">
        <v>2613</v>
      </c>
      <c r="B223" s="8" t="s">
        <v>2614</v>
      </c>
      <c r="C223" s="8" t="s">
        <v>2615</v>
      </c>
      <c r="D223" s="8" t="s">
        <v>94</v>
      </c>
      <c r="E223" s="8" t="s">
        <v>95</v>
      </c>
      <c r="F223" s="9"/>
      <c r="G223" s="8" t="s">
        <v>2616</v>
      </c>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t="str">
        <f t="shared" si="26"/>
        <v/>
      </c>
      <c r="AK223" s="8"/>
      <c r="AL223" s="8"/>
      <c r="AM223" s="8" t="s">
        <v>1877</v>
      </c>
      <c r="AN223" s="8" t="s">
        <v>2617</v>
      </c>
      <c r="AO223" s="9"/>
      <c r="AP223" s="9"/>
      <c r="AQ223" s="9"/>
      <c r="AR223" s="8" t="s">
        <v>1879</v>
      </c>
      <c r="AS223" s="8" t="s">
        <v>1880</v>
      </c>
      <c r="AT223" s="9"/>
      <c r="AU223" s="8" t="s">
        <v>2618</v>
      </c>
      <c r="AV223" s="9"/>
      <c r="AW223" s="9"/>
      <c r="AX223" s="9"/>
      <c r="AY223" s="8" t="s">
        <v>2584</v>
      </c>
      <c r="AZ223" s="8" t="b">
        <v>0</v>
      </c>
      <c r="BA223" s="8" t="s">
        <v>190</v>
      </c>
      <c r="BB223" s="8" t="s">
        <v>191</v>
      </c>
      <c r="BC223" s="8" t="s">
        <v>629</v>
      </c>
      <c r="BD223" s="9"/>
      <c r="BE223" s="8" t="s">
        <v>2619</v>
      </c>
      <c r="BF223" s="9"/>
      <c r="BG223" s="9"/>
      <c r="BH223" s="9"/>
      <c r="BI223" s="9"/>
      <c r="BJ223" s="9"/>
      <c r="BK223" s="8" t="s">
        <v>99</v>
      </c>
      <c r="BL223" s="9"/>
      <c r="BM223" s="9"/>
      <c r="BN223" s="9"/>
      <c r="BO223" s="9"/>
      <c r="BP223" s="9"/>
      <c r="BQ223" s="9"/>
      <c r="BR223" s="8" t="s">
        <v>193</v>
      </c>
      <c r="BS223" s="8" t="s">
        <v>2620</v>
      </c>
      <c r="BT223" s="9"/>
      <c r="BU223" s="9"/>
      <c r="BV223" s="8" t="s">
        <v>634</v>
      </c>
      <c r="BW223" s="9"/>
      <c r="BX223" s="9"/>
      <c r="BY223" s="9"/>
      <c r="BZ223" s="9"/>
      <c r="CA223" s="9"/>
      <c r="CB223" s="8" t="s">
        <v>2611</v>
      </c>
      <c r="CC223" s="9"/>
      <c r="CD223" s="9"/>
      <c r="CE223" s="8" t="s">
        <v>115</v>
      </c>
      <c r="CF223" s="8" t="s">
        <v>2621</v>
      </c>
      <c r="CG223" s="9"/>
      <c r="CH223" s="9"/>
      <c r="CI223" s="9"/>
      <c r="CJ223" s="9"/>
      <c r="CK223" s="9"/>
      <c r="CL223" s="9"/>
      <c r="CM223" s="9"/>
      <c r="CN223" s="9"/>
      <c r="CO223" s="9"/>
      <c r="CP223" s="9"/>
    </row>
    <row r="224">
      <c r="A224" s="7" t="s">
        <v>2622</v>
      </c>
      <c r="B224" s="8" t="s">
        <v>2623</v>
      </c>
      <c r="C224" s="8" t="s">
        <v>2624</v>
      </c>
      <c r="D224" s="8" t="s">
        <v>94</v>
      </c>
      <c r="E224" s="8" t="s">
        <v>95</v>
      </c>
      <c r="F224" s="9"/>
      <c r="G224" s="8" t="s">
        <v>2625</v>
      </c>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t="str">
        <f t="shared" si="26"/>
        <v/>
      </c>
      <c r="AK224" s="8"/>
      <c r="AL224" s="8"/>
      <c r="AM224" s="8" t="s">
        <v>1877</v>
      </c>
      <c r="AN224" s="8" t="s">
        <v>2626</v>
      </c>
      <c r="AO224" s="9"/>
      <c r="AP224" s="9"/>
      <c r="AQ224" s="9"/>
      <c r="AR224" s="8" t="s">
        <v>1879</v>
      </c>
      <c r="AS224" s="8" t="s">
        <v>1880</v>
      </c>
      <c r="AT224" s="9"/>
      <c r="AU224" s="8" t="s">
        <v>2627</v>
      </c>
      <c r="AV224" s="9"/>
      <c r="AW224" s="9"/>
      <c r="AX224" s="9"/>
      <c r="AY224" s="8" t="s">
        <v>2584</v>
      </c>
      <c r="AZ224" s="8" t="b">
        <v>0</v>
      </c>
      <c r="BA224" s="8" t="s">
        <v>190</v>
      </c>
      <c r="BB224" s="8" t="s">
        <v>191</v>
      </c>
      <c r="BC224" s="8" t="s">
        <v>629</v>
      </c>
      <c r="BD224" s="9"/>
      <c r="BE224" s="8" t="s">
        <v>2567</v>
      </c>
      <c r="BF224" s="9"/>
      <c r="BG224" s="9"/>
      <c r="BH224" s="9"/>
      <c r="BI224" s="9"/>
      <c r="BJ224" s="9"/>
      <c r="BK224" s="8" t="s">
        <v>935</v>
      </c>
      <c r="BL224" s="9"/>
      <c r="BM224" s="9"/>
      <c r="BN224" s="9"/>
      <c r="BO224" s="9"/>
      <c r="BP224" s="9"/>
      <c r="BQ224" s="9"/>
      <c r="BR224" s="8" t="s">
        <v>193</v>
      </c>
      <c r="BS224" s="8" t="s">
        <v>2628</v>
      </c>
      <c r="BT224" s="9"/>
      <c r="BU224" s="9"/>
      <c r="BV224" s="8" t="s">
        <v>2629</v>
      </c>
      <c r="BW224" s="9"/>
      <c r="BX224" s="9"/>
      <c r="BY224" s="9"/>
      <c r="BZ224" s="9"/>
      <c r="CA224" s="9"/>
      <c r="CB224" s="8" t="s">
        <v>2611</v>
      </c>
      <c r="CC224" s="9"/>
      <c r="CD224" s="9"/>
      <c r="CE224" s="8" t="s">
        <v>115</v>
      </c>
      <c r="CF224" s="8" t="s">
        <v>2630</v>
      </c>
      <c r="CG224" s="9"/>
      <c r="CH224" s="9"/>
      <c r="CI224" s="9"/>
      <c r="CJ224" s="9"/>
      <c r="CK224" s="9"/>
      <c r="CL224" s="9"/>
      <c r="CM224" s="9"/>
      <c r="CN224" s="9"/>
      <c r="CO224" s="9"/>
      <c r="CP224" s="9"/>
    </row>
    <row r="225">
      <c r="A225" s="7" t="s">
        <v>2631</v>
      </c>
      <c r="B225" s="8" t="s">
        <v>2632</v>
      </c>
      <c r="C225" s="8" t="s">
        <v>2633</v>
      </c>
      <c r="D225" s="8" t="s">
        <v>94</v>
      </c>
      <c r="E225" s="8" t="s">
        <v>95</v>
      </c>
      <c r="F225" s="9"/>
      <c r="G225" s="8" t="s">
        <v>2634</v>
      </c>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t="str">
        <f t="shared" si="26"/>
        <v/>
      </c>
      <c r="AK225" s="8"/>
      <c r="AL225" s="8"/>
      <c r="AM225" s="8" t="s">
        <v>1477</v>
      </c>
      <c r="AN225" s="8" t="s">
        <v>2635</v>
      </c>
      <c r="AO225" s="9"/>
      <c r="AP225" s="9"/>
      <c r="AQ225" s="9"/>
      <c r="AR225" s="8" t="s">
        <v>1479</v>
      </c>
      <c r="AS225" s="8" t="s">
        <v>1480</v>
      </c>
      <c r="AT225" s="9"/>
      <c r="AU225" s="8" t="s">
        <v>2636</v>
      </c>
      <c r="AV225" s="8" t="s">
        <v>108</v>
      </c>
      <c r="AW225" s="9"/>
      <c r="AX225" s="9"/>
      <c r="AY225" s="8" t="s">
        <v>2584</v>
      </c>
      <c r="AZ225" s="8" t="b">
        <v>0</v>
      </c>
      <c r="BA225" s="8" t="s">
        <v>110</v>
      </c>
      <c r="BB225" s="8" t="s">
        <v>2637</v>
      </c>
      <c r="BC225" s="9"/>
      <c r="BD225" s="9"/>
      <c r="BE225" s="8" t="s">
        <v>2638</v>
      </c>
      <c r="BF225" s="9"/>
      <c r="BG225" s="9"/>
      <c r="BH225" s="9"/>
      <c r="BI225" s="9"/>
      <c r="BJ225" s="9"/>
      <c r="BK225" s="9"/>
      <c r="BL225" s="9"/>
      <c r="BM225" s="9"/>
      <c r="BN225" s="9"/>
      <c r="BO225" s="9"/>
      <c r="BP225" s="9"/>
      <c r="BQ225" s="9"/>
      <c r="BR225" s="9"/>
      <c r="BS225" s="9"/>
      <c r="BT225" s="9"/>
      <c r="BU225" s="9"/>
      <c r="BV225" s="9"/>
      <c r="BW225" s="9"/>
      <c r="BX225" s="9"/>
      <c r="BY225" s="9"/>
      <c r="BZ225" s="9"/>
      <c r="CA225" s="9"/>
      <c r="CB225" s="8" t="s">
        <v>2639</v>
      </c>
      <c r="CC225" s="9"/>
      <c r="CD225" s="9"/>
      <c r="CE225" s="8" t="s">
        <v>366</v>
      </c>
      <c r="CF225" s="8" t="s">
        <v>2640</v>
      </c>
      <c r="CG225" s="9"/>
      <c r="CH225" s="9"/>
      <c r="CI225" s="9"/>
      <c r="CJ225" s="9"/>
      <c r="CK225" s="9"/>
      <c r="CL225" s="9"/>
      <c r="CM225" s="9"/>
      <c r="CN225" s="9"/>
      <c r="CO225" s="9"/>
      <c r="CP225" s="9"/>
    </row>
    <row r="226">
      <c r="A226" s="7" t="s">
        <v>2641</v>
      </c>
      <c r="B226" s="8" t="s">
        <v>2642</v>
      </c>
      <c r="C226" s="8" t="s">
        <v>2643</v>
      </c>
      <c r="D226" s="8" t="s">
        <v>94</v>
      </c>
      <c r="E226" s="8" t="s">
        <v>95</v>
      </c>
      <c r="F226" s="9"/>
      <c r="G226" s="8" t="s">
        <v>2644</v>
      </c>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t="str">
        <f t="shared" si="26"/>
        <v/>
      </c>
      <c r="AK226" s="8"/>
      <c r="AL226" s="8"/>
      <c r="AM226" s="8" t="s">
        <v>1477</v>
      </c>
      <c r="AN226" s="8" t="s">
        <v>2645</v>
      </c>
      <c r="AO226" s="9"/>
      <c r="AP226" s="9"/>
      <c r="AQ226" s="9"/>
      <c r="AR226" s="8" t="s">
        <v>1479</v>
      </c>
      <c r="AS226" s="8" t="s">
        <v>1480</v>
      </c>
      <c r="AT226" s="9"/>
      <c r="AU226" s="8" t="s">
        <v>2646</v>
      </c>
      <c r="AV226" s="8" t="s">
        <v>108</v>
      </c>
      <c r="AW226" s="9"/>
      <c r="AX226" s="9"/>
      <c r="AY226" s="8" t="s">
        <v>2584</v>
      </c>
      <c r="AZ226" s="8" t="b">
        <v>0</v>
      </c>
      <c r="BA226" s="8" t="s">
        <v>110</v>
      </c>
      <c r="BB226" s="8" t="s">
        <v>2647</v>
      </c>
      <c r="BC226" s="9"/>
      <c r="BD226" s="9"/>
      <c r="BE226" s="8" t="s">
        <v>2648</v>
      </c>
      <c r="BF226" s="9"/>
      <c r="BG226" s="9"/>
      <c r="BH226" s="9"/>
      <c r="BI226" s="9"/>
      <c r="BJ226" s="9"/>
      <c r="BK226" s="9"/>
      <c r="BL226" s="9"/>
      <c r="BM226" s="9"/>
      <c r="BN226" s="9"/>
      <c r="BO226" s="9"/>
      <c r="BP226" s="9"/>
      <c r="BQ226" s="9"/>
      <c r="BR226" s="9"/>
      <c r="BS226" s="9"/>
      <c r="BT226" s="9"/>
      <c r="BU226" s="9"/>
      <c r="BV226" s="9"/>
      <c r="BW226" s="9"/>
      <c r="BX226" s="9"/>
      <c r="BY226" s="9"/>
      <c r="BZ226" s="9"/>
      <c r="CA226" s="9"/>
      <c r="CB226" s="8" t="s">
        <v>2649</v>
      </c>
      <c r="CC226" s="9"/>
      <c r="CD226" s="9"/>
      <c r="CE226" s="8" t="s">
        <v>366</v>
      </c>
      <c r="CF226" s="8" t="s">
        <v>2650</v>
      </c>
      <c r="CG226" s="9"/>
      <c r="CH226" s="9"/>
      <c r="CI226" s="9"/>
      <c r="CJ226" s="9"/>
      <c r="CK226" s="9"/>
      <c r="CL226" s="9"/>
      <c r="CM226" s="9"/>
      <c r="CN226" s="9"/>
      <c r="CO226" s="9"/>
      <c r="CP226" s="9"/>
    </row>
    <row r="227">
      <c r="A227" s="7" t="s">
        <v>2651</v>
      </c>
      <c r="B227" s="8" t="s">
        <v>2652</v>
      </c>
      <c r="C227" s="8" t="s">
        <v>2653</v>
      </c>
      <c r="D227" s="8" t="s">
        <v>94</v>
      </c>
      <c r="E227" s="8" t="s">
        <v>95</v>
      </c>
      <c r="F227" s="9"/>
      <c r="G227" s="8" t="s">
        <v>2654</v>
      </c>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t="str">
        <f t="shared" si="26"/>
        <v/>
      </c>
      <c r="AK227" s="8"/>
      <c r="AL227" s="8"/>
      <c r="AM227" s="8" t="s">
        <v>1477</v>
      </c>
      <c r="AN227" s="8" t="s">
        <v>2655</v>
      </c>
      <c r="AO227" s="9"/>
      <c r="AP227" s="9"/>
      <c r="AQ227" s="9"/>
      <c r="AR227" s="8" t="s">
        <v>1479</v>
      </c>
      <c r="AS227" s="8" t="s">
        <v>1480</v>
      </c>
      <c r="AT227" s="9"/>
      <c r="AU227" s="8" t="s">
        <v>2656</v>
      </c>
      <c r="AV227" s="8" t="s">
        <v>108</v>
      </c>
      <c r="AW227" s="9"/>
      <c r="AX227" s="9"/>
      <c r="AY227" s="8" t="s">
        <v>2584</v>
      </c>
      <c r="AZ227" s="8" t="b">
        <v>0</v>
      </c>
      <c r="BA227" s="8" t="s">
        <v>110</v>
      </c>
      <c r="BB227" s="8" t="s">
        <v>2657</v>
      </c>
      <c r="BC227" s="9"/>
      <c r="BD227" s="9"/>
      <c r="BE227" s="8" t="s">
        <v>2658</v>
      </c>
      <c r="BF227" s="9"/>
      <c r="BG227" s="9"/>
      <c r="BH227" s="9"/>
      <c r="BI227" s="9"/>
      <c r="BJ227" s="9"/>
      <c r="BK227" s="9"/>
      <c r="BL227" s="9"/>
      <c r="BM227" s="9"/>
      <c r="BN227" s="9"/>
      <c r="BO227" s="9"/>
      <c r="BP227" s="9"/>
      <c r="BQ227" s="9"/>
      <c r="BR227" s="9"/>
      <c r="BS227" s="9"/>
      <c r="BT227" s="9"/>
      <c r="BU227" s="9"/>
      <c r="BV227" s="9"/>
      <c r="BW227" s="9"/>
      <c r="BX227" s="9"/>
      <c r="BY227" s="9"/>
      <c r="BZ227" s="9"/>
      <c r="CA227" s="9"/>
      <c r="CB227" s="8" t="s">
        <v>2212</v>
      </c>
      <c r="CC227" s="9"/>
      <c r="CD227" s="9"/>
      <c r="CE227" s="8" t="s">
        <v>366</v>
      </c>
      <c r="CF227" s="8" t="s">
        <v>2659</v>
      </c>
      <c r="CG227" s="9"/>
      <c r="CH227" s="9"/>
      <c r="CI227" s="9"/>
      <c r="CJ227" s="9"/>
      <c r="CK227" s="9"/>
      <c r="CL227" s="9"/>
      <c r="CM227" s="9"/>
      <c r="CN227" s="9"/>
      <c r="CO227" s="9"/>
      <c r="CP227" s="9"/>
    </row>
    <row r="228">
      <c r="A228" s="7" t="s">
        <v>2660</v>
      </c>
      <c r="B228" s="8" t="s">
        <v>2661</v>
      </c>
      <c r="C228" s="8" t="s">
        <v>2662</v>
      </c>
      <c r="D228" s="8" t="s">
        <v>94</v>
      </c>
      <c r="E228" s="8" t="s">
        <v>95</v>
      </c>
      <c r="F228" s="9"/>
      <c r="G228" s="8" t="s">
        <v>2663</v>
      </c>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t="str">
        <f t="shared" si="26"/>
        <v/>
      </c>
      <c r="AK228" s="8"/>
      <c r="AL228" s="8"/>
      <c r="AM228" s="8" t="s">
        <v>1477</v>
      </c>
      <c r="AN228" s="8" t="s">
        <v>2664</v>
      </c>
      <c r="AO228" s="9"/>
      <c r="AP228" s="9"/>
      <c r="AQ228" s="9"/>
      <c r="AR228" s="8" t="s">
        <v>1479</v>
      </c>
      <c r="AS228" s="8" t="s">
        <v>1480</v>
      </c>
      <c r="AT228" s="9"/>
      <c r="AU228" s="8" t="s">
        <v>2665</v>
      </c>
      <c r="AV228" s="8" t="s">
        <v>108</v>
      </c>
      <c r="AW228" s="9"/>
      <c r="AX228" s="9"/>
      <c r="AY228" s="8" t="s">
        <v>2584</v>
      </c>
      <c r="AZ228" s="8" t="b">
        <v>0</v>
      </c>
      <c r="BA228" s="8" t="s">
        <v>110</v>
      </c>
      <c r="BB228" s="8" t="s">
        <v>2352</v>
      </c>
      <c r="BC228" s="9"/>
      <c r="BD228" s="9"/>
      <c r="BE228" s="8" t="s">
        <v>2666</v>
      </c>
      <c r="BF228" s="9"/>
      <c r="BG228" s="9"/>
      <c r="BH228" s="9"/>
      <c r="BI228" s="9"/>
      <c r="BJ228" s="9"/>
      <c r="BK228" s="9"/>
      <c r="BL228" s="9"/>
      <c r="BM228" s="9"/>
      <c r="BN228" s="9"/>
      <c r="BO228" s="9"/>
      <c r="BP228" s="9"/>
      <c r="BQ228" s="9"/>
      <c r="BR228" s="9"/>
      <c r="BS228" s="9"/>
      <c r="BT228" s="9"/>
      <c r="BU228" s="9"/>
      <c r="BV228" s="9"/>
      <c r="BW228" s="9"/>
      <c r="BX228" s="9"/>
      <c r="BY228" s="9"/>
      <c r="BZ228" s="9"/>
      <c r="CA228" s="9"/>
      <c r="CB228" s="8" t="s">
        <v>2667</v>
      </c>
      <c r="CC228" s="9"/>
      <c r="CD228" s="9"/>
      <c r="CE228" s="8" t="s">
        <v>366</v>
      </c>
      <c r="CF228" s="8" t="s">
        <v>2668</v>
      </c>
      <c r="CG228" s="9"/>
      <c r="CH228" s="9"/>
      <c r="CI228" s="9"/>
      <c r="CJ228" s="9"/>
      <c r="CK228" s="9"/>
      <c r="CL228" s="9"/>
      <c r="CM228" s="9"/>
      <c r="CN228" s="9"/>
      <c r="CO228" s="9"/>
      <c r="CP228" s="9"/>
    </row>
    <row r="229">
      <c r="A229" s="7" t="s">
        <v>2669</v>
      </c>
      <c r="B229" s="8" t="s">
        <v>2670</v>
      </c>
      <c r="C229" s="8" t="s">
        <v>2671</v>
      </c>
      <c r="D229" s="8" t="s">
        <v>94</v>
      </c>
      <c r="E229" s="8" t="s">
        <v>95</v>
      </c>
      <c r="F229" s="9"/>
      <c r="G229" s="8" t="s">
        <v>2672</v>
      </c>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t="str">
        <f t="shared" si="26"/>
        <v/>
      </c>
      <c r="AK229" s="8"/>
      <c r="AL229" s="8"/>
      <c r="AM229" s="8" t="s">
        <v>1477</v>
      </c>
      <c r="AN229" s="8" t="s">
        <v>2673</v>
      </c>
      <c r="AO229" s="9"/>
      <c r="AP229" s="9"/>
      <c r="AQ229" s="9"/>
      <c r="AR229" s="8" t="s">
        <v>1479</v>
      </c>
      <c r="AS229" s="8" t="s">
        <v>1480</v>
      </c>
      <c r="AT229" s="9"/>
      <c r="AU229" s="8" t="s">
        <v>2674</v>
      </c>
      <c r="AV229" s="8" t="s">
        <v>108</v>
      </c>
      <c r="AW229" s="9"/>
      <c r="AX229" s="9"/>
      <c r="AY229" s="8" t="s">
        <v>2584</v>
      </c>
      <c r="AZ229" s="8" t="b">
        <v>0</v>
      </c>
      <c r="BA229" s="8" t="s">
        <v>110</v>
      </c>
      <c r="BB229" s="8" t="s">
        <v>2675</v>
      </c>
      <c r="BC229" s="9"/>
      <c r="BD229" s="9"/>
      <c r="BE229" s="8" t="s">
        <v>2676</v>
      </c>
      <c r="BF229" s="9"/>
      <c r="BG229" s="9"/>
      <c r="BH229" s="9"/>
      <c r="BI229" s="9"/>
      <c r="BJ229" s="9"/>
      <c r="BK229" s="9"/>
      <c r="BL229" s="9"/>
      <c r="BM229" s="9"/>
      <c r="BN229" s="9"/>
      <c r="BO229" s="9"/>
      <c r="BP229" s="9"/>
      <c r="BQ229" s="9"/>
      <c r="BR229" s="9"/>
      <c r="BS229" s="9"/>
      <c r="BT229" s="9"/>
      <c r="BU229" s="9"/>
      <c r="BV229" s="9"/>
      <c r="BW229" s="9"/>
      <c r="BX229" s="9"/>
      <c r="BY229" s="9"/>
      <c r="BZ229" s="9"/>
      <c r="CA229" s="9"/>
      <c r="CB229" s="8" t="s">
        <v>2667</v>
      </c>
      <c r="CC229" s="9"/>
      <c r="CD229" s="9"/>
      <c r="CE229" s="8" t="s">
        <v>366</v>
      </c>
      <c r="CF229" s="8" t="s">
        <v>2677</v>
      </c>
      <c r="CG229" s="9"/>
      <c r="CH229" s="9"/>
      <c r="CI229" s="9"/>
      <c r="CJ229" s="9"/>
      <c r="CK229" s="9"/>
      <c r="CL229" s="9"/>
      <c r="CM229" s="9"/>
      <c r="CN229" s="9"/>
      <c r="CO229" s="9"/>
      <c r="CP229" s="9"/>
    </row>
    <row r="230">
      <c r="A230" s="7" t="s">
        <v>2678</v>
      </c>
      <c r="B230" s="8" t="s">
        <v>2679</v>
      </c>
      <c r="C230" s="8" t="s">
        <v>2680</v>
      </c>
      <c r="D230" s="8" t="s">
        <v>94</v>
      </c>
      <c r="E230" s="8" t="s">
        <v>95</v>
      </c>
      <c r="F230" s="9"/>
      <c r="G230" s="8" t="s">
        <v>2681</v>
      </c>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t="str">
        <f t="shared" si="26"/>
        <v/>
      </c>
      <c r="AK230" s="8"/>
      <c r="AL230" s="8"/>
      <c r="AM230" s="8" t="s">
        <v>1477</v>
      </c>
      <c r="AN230" s="8" t="s">
        <v>2682</v>
      </c>
      <c r="AO230" s="9"/>
      <c r="AP230" s="9"/>
      <c r="AQ230" s="9"/>
      <c r="AR230" s="8" t="s">
        <v>1479</v>
      </c>
      <c r="AS230" s="8" t="s">
        <v>1480</v>
      </c>
      <c r="AT230" s="9"/>
      <c r="AU230" s="8" t="s">
        <v>2683</v>
      </c>
      <c r="AV230" s="8" t="s">
        <v>108</v>
      </c>
      <c r="AW230" s="9"/>
      <c r="AX230" s="9"/>
      <c r="AY230" s="8" t="s">
        <v>2584</v>
      </c>
      <c r="AZ230" s="8" t="b">
        <v>0</v>
      </c>
      <c r="BA230" s="8" t="s">
        <v>110</v>
      </c>
      <c r="BB230" s="8" t="s">
        <v>2476</v>
      </c>
      <c r="BC230" s="9"/>
      <c r="BD230" s="9"/>
      <c r="BE230" s="8" t="s">
        <v>2684</v>
      </c>
      <c r="BF230" s="9"/>
      <c r="BG230" s="9"/>
      <c r="BH230" s="9"/>
      <c r="BI230" s="9"/>
      <c r="BJ230" s="9"/>
      <c r="BK230" s="9"/>
      <c r="BL230" s="9"/>
      <c r="BM230" s="9"/>
      <c r="BN230" s="9"/>
      <c r="BO230" s="9"/>
      <c r="BP230" s="9"/>
      <c r="BQ230" s="9"/>
      <c r="BR230" s="9"/>
      <c r="BS230" s="9"/>
      <c r="BT230" s="9"/>
      <c r="BU230" s="9"/>
      <c r="BV230" s="9"/>
      <c r="BW230" s="9"/>
      <c r="BX230" s="9"/>
      <c r="BY230" s="9"/>
      <c r="BZ230" s="9"/>
      <c r="CA230" s="9"/>
      <c r="CB230" s="8" t="s">
        <v>2685</v>
      </c>
      <c r="CC230" s="9"/>
      <c r="CD230" s="9"/>
      <c r="CE230" s="8" t="s">
        <v>197</v>
      </c>
      <c r="CF230" s="8" t="s">
        <v>2686</v>
      </c>
      <c r="CG230" s="9"/>
      <c r="CH230" s="9"/>
      <c r="CI230" s="9"/>
      <c r="CJ230" s="9"/>
      <c r="CK230" s="9"/>
      <c r="CL230" s="9"/>
      <c r="CM230" s="9"/>
      <c r="CN230" s="9"/>
      <c r="CO230" s="9"/>
      <c r="CP230" s="9"/>
    </row>
    <row r="231">
      <c r="A231" s="7" t="s">
        <v>2687</v>
      </c>
      <c r="B231" s="8" t="s">
        <v>2688</v>
      </c>
      <c r="C231" s="8" t="s">
        <v>2689</v>
      </c>
      <c r="D231" s="8" t="s">
        <v>94</v>
      </c>
      <c r="E231" s="8" t="s">
        <v>95</v>
      </c>
      <c r="F231" s="9"/>
      <c r="G231" s="8" t="s">
        <v>2690</v>
      </c>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t="str">
        <f t="shared" si="26"/>
        <v/>
      </c>
      <c r="AK231" s="8"/>
      <c r="AL231" s="8"/>
      <c r="AM231" s="8" t="s">
        <v>1477</v>
      </c>
      <c r="AN231" s="8" t="s">
        <v>2691</v>
      </c>
      <c r="AO231" s="9"/>
      <c r="AP231" s="9"/>
      <c r="AQ231" s="9"/>
      <c r="AR231" s="8" t="s">
        <v>1479</v>
      </c>
      <c r="AS231" s="8" t="s">
        <v>1480</v>
      </c>
      <c r="AT231" s="9"/>
      <c r="AU231" s="8" t="s">
        <v>2692</v>
      </c>
      <c r="AV231" s="8" t="s">
        <v>108</v>
      </c>
      <c r="AW231" s="9"/>
      <c r="AX231" s="9"/>
      <c r="AY231" s="8" t="s">
        <v>2584</v>
      </c>
      <c r="AZ231" s="8" t="b">
        <v>0</v>
      </c>
      <c r="BA231" s="8" t="s">
        <v>110</v>
      </c>
      <c r="BB231" s="9"/>
      <c r="BC231" s="9"/>
      <c r="BD231" s="9"/>
      <c r="BE231" s="8" t="s">
        <v>2693</v>
      </c>
      <c r="BF231" s="9"/>
      <c r="BG231" s="9"/>
      <c r="BH231" s="9"/>
      <c r="BI231" s="9"/>
      <c r="BJ231" s="9"/>
      <c r="BK231" s="9"/>
      <c r="BL231" s="9"/>
      <c r="BM231" s="9"/>
      <c r="BN231" s="9"/>
      <c r="BO231" s="9"/>
      <c r="BP231" s="9"/>
      <c r="BQ231" s="9"/>
      <c r="BR231" s="9"/>
      <c r="BS231" s="9"/>
      <c r="BT231" s="9"/>
      <c r="BU231" s="9"/>
      <c r="BV231" s="9"/>
      <c r="BW231" s="9"/>
      <c r="BX231" s="9"/>
      <c r="BY231" s="9"/>
      <c r="BZ231" s="9"/>
      <c r="CA231" s="9"/>
      <c r="CB231" s="8" t="s">
        <v>2694</v>
      </c>
      <c r="CC231" s="9"/>
      <c r="CD231" s="9"/>
      <c r="CE231" s="8" t="s">
        <v>366</v>
      </c>
      <c r="CF231" s="8" t="s">
        <v>2695</v>
      </c>
      <c r="CG231" s="9"/>
      <c r="CH231" s="9"/>
      <c r="CI231" s="9"/>
      <c r="CJ231" s="9"/>
      <c r="CK231" s="9"/>
      <c r="CL231" s="9"/>
      <c r="CM231" s="9"/>
      <c r="CN231" s="9"/>
      <c r="CO231" s="9"/>
      <c r="CP231" s="9"/>
    </row>
    <row r="232">
      <c r="A232" s="7" t="s">
        <v>2696</v>
      </c>
      <c r="B232" s="8" t="s">
        <v>2697</v>
      </c>
      <c r="C232" s="8" t="s">
        <v>2698</v>
      </c>
      <c r="D232" s="8" t="s">
        <v>94</v>
      </c>
      <c r="E232" s="8" t="s">
        <v>95</v>
      </c>
      <c r="F232" s="9"/>
      <c r="G232" s="8" t="s">
        <v>2699</v>
      </c>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t="str">
        <f t="shared" si="26"/>
        <v/>
      </c>
      <c r="AK232" s="8"/>
      <c r="AL232" s="8"/>
      <c r="AM232" s="8" t="s">
        <v>1477</v>
      </c>
      <c r="AN232" s="8" t="s">
        <v>2700</v>
      </c>
      <c r="AO232" s="9"/>
      <c r="AP232" s="9"/>
      <c r="AQ232" s="9"/>
      <c r="AR232" s="8" t="s">
        <v>1479</v>
      </c>
      <c r="AS232" s="8" t="s">
        <v>1480</v>
      </c>
      <c r="AT232" s="9"/>
      <c r="AU232" s="8" t="s">
        <v>2701</v>
      </c>
      <c r="AV232" s="8" t="s">
        <v>108</v>
      </c>
      <c r="AW232" s="9"/>
      <c r="AX232" s="9"/>
      <c r="AY232" s="8" t="s">
        <v>2584</v>
      </c>
      <c r="AZ232" s="8" t="b">
        <v>0</v>
      </c>
      <c r="BA232" s="8" t="s">
        <v>110</v>
      </c>
      <c r="BB232" s="9"/>
      <c r="BC232" s="9"/>
      <c r="BD232" s="9"/>
      <c r="BE232" s="8" t="s">
        <v>1295</v>
      </c>
      <c r="BF232" s="9"/>
      <c r="BG232" s="9"/>
      <c r="BH232" s="9"/>
      <c r="BI232" s="9"/>
      <c r="BJ232" s="9"/>
      <c r="BK232" s="9"/>
      <c r="BL232" s="9"/>
      <c r="BM232" s="9"/>
      <c r="BN232" s="9"/>
      <c r="BO232" s="9"/>
      <c r="BP232" s="9"/>
      <c r="BQ232" s="9"/>
      <c r="BR232" s="9"/>
      <c r="BS232" s="9"/>
      <c r="BT232" s="9"/>
      <c r="BU232" s="9"/>
      <c r="BV232" s="9"/>
      <c r="BW232" s="9"/>
      <c r="BX232" s="9"/>
      <c r="BY232" s="9"/>
      <c r="BZ232" s="9"/>
      <c r="CA232" s="9"/>
      <c r="CB232" s="8" t="s">
        <v>2702</v>
      </c>
      <c r="CC232" s="9"/>
      <c r="CD232" s="9"/>
      <c r="CE232" s="8" t="s">
        <v>366</v>
      </c>
      <c r="CF232" s="8" t="s">
        <v>2703</v>
      </c>
      <c r="CG232" s="9"/>
      <c r="CH232" s="9"/>
      <c r="CI232" s="9"/>
      <c r="CJ232" s="9"/>
      <c r="CK232" s="9"/>
      <c r="CL232" s="9"/>
      <c r="CM232" s="9"/>
      <c r="CN232" s="9"/>
      <c r="CO232" s="9"/>
      <c r="CP232" s="9"/>
    </row>
    <row r="233">
      <c r="A233" s="7" t="s">
        <v>2704</v>
      </c>
      <c r="B233" s="8" t="s">
        <v>2705</v>
      </c>
      <c r="C233" s="8" t="s">
        <v>2706</v>
      </c>
      <c r="D233" s="8" t="s">
        <v>94</v>
      </c>
      <c r="E233" s="8" t="s">
        <v>95</v>
      </c>
      <c r="F233" s="9"/>
      <c r="G233" s="8" t="s">
        <v>2707</v>
      </c>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t="str">
        <f t="shared" si="26"/>
        <v/>
      </c>
      <c r="AK233" s="8"/>
      <c r="AL233" s="8"/>
      <c r="AM233" s="8" t="s">
        <v>1477</v>
      </c>
      <c r="AN233" s="8" t="s">
        <v>2708</v>
      </c>
      <c r="AO233" s="9"/>
      <c r="AP233" s="9"/>
      <c r="AQ233" s="9"/>
      <c r="AR233" s="8" t="s">
        <v>1479</v>
      </c>
      <c r="AS233" s="8" t="s">
        <v>1480</v>
      </c>
      <c r="AT233" s="9"/>
      <c r="AU233" s="8" t="s">
        <v>2709</v>
      </c>
      <c r="AV233" s="8" t="s">
        <v>108</v>
      </c>
      <c r="AW233" s="9"/>
      <c r="AX233" s="9"/>
      <c r="AY233" s="8" t="s">
        <v>2584</v>
      </c>
      <c r="AZ233" s="8" t="b">
        <v>0</v>
      </c>
      <c r="BA233" s="8" t="s">
        <v>110</v>
      </c>
      <c r="BB233" s="9"/>
      <c r="BC233" s="9"/>
      <c r="BD233" s="9"/>
      <c r="BE233" s="8" t="s">
        <v>2710</v>
      </c>
      <c r="BF233" s="9"/>
      <c r="BG233" s="9"/>
      <c r="BH233" s="9"/>
      <c r="BI233" s="9"/>
      <c r="BJ233" s="9"/>
      <c r="BK233" s="9"/>
      <c r="BL233" s="9"/>
      <c r="BM233" s="9"/>
      <c r="BN233" s="9"/>
      <c r="BO233" s="9"/>
      <c r="BP233" s="9"/>
      <c r="BQ233" s="9"/>
      <c r="BR233" s="9"/>
      <c r="BS233" s="9"/>
      <c r="BT233" s="9"/>
      <c r="BU233" s="9"/>
      <c r="BV233" s="9"/>
      <c r="BW233" s="9"/>
      <c r="BX233" s="9"/>
      <c r="BY233" s="9"/>
      <c r="BZ233" s="9"/>
      <c r="CA233" s="9"/>
      <c r="CB233" s="8" t="s">
        <v>2711</v>
      </c>
      <c r="CC233" s="9"/>
      <c r="CD233" s="9"/>
      <c r="CE233" s="8" t="s">
        <v>366</v>
      </c>
      <c r="CF233" s="8" t="s">
        <v>2712</v>
      </c>
      <c r="CG233" s="9"/>
      <c r="CH233" s="9"/>
      <c r="CI233" s="9"/>
      <c r="CJ233" s="9"/>
      <c r="CK233" s="9"/>
      <c r="CL233" s="9"/>
      <c r="CM233" s="9"/>
      <c r="CN233" s="9"/>
      <c r="CO233" s="9"/>
      <c r="CP233" s="9"/>
    </row>
    <row r="234">
      <c r="A234" s="7" t="s">
        <v>2713</v>
      </c>
      <c r="B234" s="8" t="s">
        <v>2714</v>
      </c>
      <c r="C234" s="8" t="s">
        <v>2715</v>
      </c>
      <c r="D234" s="8" t="s">
        <v>94</v>
      </c>
      <c r="E234" s="8" t="s">
        <v>95</v>
      </c>
      <c r="F234" s="9"/>
      <c r="G234" s="8" t="s">
        <v>2716</v>
      </c>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t="str">
        <f t="shared" si="26"/>
        <v/>
      </c>
      <c r="AK234" s="8"/>
      <c r="AL234" s="8"/>
      <c r="AM234" s="8" t="s">
        <v>1477</v>
      </c>
      <c r="AN234" s="8" t="s">
        <v>2717</v>
      </c>
      <c r="AO234" s="9"/>
      <c r="AP234" s="9"/>
      <c r="AQ234" s="9"/>
      <c r="AR234" s="8" t="s">
        <v>1479</v>
      </c>
      <c r="AS234" s="8" t="s">
        <v>1480</v>
      </c>
      <c r="AT234" s="9"/>
      <c r="AU234" s="8" t="s">
        <v>2718</v>
      </c>
      <c r="AV234" s="8" t="s">
        <v>108</v>
      </c>
      <c r="AW234" s="9"/>
      <c r="AX234" s="9"/>
      <c r="AY234" s="8" t="s">
        <v>2584</v>
      </c>
      <c r="AZ234" s="8" t="b">
        <v>0</v>
      </c>
      <c r="BA234" s="8" t="s">
        <v>110</v>
      </c>
      <c r="BB234" s="9"/>
      <c r="BC234" s="9"/>
      <c r="BD234" s="9"/>
      <c r="BE234" s="8" t="s">
        <v>2719</v>
      </c>
      <c r="BF234" s="9"/>
      <c r="BG234" s="9"/>
      <c r="BH234" s="9"/>
      <c r="BI234" s="9"/>
      <c r="BJ234" s="9"/>
      <c r="BK234" s="9"/>
      <c r="BL234" s="9"/>
      <c r="BM234" s="9"/>
      <c r="BN234" s="9"/>
      <c r="BO234" s="9"/>
      <c r="BP234" s="9"/>
      <c r="BQ234" s="9"/>
      <c r="BR234" s="9"/>
      <c r="BS234" s="9"/>
      <c r="BT234" s="9"/>
      <c r="BU234" s="9"/>
      <c r="BV234" s="9"/>
      <c r="BW234" s="9"/>
      <c r="BX234" s="9"/>
      <c r="BY234" s="9"/>
      <c r="BZ234" s="9"/>
      <c r="CA234" s="9"/>
      <c r="CB234" s="8" t="s">
        <v>2720</v>
      </c>
      <c r="CC234" s="9"/>
      <c r="CD234" s="9"/>
      <c r="CE234" s="8" t="s">
        <v>115</v>
      </c>
      <c r="CF234" s="8" t="s">
        <v>2721</v>
      </c>
      <c r="CG234" s="9"/>
      <c r="CH234" s="9"/>
      <c r="CI234" s="9"/>
      <c r="CJ234" s="9"/>
      <c r="CK234" s="9"/>
      <c r="CL234" s="9"/>
      <c r="CM234" s="9"/>
      <c r="CN234" s="9"/>
      <c r="CO234" s="9"/>
      <c r="CP234" s="9"/>
    </row>
    <row r="235">
      <c r="A235" s="7" t="s">
        <v>2722</v>
      </c>
      <c r="B235" s="8" t="s">
        <v>2723</v>
      </c>
      <c r="C235" s="8" t="s">
        <v>2724</v>
      </c>
      <c r="D235" s="8" t="s">
        <v>94</v>
      </c>
      <c r="E235" s="8" t="s">
        <v>95</v>
      </c>
      <c r="F235" s="9"/>
      <c r="G235" s="8" t="s">
        <v>2725</v>
      </c>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t="str">
        <f t="shared" si="26"/>
        <v/>
      </c>
      <c r="AK235" s="8"/>
      <c r="AL235" s="8"/>
      <c r="AM235" s="8" t="s">
        <v>1477</v>
      </c>
      <c r="AN235" s="8" t="s">
        <v>2726</v>
      </c>
      <c r="AO235" s="9"/>
      <c r="AP235" s="9"/>
      <c r="AQ235" s="9"/>
      <c r="AR235" s="8" t="s">
        <v>1479</v>
      </c>
      <c r="AS235" s="8" t="s">
        <v>1480</v>
      </c>
      <c r="AT235" s="9"/>
      <c r="AU235" s="8" t="s">
        <v>2727</v>
      </c>
      <c r="AV235" s="8" t="s">
        <v>108</v>
      </c>
      <c r="AW235" s="9"/>
      <c r="AX235" s="9"/>
      <c r="AY235" s="8" t="s">
        <v>2584</v>
      </c>
      <c r="AZ235" s="8" t="b">
        <v>0</v>
      </c>
      <c r="BA235" s="8" t="s">
        <v>110</v>
      </c>
      <c r="BB235" s="9"/>
      <c r="BC235" s="9"/>
      <c r="BD235" s="9"/>
      <c r="BE235" s="8" t="s">
        <v>2728</v>
      </c>
      <c r="BF235" s="9"/>
      <c r="BG235" s="9"/>
      <c r="BH235" s="9"/>
      <c r="BI235" s="9"/>
      <c r="BJ235" s="9"/>
      <c r="BK235" s="9"/>
      <c r="BL235" s="9"/>
      <c r="BM235" s="9"/>
      <c r="BN235" s="9"/>
      <c r="BO235" s="9"/>
      <c r="BP235" s="9"/>
      <c r="BQ235" s="9"/>
      <c r="BR235" s="9"/>
      <c r="BS235" s="9"/>
      <c r="BT235" s="9"/>
      <c r="BU235" s="9"/>
      <c r="BV235" s="9"/>
      <c r="BW235" s="9"/>
      <c r="BX235" s="9"/>
      <c r="BY235" s="9"/>
      <c r="BZ235" s="9"/>
      <c r="CA235" s="9"/>
      <c r="CB235" s="8" t="s">
        <v>2039</v>
      </c>
      <c r="CC235" s="9"/>
      <c r="CD235" s="9"/>
      <c r="CE235" s="8" t="s">
        <v>366</v>
      </c>
      <c r="CF235" s="8" t="s">
        <v>2729</v>
      </c>
      <c r="CG235" s="9"/>
      <c r="CH235" s="9"/>
      <c r="CI235" s="9"/>
      <c r="CJ235" s="9"/>
      <c r="CK235" s="9"/>
      <c r="CL235" s="9"/>
      <c r="CM235" s="9"/>
      <c r="CN235" s="9"/>
      <c r="CO235" s="9"/>
      <c r="CP235" s="9"/>
    </row>
    <row r="236">
      <c r="A236" s="7" t="s">
        <v>2730</v>
      </c>
      <c r="B236" s="8" t="s">
        <v>2731</v>
      </c>
      <c r="C236" s="8" t="s">
        <v>2731</v>
      </c>
      <c r="D236" s="8" t="s">
        <v>94</v>
      </c>
      <c r="E236" s="8" t="s">
        <v>2732</v>
      </c>
      <c r="F236" s="9"/>
      <c r="G236" s="8" t="s">
        <v>2733</v>
      </c>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t="str">
        <f t="shared" si="26"/>
        <v/>
      </c>
      <c r="AK236" s="8"/>
      <c r="AL236" s="8"/>
      <c r="AM236" s="9"/>
      <c r="AN236" s="9"/>
      <c r="AO236" s="9"/>
      <c r="AP236" s="9"/>
      <c r="AQ236" s="9"/>
      <c r="AR236" s="9"/>
      <c r="AS236" s="9"/>
      <c r="AT236" s="9"/>
      <c r="AU236" s="9"/>
      <c r="AV236" s="8" t="s">
        <v>2734</v>
      </c>
      <c r="AW236" s="9"/>
      <c r="AX236" s="9"/>
      <c r="AY236" s="8" t="s">
        <v>2584</v>
      </c>
      <c r="AZ236" s="8" t="b">
        <v>0</v>
      </c>
      <c r="BA236" s="8" t="s">
        <v>190</v>
      </c>
      <c r="BB236" s="8" t="s">
        <v>628</v>
      </c>
      <c r="BC236" s="8" t="s">
        <v>629</v>
      </c>
      <c r="BD236" s="9"/>
      <c r="BE236" s="9"/>
      <c r="BF236" s="9"/>
      <c r="BG236" s="9"/>
      <c r="BH236" s="9"/>
      <c r="BI236" s="9"/>
      <c r="BJ236" s="9"/>
      <c r="BK236" s="9"/>
      <c r="BL236" s="9"/>
      <c r="BM236" s="9"/>
      <c r="BN236" s="9"/>
      <c r="BO236" s="9"/>
      <c r="BP236" s="9"/>
      <c r="BQ236" s="9"/>
      <c r="BR236" s="8" t="s">
        <v>193</v>
      </c>
      <c r="BS236" s="8" t="s">
        <v>194</v>
      </c>
      <c r="BT236" s="9"/>
      <c r="BU236" s="9"/>
      <c r="BV236" s="9"/>
      <c r="BW236" s="9"/>
      <c r="BX236" s="9"/>
      <c r="BY236" s="9"/>
      <c r="BZ236" s="9"/>
      <c r="CA236" s="9"/>
      <c r="CB236" s="8" t="s">
        <v>2735</v>
      </c>
      <c r="CC236" s="9"/>
      <c r="CD236" s="9"/>
      <c r="CE236" s="8" t="s">
        <v>366</v>
      </c>
      <c r="CF236" s="8" t="s">
        <v>2736</v>
      </c>
      <c r="CG236" s="9"/>
      <c r="CH236" s="9"/>
      <c r="CI236" s="9"/>
      <c r="CJ236" s="9"/>
      <c r="CK236" s="9"/>
      <c r="CL236" s="9"/>
      <c r="CM236" s="9"/>
      <c r="CN236" s="9"/>
      <c r="CO236" s="9"/>
      <c r="CP236" s="9"/>
    </row>
    <row r="237">
      <c r="A237" s="7" t="s">
        <v>2737</v>
      </c>
      <c r="B237" s="8" t="s">
        <v>2738</v>
      </c>
      <c r="C237" s="8" t="s">
        <v>2739</v>
      </c>
      <c r="D237" s="8" t="s">
        <v>94</v>
      </c>
      <c r="E237" s="8" t="s">
        <v>95</v>
      </c>
      <c r="F237" s="9"/>
      <c r="G237" s="8" t="s">
        <v>2740</v>
      </c>
      <c r="H237" s="8"/>
      <c r="I237" s="8"/>
      <c r="J237" s="8"/>
      <c r="K237" s="8"/>
      <c r="L237" s="8"/>
      <c r="M237" s="8"/>
      <c r="N237" s="8"/>
      <c r="O237" s="8"/>
      <c r="P237" s="8"/>
      <c r="Q237" s="8"/>
      <c r="R237" s="8"/>
      <c r="S237" s="8"/>
      <c r="T237" s="8"/>
      <c r="U237" s="8"/>
      <c r="V237" s="8"/>
      <c r="W237" s="8"/>
      <c r="X237" s="9"/>
      <c r="Y237" s="8"/>
      <c r="Z237" s="8"/>
      <c r="AA237" s="8"/>
      <c r="AB237" s="8"/>
      <c r="AC237" s="8"/>
      <c r="AD237" s="8"/>
      <c r="AE237" s="8"/>
      <c r="AF237" s="8"/>
      <c r="AG237" s="8"/>
      <c r="AH237" s="8"/>
      <c r="AI237" s="8"/>
      <c r="AJ237" s="8"/>
      <c r="AK237" s="8"/>
      <c r="AL237" s="8"/>
      <c r="AM237" s="8" t="s">
        <v>105</v>
      </c>
      <c r="AN237" s="8" t="s">
        <v>2741</v>
      </c>
      <c r="AO237" s="9"/>
      <c r="AP237" s="9"/>
      <c r="AQ237" s="9"/>
      <c r="AR237" s="9"/>
      <c r="AS237" s="9"/>
      <c r="AT237" s="9"/>
      <c r="AU237" s="8" t="s">
        <v>2742</v>
      </c>
      <c r="AV237" s="8" t="s">
        <v>108</v>
      </c>
      <c r="AW237" s="9"/>
      <c r="AX237" s="9"/>
      <c r="AY237" s="8" t="s">
        <v>2743</v>
      </c>
      <c r="AZ237" s="8" t="b">
        <v>0</v>
      </c>
      <c r="BA237" s="8" t="s">
        <v>110</v>
      </c>
      <c r="BB237" s="8" t="s">
        <v>773</v>
      </c>
      <c r="BC237" s="9"/>
      <c r="BD237" s="9"/>
      <c r="BE237" s="8" t="s">
        <v>2744</v>
      </c>
      <c r="BF237" s="9"/>
      <c r="BG237" s="9"/>
      <c r="BH237" s="9"/>
      <c r="BI237" s="9"/>
      <c r="BJ237" s="9"/>
      <c r="BK237" s="9"/>
      <c r="BL237" s="9"/>
      <c r="BM237" s="9"/>
      <c r="BN237" s="9"/>
      <c r="BO237" s="9"/>
      <c r="BP237" s="9"/>
      <c r="BQ237" s="9"/>
      <c r="BR237" s="9"/>
      <c r="BS237" s="9"/>
      <c r="BT237" s="9"/>
      <c r="BU237" s="9"/>
      <c r="BV237" s="9"/>
      <c r="BW237" s="9"/>
      <c r="BX237" s="9"/>
      <c r="BY237" s="9"/>
      <c r="BZ237" s="9"/>
      <c r="CA237" s="9"/>
      <c r="CB237" s="8" t="s">
        <v>2745</v>
      </c>
      <c r="CC237" s="9"/>
      <c r="CD237" s="9"/>
      <c r="CE237" s="8" t="s">
        <v>412</v>
      </c>
      <c r="CF237" s="8" t="s">
        <v>2746</v>
      </c>
      <c r="CG237" s="9"/>
      <c r="CH237" s="9"/>
      <c r="CI237" s="9"/>
      <c r="CJ237" s="9"/>
      <c r="CK237" s="9"/>
      <c r="CL237" s="9"/>
      <c r="CM237" s="9"/>
      <c r="CN237" s="9"/>
      <c r="CO237" s="9"/>
      <c r="CP237" s="9"/>
    </row>
    <row r="238">
      <c r="A238" s="4" t="s">
        <v>2747</v>
      </c>
      <c r="B238" s="5" t="s">
        <v>2748</v>
      </c>
      <c r="C238" s="5" t="s">
        <v>2749</v>
      </c>
      <c r="D238" s="5" t="s">
        <v>94</v>
      </c>
      <c r="E238" s="5" t="s">
        <v>95</v>
      </c>
      <c r="F238" s="6"/>
      <c r="G238" s="5" t="s">
        <v>2750</v>
      </c>
      <c r="H238" s="5" t="s">
        <v>97</v>
      </c>
      <c r="I238" s="5" t="s">
        <v>2751</v>
      </c>
      <c r="J238" s="5"/>
      <c r="K238" s="5"/>
      <c r="L238" s="5"/>
      <c r="M238" s="5" t="s">
        <v>100</v>
      </c>
      <c r="N238" s="5" t="s">
        <v>1633</v>
      </c>
      <c r="O238" s="5" t="s">
        <v>100</v>
      </c>
      <c r="P238" s="5" t="s">
        <v>100</v>
      </c>
      <c r="Q238" s="5"/>
      <c r="R238" s="5"/>
      <c r="S238" s="5" t="s">
        <v>100</v>
      </c>
      <c r="T238" s="5" t="s">
        <v>2752</v>
      </c>
      <c r="U238" s="5" t="s">
        <v>100</v>
      </c>
      <c r="V238" s="5" t="s">
        <v>100</v>
      </c>
      <c r="W238" s="5" t="s">
        <v>100</v>
      </c>
      <c r="X238" s="5" t="s">
        <v>100</v>
      </c>
      <c r="Y238" s="5" t="s">
        <v>2753</v>
      </c>
      <c r="Z238" s="5" t="s">
        <v>100</v>
      </c>
      <c r="AA238" s="5"/>
      <c r="AB238" s="5" t="s">
        <v>2754</v>
      </c>
      <c r="AC238" s="5" t="s">
        <v>2755</v>
      </c>
      <c r="AD238" s="5" t="s">
        <v>2752</v>
      </c>
      <c r="AE238" s="5" t="s">
        <v>2756</v>
      </c>
      <c r="AF238" s="5" t="s">
        <v>100</v>
      </c>
      <c r="AG238" s="5" t="s">
        <v>100</v>
      </c>
      <c r="AH238" s="5" t="s">
        <v>100</v>
      </c>
      <c r="AI238" s="5" t="s">
        <v>2757</v>
      </c>
      <c r="AJ238" s="5" t="s">
        <v>2758</v>
      </c>
      <c r="AK238" s="5" t="s">
        <v>124</v>
      </c>
      <c r="AL238" s="5" t="s">
        <v>124</v>
      </c>
      <c r="AM238" s="5" t="s">
        <v>105</v>
      </c>
      <c r="AN238" s="5" t="s">
        <v>2759</v>
      </c>
      <c r="AO238" s="6"/>
      <c r="AP238" s="5" t="s">
        <v>1665</v>
      </c>
      <c r="AQ238" s="6"/>
      <c r="AR238" s="6"/>
      <c r="AS238" s="6"/>
      <c r="AT238" s="6"/>
      <c r="AU238" s="5" t="s">
        <v>2760</v>
      </c>
      <c r="AV238" s="6"/>
      <c r="AW238" s="6"/>
      <c r="AX238" s="6"/>
      <c r="AY238" s="5" t="s">
        <v>2743</v>
      </c>
      <c r="AZ238" s="5" t="b">
        <v>0</v>
      </c>
      <c r="BA238" s="5" t="s">
        <v>190</v>
      </c>
      <c r="BB238" s="5" t="s">
        <v>191</v>
      </c>
      <c r="BC238" s="6"/>
      <c r="BD238" s="6"/>
      <c r="BE238" s="5" t="s">
        <v>2761</v>
      </c>
      <c r="BF238" s="5" t="s">
        <v>94</v>
      </c>
      <c r="BG238" s="5" t="s">
        <v>95</v>
      </c>
      <c r="BH238" s="5" t="s">
        <v>2762</v>
      </c>
      <c r="BI238" s="6"/>
      <c r="BJ238" s="6"/>
      <c r="BK238" s="6"/>
      <c r="BL238" s="6"/>
      <c r="BM238" s="6"/>
      <c r="BN238" s="6"/>
      <c r="BO238" s="6"/>
      <c r="BP238" s="6"/>
      <c r="BQ238" s="6"/>
      <c r="BR238" s="5" t="s">
        <v>193</v>
      </c>
      <c r="BS238" s="5" t="s">
        <v>194</v>
      </c>
      <c r="BT238" s="5" t="s">
        <v>2763</v>
      </c>
      <c r="BU238" s="6"/>
      <c r="BV238" s="5" t="s">
        <v>2764</v>
      </c>
      <c r="BW238" s="6"/>
      <c r="BX238" s="6"/>
      <c r="BY238" s="6"/>
      <c r="BZ238" s="6"/>
      <c r="CA238" s="6"/>
      <c r="CB238" s="5" t="s">
        <v>2765</v>
      </c>
      <c r="CC238" s="6"/>
      <c r="CD238" s="6"/>
      <c r="CE238" s="5" t="s">
        <v>2766</v>
      </c>
      <c r="CF238" s="5" t="s">
        <v>2767</v>
      </c>
      <c r="CG238" s="6"/>
      <c r="CH238" s="6"/>
      <c r="CI238" s="6"/>
      <c r="CJ238" s="6"/>
      <c r="CK238" s="6"/>
      <c r="CL238" s="6"/>
      <c r="CM238" s="6"/>
      <c r="CN238" s="6"/>
      <c r="CO238" s="6"/>
      <c r="CP238" s="6"/>
    </row>
    <row r="239">
      <c r="A239" s="7" t="s">
        <v>2768</v>
      </c>
      <c r="B239" s="8" t="s">
        <v>2769</v>
      </c>
      <c r="C239" s="8" t="s">
        <v>2770</v>
      </c>
      <c r="D239" s="8" t="s">
        <v>94</v>
      </c>
      <c r="E239" s="8" t="s">
        <v>95</v>
      </c>
      <c r="F239" s="9"/>
      <c r="G239" s="8" t="s">
        <v>2771</v>
      </c>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t="str">
        <f t="shared" ref="AJ239:AJ253" si="27">CONCATENATE(J239,K239,L239,Q239,R239,X239,Y239,AA239,AG239)</f>
        <v/>
      </c>
      <c r="AK239" s="8"/>
      <c r="AL239" s="8"/>
      <c r="AM239" s="8" t="s">
        <v>105</v>
      </c>
      <c r="AN239" s="8" t="s">
        <v>2772</v>
      </c>
      <c r="AO239" s="9"/>
      <c r="AP239" s="9"/>
      <c r="AQ239" s="9"/>
      <c r="AR239" s="9"/>
      <c r="AS239" s="9"/>
      <c r="AT239" s="9"/>
      <c r="AU239" s="8" t="s">
        <v>2773</v>
      </c>
      <c r="AV239" s="8" t="s">
        <v>108</v>
      </c>
      <c r="AW239" s="9"/>
      <c r="AX239" s="9"/>
      <c r="AY239" s="8" t="s">
        <v>2743</v>
      </c>
      <c r="AZ239" s="8" t="b">
        <v>0</v>
      </c>
      <c r="BA239" s="8" t="s">
        <v>110</v>
      </c>
      <c r="BB239" s="8" t="s">
        <v>2774</v>
      </c>
      <c r="BC239" s="9"/>
      <c r="BD239" s="9"/>
      <c r="BE239" s="8" t="s">
        <v>2775</v>
      </c>
      <c r="BF239" s="9"/>
      <c r="BG239" s="9"/>
      <c r="BH239" s="9"/>
      <c r="BI239" s="9"/>
      <c r="BJ239" s="9"/>
      <c r="BK239" s="9"/>
      <c r="BL239" s="9"/>
      <c r="BM239" s="9"/>
      <c r="BN239" s="9"/>
      <c r="BO239" s="9"/>
      <c r="BP239" s="9"/>
      <c r="BQ239" s="9"/>
      <c r="BR239" s="9"/>
      <c r="BS239" s="9"/>
      <c r="BT239" s="9"/>
      <c r="BU239" s="9"/>
      <c r="BV239" s="9"/>
      <c r="BW239" s="9"/>
      <c r="BX239" s="9"/>
      <c r="BY239" s="9"/>
      <c r="BZ239" s="9"/>
      <c r="CA239" s="9"/>
      <c r="CB239" s="8" t="s">
        <v>2039</v>
      </c>
      <c r="CC239" s="9"/>
      <c r="CD239" s="9"/>
      <c r="CE239" s="8" t="s">
        <v>115</v>
      </c>
      <c r="CF239" s="8" t="s">
        <v>2776</v>
      </c>
      <c r="CG239" s="9"/>
      <c r="CH239" s="9"/>
      <c r="CI239" s="9"/>
      <c r="CJ239" s="9"/>
      <c r="CK239" s="9"/>
      <c r="CL239" s="9"/>
      <c r="CM239" s="9"/>
      <c r="CN239" s="9"/>
      <c r="CO239" s="9"/>
      <c r="CP239" s="9"/>
    </row>
    <row r="240">
      <c r="A240" s="7" t="s">
        <v>2777</v>
      </c>
      <c r="B240" s="8" t="s">
        <v>2778</v>
      </c>
      <c r="C240" s="8" t="s">
        <v>2779</v>
      </c>
      <c r="D240" s="8" t="s">
        <v>94</v>
      </c>
      <c r="E240" s="8" t="s">
        <v>95</v>
      </c>
      <c r="F240" s="9"/>
      <c r="G240" s="8" t="s">
        <v>2780</v>
      </c>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t="str">
        <f t="shared" si="27"/>
        <v/>
      </c>
      <c r="AK240" s="8"/>
      <c r="AL240" s="8"/>
      <c r="AM240" s="8" t="s">
        <v>1877</v>
      </c>
      <c r="AN240" s="8" t="s">
        <v>1358</v>
      </c>
      <c r="AO240" s="9"/>
      <c r="AP240" s="9"/>
      <c r="AQ240" s="9"/>
      <c r="AR240" s="8" t="s">
        <v>1879</v>
      </c>
      <c r="AS240" s="8" t="s">
        <v>1880</v>
      </c>
      <c r="AT240" s="9"/>
      <c r="AU240" s="8" t="s">
        <v>2781</v>
      </c>
      <c r="AV240" s="8" t="s">
        <v>108</v>
      </c>
      <c r="AW240" s="9"/>
      <c r="AX240" s="9"/>
      <c r="AY240" s="8" t="s">
        <v>2743</v>
      </c>
      <c r="AZ240" s="8" t="b">
        <v>0</v>
      </c>
      <c r="BA240" s="8" t="s">
        <v>110</v>
      </c>
      <c r="BB240" s="8" t="s">
        <v>1993</v>
      </c>
      <c r="BC240" s="9"/>
      <c r="BD240" s="9"/>
      <c r="BE240" s="8" t="s">
        <v>2782</v>
      </c>
      <c r="BF240" s="9"/>
      <c r="BG240" s="9"/>
      <c r="BH240" s="9"/>
      <c r="BI240" s="9"/>
      <c r="BJ240" s="9"/>
      <c r="BK240" s="9"/>
      <c r="BL240" s="9"/>
      <c r="BM240" s="9"/>
      <c r="BN240" s="9"/>
      <c r="BO240" s="9"/>
      <c r="BP240" s="9"/>
      <c r="BQ240" s="9"/>
      <c r="BR240" s="9"/>
      <c r="BS240" s="9"/>
      <c r="BT240" s="9"/>
      <c r="BU240" s="9"/>
      <c r="BV240" s="9"/>
      <c r="BW240" s="9"/>
      <c r="BX240" s="9"/>
      <c r="BY240" s="9"/>
      <c r="BZ240" s="9"/>
      <c r="CA240" s="9"/>
      <c r="CB240" s="8" t="s">
        <v>2783</v>
      </c>
      <c r="CC240" s="9"/>
      <c r="CD240" s="9"/>
      <c r="CE240" s="8" t="s">
        <v>903</v>
      </c>
      <c r="CF240" s="8" t="s">
        <v>2784</v>
      </c>
      <c r="CG240" s="9"/>
      <c r="CH240" s="9"/>
      <c r="CI240" s="9"/>
      <c r="CJ240" s="9"/>
      <c r="CK240" s="9"/>
      <c r="CL240" s="9"/>
      <c r="CM240" s="9"/>
      <c r="CN240" s="9"/>
      <c r="CO240" s="9"/>
      <c r="CP240" s="9"/>
    </row>
    <row r="241">
      <c r="A241" s="7" t="s">
        <v>2785</v>
      </c>
      <c r="B241" s="8" t="s">
        <v>2786</v>
      </c>
      <c r="C241" s="8" t="s">
        <v>2787</v>
      </c>
      <c r="D241" s="8" t="s">
        <v>94</v>
      </c>
      <c r="E241" s="8" t="s">
        <v>95</v>
      </c>
      <c r="F241" s="9"/>
      <c r="G241" s="8" t="s">
        <v>2788</v>
      </c>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t="str">
        <f t="shared" si="27"/>
        <v/>
      </c>
      <c r="AK241" s="8"/>
      <c r="AL241" s="8"/>
      <c r="AM241" s="8" t="s">
        <v>1877</v>
      </c>
      <c r="AN241" s="8" t="s">
        <v>2789</v>
      </c>
      <c r="AO241" s="9"/>
      <c r="AP241" s="9"/>
      <c r="AQ241" s="9"/>
      <c r="AR241" s="8" t="s">
        <v>1879</v>
      </c>
      <c r="AS241" s="8" t="s">
        <v>1880</v>
      </c>
      <c r="AT241" s="9"/>
      <c r="AU241" s="8" t="s">
        <v>2790</v>
      </c>
      <c r="AV241" s="8" t="s">
        <v>108</v>
      </c>
      <c r="AW241" s="9"/>
      <c r="AX241" s="9"/>
      <c r="AY241" s="8" t="s">
        <v>2743</v>
      </c>
      <c r="AZ241" s="8" t="b">
        <v>0</v>
      </c>
      <c r="BA241" s="8" t="s">
        <v>110</v>
      </c>
      <c r="BB241" s="8" t="s">
        <v>2485</v>
      </c>
      <c r="BC241" s="9"/>
      <c r="BD241" s="9"/>
      <c r="BE241" s="8" t="s">
        <v>2791</v>
      </c>
      <c r="BF241" s="9"/>
      <c r="BG241" s="9"/>
      <c r="BH241" s="9"/>
      <c r="BI241" s="9"/>
      <c r="BJ241" s="9"/>
      <c r="BK241" s="9"/>
      <c r="BL241" s="9"/>
      <c r="BM241" s="9"/>
      <c r="BN241" s="9"/>
      <c r="BO241" s="9"/>
      <c r="BP241" s="9"/>
      <c r="BQ241" s="9"/>
      <c r="BR241" s="9"/>
      <c r="BS241" s="9"/>
      <c r="BT241" s="9"/>
      <c r="BU241" s="9"/>
      <c r="BV241" s="9"/>
      <c r="BW241" s="9"/>
      <c r="BX241" s="9"/>
      <c r="BY241" s="9"/>
      <c r="BZ241" s="9"/>
      <c r="CA241" s="9"/>
      <c r="CB241" s="8" t="s">
        <v>2792</v>
      </c>
      <c r="CC241" s="9"/>
      <c r="CD241" s="9"/>
      <c r="CE241" s="8" t="s">
        <v>115</v>
      </c>
      <c r="CF241" s="8" t="s">
        <v>2793</v>
      </c>
      <c r="CG241" s="9"/>
      <c r="CH241" s="9"/>
      <c r="CI241" s="9"/>
      <c r="CJ241" s="9"/>
      <c r="CK241" s="9"/>
      <c r="CL241" s="9"/>
      <c r="CM241" s="9"/>
      <c r="CN241" s="9"/>
      <c r="CO241" s="9"/>
      <c r="CP241" s="9"/>
    </row>
    <row r="242">
      <c r="A242" s="7" t="s">
        <v>2794</v>
      </c>
      <c r="B242" s="8" t="s">
        <v>2795</v>
      </c>
      <c r="C242" s="8" t="s">
        <v>2796</v>
      </c>
      <c r="D242" s="8" t="s">
        <v>94</v>
      </c>
      <c r="E242" s="8" t="s">
        <v>95</v>
      </c>
      <c r="F242" s="9"/>
      <c r="G242" s="8" t="s">
        <v>2797</v>
      </c>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t="str">
        <f t="shared" si="27"/>
        <v/>
      </c>
      <c r="AK242" s="8"/>
      <c r="AL242" s="8"/>
      <c r="AM242" s="8" t="s">
        <v>1477</v>
      </c>
      <c r="AN242" s="8" t="s">
        <v>2798</v>
      </c>
      <c r="AO242" s="9"/>
      <c r="AP242" s="9"/>
      <c r="AQ242" s="9"/>
      <c r="AR242" s="8" t="s">
        <v>1479</v>
      </c>
      <c r="AS242" s="8" t="s">
        <v>1480</v>
      </c>
      <c r="AT242" s="9"/>
      <c r="AU242" s="8" t="s">
        <v>2799</v>
      </c>
      <c r="AV242" s="9"/>
      <c r="AW242" s="9"/>
      <c r="AX242" s="9"/>
      <c r="AY242" s="8" t="s">
        <v>2743</v>
      </c>
      <c r="AZ242" s="8" t="b">
        <v>0</v>
      </c>
      <c r="BA242" s="8" t="s">
        <v>190</v>
      </c>
      <c r="BB242" s="8" t="s">
        <v>191</v>
      </c>
      <c r="BC242" s="8" t="s">
        <v>2315</v>
      </c>
      <c r="BD242" s="9"/>
      <c r="BE242" s="8" t="s">
        <v>2800</v>
      </c>
      <c r="BF242" s="9"/>
      <c r="BG242" s="9"/>
      <c r="BH242" s="9"/>
      <c r="BI242" s="9"/>
      <c r="BJ242" s="9"/>
      <c r="BK242" s="8" t="s">
        <v>2801</v>
      </c>
      <c r="BL242" s="9"/>
      <c r="BM242" s="9"/>
      <c r="BN242" s="9"/>
      <c r="BO242" s="9"/>
      <c r="BP242" s="9"/>
      <c r="BQ242" s="9"/>
      <c r="BR242" s="8" t="s">
        <v>193</v>
      </c>
      <c r="BS242" s="8" t="s">
        <v>194</v>
      </c>
      <c r="BT242" s="8" t="s">
        <v>2802</v>
      </c>
      <c r="BU242" s="8" t="s">
        <v>2803</v>
      </c>
      <c r="BV242" s="9"/>
      <c r="BW242" s="9"/>
      <c r="BX242" s="9"/>
      <c r="BY242" s="9"/>
      <c r="BZ242" s="9"/>
      <c r="CA242" s="9"/>
      <c r="CB242" s="8" t="s">
        <v>2667</v>
      </c>
      <c r="CC242" s="9"/>
      <c r="CD242" s="9"/>
      <c r="CE242" s="8" t="s">
        <v>197</v>
      </c>
      <c r="CF242" s="8" t="s">
        <v>2804</v>
      </c>
      <c r="CG242" s="9"/>
      <c r="CH242" s="9"/>
      <c r="CI242" s="9"/>
      <c r="CJ242" s="9"/>
      <c r="CK242" s="9"/>
      <c r="CL242" s="9"/>
      <c r="CM242" s="9"/>
      <c r="CN242" s="9"/>
      <c r="CO242" s="9"/>
      <c r="CP242" s="9"/>
    </row>
    <row r="243">
      <c r="A243" s="7" t="s">
        <v>2805</v>
      </c>
      <c r="B243" s="8" t="s">
        <v>2806</v>
      </c>
      <c r="C243" s="8" t="s">
        <v>2807</v>
      </c>
      <c r="D243" s="8" t="s">
        <v>94</v>
      </c>
      <c r="E243" s="8" t="s">
        <v>95</v>
      </c>
      <c r="F243" s="9"/>
      <c r="G243" s="8" t="s">
        <v>2808</v>
      </c>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t="str">
        <f t="shared" si="27"/>
        <v/>
      </c>
      <c r="AK243" s="8"/>
      <c r="AL243" s="8"/>
      <c r="AM243" s="8" t="s">
        <v>1477</v>
      </c>
      <c r="AN243" s="8" t="s">
        <v>2809</v>
      </c>
      <c r="AO243" s="9"/>
      <c r="AP243" s="9"/>
      <c r="AQ243" s="9"/>
      <c r="AR243" s="8" t="s">
        <v>1479</v>
      </c>
      <c r="AS243" s="8" t="s">
        <v>1480</v>
      </c>
      <c r="AT243" s="9"/>
      <c r="AU243" s="8" t="s">
        <v>2810</v>
      </c>
      <c r="AV243" s="8" t="s">
        <v>108</v>
      </c>
      <c r="AW243" s="9"/>
      <c r="AX243" s="9"/>
      <c r="AY243" s="8" t="s">
        <v>2743</v>
      </c>
      <c r="AZ243" s="8" t="b">
        <v>0</v>
      </c>
      <c r="BA243" s="8" t="s">
        <v>190</v>
      </c>
      <c r="BB243" s="8" t="s">
        <v>191</v>
      </c>
      <c r="BC243" s="9"/>
      <c r="BD243" s="9"/>
      <c r="BE243" s="8" t="s">
        <v>2811</v>
      </c>
      <c r="BF243" s="9"/>
      <c r="BG243" s="9"/>
      <c r="BH243" s="9"/>
      <c r="BI243" s="9"/>
      <c r="BJ243" s="9"/>
      <c r="BK243" s="9"/>
      <c r="BL243" s="9"/>
      <c r="BM243" s="9"/>
      <c r="BN243" s="9"/>
      <c r="BO243" s="9"/>
      <c r="BP243" s="9"/>
      <c r="BQ243" s="9"/>
      <c r="BR243" s="8" t="s">
        <v>193</v>
      </c>
      <c r="BS243" s="8" t="s">
        <v>194</v>
      </c>
      <c r="BT243" s="8" t="s">
        <v>1551</v>
      </c>
      <c r="BU243" s="9"/>
      <c r="BV243" s="9"/>
      <c r="BW243" s="9"/>
      <c r="BX243" s="9"/>
      <c r="BY243" s="9"/>
      <c r="BZ243" s="9"/>
      <c r="CA243" s="9"/>
      <c r="CB243" s="8" t="s">
        <v>2720</v>
      </c>
      <c r="CC243" s="9"/>
      <c r="CD243" s="9"/>
      <c r="CE243" s="8" t="s">
        <v>115</v>
      </c>
      <c r="CF243" s="8" t="s">
        <v>2812</v>
      </c>
      <c r="CG243" s="9"/>
      <c r="CH243" s="9"/>
      <c r="CI243" s="9"/>
      <c r="CJ243" s="9"/>
      <c r="CK243" s="9"/>
      <c r="CL243" s="9"/>
      <c r="CM243" s="9"/>
      <c r="CN243" s="9"/>
      <c r="CO243" s="9"/>
      <c r="CP243" s="9"/>
    </row>
    <row r="244">
      <c r="A244" s="7" t="s">
        <v>2813</v>
      </c>
      <c r="B244" s="8" t="s">
        <v>2814</v>
      </c>
      <c r="C244" s="8" t="s">
        <v>2815</v>
      </c>
      <c r="D244" s="8" t="s">
        <v>94</v>
      </c>
      <c r="E244" s="8" t="s">
        <v>95</v>
      </c>
      <c r="F244" s="9"/>
      <c r="G244" s="8" t="s">
        <v>2816</v>
      </c>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t="str">
        <f t="shared" si="27"/>
        <v/>
      </c>
      <c r="AK244" s="8"/>
      <c r="AL244" s="8"/>
      <c r="AM244" s="8" t="s">
        <v>1477</v>
      </c>
      <c r="AN244" s="8" t="s">
        <v>2817</v>
      </c>
      <c r="AO244" s="9"/>
      <c r="AP244" s="9"/>
      <c r="AQ244" s="9"/>
      <c r="AR244" s="8" t="s">
        <v>1479</v>
      </c>
      <c r="AS244" s="8" t="s">
        <v>1480</v>
      </c>
      <c r="AT244" s="9"/>
      <c r="AU244" s="8" t="s">
        <v>2818</v>
      </c>
      <c r="AV244" s="8" t="s">
        <v>108</v>
      </c>
      <c r="AW244" s="9"/>
      <c r="AX244" s="9"/>
      <c r="AY244" s="8" t="s">
        <v>2743</v>
      </c>
      <c r="AZ244" s="8" t="b">
        <v>0</v>
      </c>
      <c r="BA244" s="8" t="s">
        <v>110</v>
      </c>
      <c r="BB244" s="9"/>
      <c r="BC244" s="9"/>
      <c r="BD244" s="9"/>
      <c r="BE244" s="8" t="s">
        <v>2693</v>
      </c>
      <c r="BF244" s="9"/>
      <c r="BG244" s="9"/>
      <c r="BH244" s="9"/>
      <c r="BI244" s="9"/>
      <c r="BJ244" s="9"/>
      <c r="BK244" s="9"/>
      <c r="BL244" s="9"/>
      <c r="BM244" s="9"/>
      <c r="BN244" s="9"/>
      <c r="BO244" s="9"/>
      <c r="BP244" s="9"/>
      <c r="BQ244" s="9"/>
      <c r="BR244" s="9"/>
      <c r="BS244" s="9"/>
      <c r="BT244" s="9"/>
      <c r="BU244" s="9"/>
      <c r="BV244" s="9"/>
      <c r="BW244" s="9"/>
      <c r="BX244" s="9"/>
      <c r="BY244" s="9"/>
      <c r="BZ244" s="9"/>
      <c r="CA244" s="9"/>
      <c r="CB244" s="8" t="s">
        <v>2819</v>
      </c>
      <c r="CC244" s="9"/>
      <c r="CD244" s="9"/>
      <c r="CE244" s="8" t="s">
        <v>366</v>
      </c>
      <c r="CF244" s="8" t="s">
        <v>2820</v>
      </c>
      <c r="CG244" s="9"/>
      <c r="CH244" s="9"/>
      <c r="CI244" s="9"/>
      <c r="CJ244" s="9"/>
      <c r="CK244" s="9"/>
      <c r="CL244" s="9"/>
      <c r="CM244" s="9"/>
      <c r="CN244" s="9"/>
      <c r="CO244" s="9"/>
      <c r="CP244" s="9"/>
    </row>
    <row r="245">
      <c r="A245" s="7" t="s">
        <v>2821</v>
      </c>
      <c r="B245" s="8" t="s">
        <v>2822</v>
      </c>
      <c r="C245" s="8" t="s">
        <v>2823</v>
      </c>
      <c r="D245" s="8" t="s">
        <v>94</v>
      </c>
      <c r="E245" s="8" t="s">
        <v>95</v>
      </c>
      <c r="F245" s="9"/>
      <c r="G245" s="8" t="s">
        <v>2824</v>
      </c>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t="str">
        <f t="shared" si="27"/>
        <v/>
      </c>
      <c r="AK245" s="8"/>
      <c r="AL245" s="8"/>
      <c r="AM245" s="8" t="s">
        <v>1477</v>
      </c>
      <c r="AN245" s="8" t="s">
        <v>2825</v>
      </c>
      <c r="AO245" s="9"/>
      <c r="AP245" s="9"/>
      <c r="AQ245" s="9"/>
      <c r="AR245" s="8" t="s">
        <v>1479</v>
      </c>
      <c r="AS245" s="8" t="s">
        <v>1480</v>
      </c>
      <c r="AT245" s="9"/>
      <c r="AU245" s="8" t="s">
        <v>2826</v>
      </c>
      <c r="AV245" s="9"/>
      <c r="AW245" s="9"/>
      <c r="AX245" s="9"/>
      <c r="AY245" s="8" t="s">
        <v>2743</v>
      </c>
      <c r="AZ245" s="8" t="b">
        <v>0</v>
      </c>
      <c r="BA245" s="8" t="s">
        <v>190</v>
      </c>
      <c r="BB245" s="8" t="s">
        <v>191</v>
      </c>
      <c r="BC245" s="9"/>
      <c r="BD245" s="9"/>
      <c r="BE245" s="8" t="s">
        <v>2827</v>
      </c>
      <c r="BF245" s="9"/>
      <c r="BG245" s="9"/>
      <c r="BH245" s="9"/>
      <c r="BI245" s="9"/>
      <c r="BJ245" s="9"/>
      <c r="BK245" s="9"/>
      <c r="BL245" s="9"/>
      <c r="BM245" s="9"/>
      <c r="BN245" s="9"/>
      <c r="BO245" s="9"/>
      <c r="BP245" s="9"/>
      <c r="BQ245" s="9"/>
      <c r="BR245" s="8" t="s">
        <v>193</v>
      </c>
      <c r="BS245" s="8" t="s">
        <v>194</v>
      </c>
      <c r="BT245" s="9"/>
      <c r="BU245" s="9"/>
      <c r="BV245" s="9"/>
      <c r="BW245" s="9"/>
      <c r="BX245" s="9"/>
      <c r="BY245" s="9"/>
      <c r="BZ245" s="9"/>
      <c r="CA245" s="9"/>
      <c r="CB245" s="8" t="s">
        <v>2828</v>
      </c>
      <c r="CC245" s="9"/>
      <c r="CD245" s="9"/>
      <c r="CE245" s="8" t="s">
        <v>115</v>
      </c>
      <c r="CF245" s="8" t="s">
        <v>2829</v>
      </c>
      <c r="CG245" s="9"/>
      <c r="CH245" s="9"/>
      <c r="CI245" s="9"/>
      <c r="CJ245" s="9"/>
      <c r="CK245" s="9"/>
      <c r="CL245" s="9"/>
      <c r="CM245" s="9"/>
      <c r="CN245" s="9"/>
      <c r="CO245" s="9"/>
      <c r="CP245" s="9"/>
    </row>
    <row r="246">
      <c r="A246" s="7" t="s">
        <v>2830</v>
      </c>
      <c r="B246" s="8" t="s">
        <v>2831</v>
      </c>
      <c r="C246" s="8" t="s">
        <v>2832</v>
      </c>
      <c r="D246" s="8" t="s">
        <v>94</v>
      </c>
      <c r="E246" s="8" t="s">
        <v>95</v>
      </c>
      <c r="F246" s="9"/>
      <c r="G246" s="8" t="s">
        <v>2833</v>
      </c>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t="str">
        <f t="shared" si="27"/>
        <v/>
      </c>
      <c r="AK246" s="8"/>
      <c r="AL246" s="8"/>
      <c r="AM246" s="8" t="s">
        <v>1477</v>
      </c>
      <c r="AN246" s="8" t="s">
        <v>2834</v>
      </c>
      <c r="AO246" s="9"/>
      <c r="AP246" s="9"/>
      <c r="AQ246" s="9"/>
      <c r="AR246" s="8" t="s">
        <v>1479</v>
      </c>
      <c r="AS246" s="8" t="s">
        <v>1480</v>
      </c>
      <c r="AT246" s="9"/>
      <c r="AU246" s="8" t="s">
        <v>2835</v>
      </c>
      <c r="AV246" s="8" t="s">
        <v>108</v>
      </c>
      <c r="AW246" s="9"/>
      <c r="AX246" s="9"/>
      <c r="AY246" s="8" t="s">
        <v>2743</v>
      </c>
      <c r="AZ246" s="8" t="b">
        <v>0</v>
      </c>
      <c r="BA246" s="8" t="s">
        <v>110</v>
      </c>
      <c r="BB246" s="9"/>
      <c r="BC246" s="9"/>
      <c r="BD246" s="9"/>
      <c r="BE246" s="8" t="s">
        <v>2836</v>
      </c>
      <c r="BF246" s="9"/>
      <c r="BG246" s="9"/>
      <c r="BH246" s="9"/>
      <c r="BI246" s="9"/>
      <c r="BJ246" s="9"/>
      <c r="BK246" s="9"/>
      <c r="BL246" s="9"/>
      <c r="BM246" s="9"/>
      <c r="BN246" s="9"/>
      <c r="BO246" s="9"/>
      <c r="BP246" s="9"/>
      <c r="BQ246" s="9"/>
      <c r="BR246" s="9"/>
      <c r="BS246" s="9"/>
      <c r="BT246" s="9"/>
      <c r="BU246" s="9"/>
      <c r="BV246" s="9"/>
      <c r="BW246" s="9"/>
      <c r="BX246" s="9"/>
      <c r="BY246" s="9"/>
      <c r="BZ246" s="9"/>
      <c r="CA246" s="9"/>
      <c r="CB246" s="8" t="s">
        <v>2837</v>
      </c>
      <c r="CC246" s="9"/>
      <c r="CD246" s="9"/>
      <c r="CE246" s="8" t="s">
        <v>1288</v>
      </c>
      <c r="CF246" s="8" t="s">
        <v>2838</v>
      </c>
      <c r="CG246" s="9"/>
      <c r="CH246" s="9"/>
      <c r="CI246" s="9"/>
      <c r="CJ246" s="9"/>
      <c r="CK246" s="9"/>
      <c r="CL246" s="9"/>
      <c r="CM246" s="9"/>
      <c r="CN246" s="9"/>
      <c r="CO246" s="9"/>
      <c r="CP246" s="9"/>
    </row>
    <row r="247">
      <c r="A247" s="7" t="s">
        <v>2839</v>
      </c>
      <c r="B247" s="8" t="s">
        <v>2840</v>
      </c>
      <c r="C247" s="8" t="s">
        <v>2841</v>
      </c>
      <c r="D247" s="8" t="s">
        <v>94</v>
      </c>
      <c r="E247" s="8" t="s">
        <v>95</v>
      </c>
      <c r="F247" s="9"/>
      <c r="G247" s="8" t="s">
        <v>2842</v>
      </c>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t="str">
        <f t="shared" si="27"/>
        <v/>
      </c>
      <c r="AK247" s="8"/>
      <c r="AL247" s="8"/>
      <c r="AM247" s="8" t="s">
        <v>1477</v>
      </c>
      <c r="AN247" s="8" t="s">
        <v>2843</v>
      </c>
      <c r="AO247" s="9"/>
      <c r="AP247" s="9"/>
      <c r="AQ247" s="9"/>
      <c r="AR247" s="8" t="s">
        <v>1479</v>
      </c>
      <c r="AS247" s="8" t="s">
        <v>1480</v>
      </c>
      <c r="AT247" s="9"/>
      <c r="AU247" s="8" t="s">
        <v>2844</v>
      </c>
      <c r="AV247" s="9"/>
      <c r="AW247" s="9"/>
      <c r="AX247" s="9"/>
      <c r="AY247" s="8" t="s">
        <v>2743</v>
      </c>
      <c r="AZ247" s="8" t="b">
        <v>0</v>
      </c>
      <c r="BA247" s="8" t="s">
        <v>190</v>
      </c>
      <c r="BB247" s="8" t="s">
        <v>191</v>
      </c>
      <c r="BC247" s="8" t="s">
        <v>2845</v>
      </c>
      <c r="BD247" s="9"/>
      <c r="BE247" s="8" t="s">
        <v>2556</v>
      </c>
      <c r="BF247" s="9"/>
      <c r="BG247" s="9"/>
      <c r="BH247" s="9"/>
      <c r="BI247" s="9"/>
      <c r="BJ247" s="9"/>
      <c r="BK247" s="8" t="s">
        <v>1460</v>
      </c>
      <c r="BL247" s="9"/>
      <c r="BM247" s="9"/>
      <c r="BN247" s="9"/>
      <c r="BO247" s="9"/>
      <c r="BP247" s="9"/>
      <c r="BQ247" s="9"/>
      <c r="BR247" s="8" t="s">
        <v>193</v>
      </c>
      <c r="BS247" s="8" t="s">
        <v>194</v>
      </c>
      <c r="BT247" s="9"/>
      <c r="BU247" s="9"/>
      <c r="BV247" s="8" t="s">
        <v>2846</v>
      </c>
      <c r="BW247" s="9"/>
      <c r="BX247" s="9"/>
      <c r="BY247" s="9"/>
      <c r="BZ247" s="9"/>
      <c r="CA247" s="9"/>
      <c r="CB247" s="8" t="s">
        <v>2363</v>
      </c>
      <c r="CC247" s="9"/>
      <c r="CD247" s="9"/>
      <c r="CE247" s="8" t="s">
        <v>115</v>
      </c>
      <c r="CF247" s="8" t="s">
        <v>2847</v>
      </c>
      <c r="CG247" s="9"/>
      <c r="CH247" s="9"/>
      <c r="CI247" s="9"/>
      <c r="CJ247" s="9"/>
      <c r="CK247" s="9"/>
      <c r="CL247" s="9"/>
      <c r="CM247" s="9"/>
      <c r="CN247" s="9"/>
      <c r="CO247" s="9"/>
      <c r="CP247" s="9"/>
    </row>
    <row r="248">
      <c r="A248" s="7" t="s">
        <v>2848</v>
      </c>
      <c r="B248" s="8" t="s">
        <v>2849</v>
      </c>
      <c r="C248" s="8" t="s">
        <v>2850</v>
      </c>
      <c r="D248" s="8" t="s">
        <v>94</v>
      </c>
      <c r="E248" s="8" t="s">
        <v>95</v>
      </c>
      <c r="F248" s="9"/>
      <c r="G248" s="8" t="s">
        <v>2851</v>
      </c>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t="str">
        <f t="shared" si="27"/>
        <v/>
      </c>
      <c r="AK248" s="8"/>
      <c r="AL248" s="8"/>
      <c r="AM248" s="8" t="s">
        <v>1477</v>
      </c>
      <c r="AN248" s="8" t="s">
        <v>2852</v>
      </c>
      <c r="AO248" s="9"/>
      <c r="AP248" s="9"/>
      <c r="AQ248" s="9"/>
      <c r="AR248" s="8" t="s">
        <v>1479</v>
      </c>
      <c r="AS248" s="8" t="s">
        <v>1480</v>
      </c>
      <c r="AT248" s="9"/>
      <c r="AU248" s="8" t="s">
        <v>2853</v>
      </c>
      <c r="AV248" s="9"/>
      <c r="AW248" s="9"/>
      <c r="AX248" s="9"/>
      <c r="AY248" s="8" t="s">
        <v>2743</v>
      </c>
      <c r="AZ248" s="8" t="b">
        <v>0</v>
      </c>
      <c r="BA248" s="8" t="s">
        <v>190</v>
      </c>
      <c r="BB248" s="8" t="s">
        <v>191</v>
      </c>
      <c r="BC248" s="8" t="s">
        <v>1767</v>
      </c>
      <c r="BD248" s="9"/>
      <c r="BE248" s="8" t="s">
        <v>2854</v>
      </c>
      <c r="BF248" s="9"/>
      <c r="BG248" s="9"/>
      <c r="BH248" s="9"/>
      <c r="BI248" s="9"/>
      <c r="BJ248" s="9"/>
      <c r="BK248" s="8" t="s">
        <v>298</v>
      </c>
      <c r="BL248" s="9"/>
      <c r="BM248" s="8" t="s">
        <v>2855</v>
      </c>
      <c r="BN248" s="8" t="s">
        <v>2856</v>
      </c>
      <c r="BO248" s="9"/>
      <c r="BP248" s="9"/>
      <c r="BQ248" s="9"/>
      <c r="BR248" s="8" t="s">
        <v>193</v>
      </c>
      <c r="BS248" s="8" t="s">
        <v>194</v>
      </c>
      <c r="BT248" s="8" t="s">
        <v>1551</v>
      </c>
      <c r="BU248" s="9"/>
      <c r="BV248" s="8" t="s">
        <v>1893</v>
      </c>
      <c r="BW248" s="9"/>
      <c r="BX248" s="9"/>
      <c r="BY248" s="8" t="s">
        <v>1894</v>
      </c>
      <c r="BZ248" s="9"/>
      <c r="CA248" s="9"/>
      <c r="CB248" s="8" t="s">
        <v>2857</v>
      </c>
      <c r="CC248" s="9"/>
      <c r="CD248" s="9"/>
      <c r="CE248" s="8" t="s">
        <v>115</v>
      </c>
      <c r="CF248" s="8" t="s">
        <v>2858</v>
      </c>
      <c r="CG248" s="9"/>
      <c r="CH248" s="9"/>
      <c r="CI248" s="9"/>
      <c r="CJ248" s="9"/>
      <c r="CK248" s="9"/>
      <c r="CL248" s="9"/>
      <c r="CM248" s="9"/>
      <c r="CN248" s="9"/>
      <c r="CO248" s="9"/>
      <c r="CP248" s="9"/>
    </row>
    <row r="249">
      <c r="A249" s="7" t="s">
        <v>2859</v>
      </c>
      <c r="B249" s="8" t="s">
        <v>2860</v>
      </c>
      <c r="C249" s="8" t="s">
        <v>2861</v>
      </c>
      <c r="D249" s="8" t="s">
        <v>94</v>
      </c>
      <c r="E249" s="8" t="s">
        <v>95</v>
      </c>
      <c r="F249" s="9"/>
      <c r="G249" s="8" t="s">
        <v>2862</v>
      </c>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t="str">
        <f t="shared" si="27"/>
        <v/>
      </c>
      <c r="AK249" s="8"/>
      <c r="AL249" s="8"/>
      <c r="AM249" s="8" t="s">
        <v>1477</v>
      </c>
      <c r="AN249" s="8" t="s">
        <v>2863</v>
      </c>
      <c r="AO249" s="9"/>
      <c r="AP249" s="9"/>
      <c r="AQ249" s="9"/>
      <c r="AR249" s="8" t="s">
        <v>1479</v>
      </c>
      <c r="AS249" s="8" t="s">
        <v>1480</v>
      </c>
      <c r="AT249" s="9"/>
      <c r="AU249" s="8" t="s">
        <v>2864</v>
      </c>
      <c r="AV249" s="8" t="s">
        <v>108</v>
      </c>
      <c r="AW249" s="9"/>
      <c r="AX249" s="9"/>
      <c r="AY249" s="8" t="s">
        <v>2743</v>
      </c>
      <c r="AZ249" s="8" t="b">
        <v>0</v>
      </c>
      <c r="BA249" s="8" t="s">
        <v>110</v>
      </c>
      <c r="BB249" s="9"/>
      <c r="BC249" s="9"/>
      <c r="BD249" s="9"/>
      <c r="BE249" s="8" t="s">
        <v>2865</v>
      </c>
      <c r="BF249" s="9"/>
      <c r="BG249" s="9"/>
      <c r="BH249" s="9"/>
      <c r="BI249" s="9"/>
      <c r="BJ249" s="9"/>
      <c r="BK249" s="9"/>
      <c r="BL249" s="9"/>
      <c r="BM249" s="9"/>
      <c r="BN249" s="9"/>
      <c r="BO249" s="9"/>
      <c r="BP249" s="9"/>
      <c r="BQ249" s="9"/>
      <c r="BR249" s="9"/>
      <c r="BS249" s="9"/>
      <c r="BT249" s="9"/>
      <c r="BU249" s="9"/>
      <c r="BV249" s="9"/>
      <c r="BW249" s="9"/>
      <c r="BX249" s="9"/>
      <c r="BY249" s="9"/>
      <c r="BZ249" s="9"/>
      <c r="CA249" s="9"/>
      <c r="CB249" s="8" t="s">
        <v>2530</v>
      </c>
      <c r="CC249" s="9"/>
      <c r="CD249" s="9"/>
      <c r="CE249" s="8" t="s">
        <v>366</v>
      </c>
      <c r="CF249" s="8" t="s">
        <v>2866</v>
      </c>
      <c r="CG249" s="9"/>
      <c r="CH249" s="9"/>
      <c r="CI249" s="9"/>
      <c r="CJ249" s="9"/>
      <c r="CK249" s="9"/>
      <c r="CL249" s="9"/>
      <c r="CM249" s="9"/>
      <c r="CN249" s="9"/>
      <c r="CO249" s="9"/>
      <c r="CP249" s="9"/>
    </row>
    <row r="250">
      <c r="A250" s="7" t="s">
        <v>2867</v>
      </c>
      <c r="B250" s="8" t="s">
        <v>2868</v>
      </c>
      <c r="C250" s="8" t="s">
        <v>2869</v>
      </c>
      <c r="D250" s="8" t="s">
        <v>94</v>
      </c>
      <c r="E250" s="8" t="s">
        <v>95</v>
      </c>
      <c r="F250" s="9"/>
      <c r="G250" s="8" t="s">
        <v>2870</v>
      </c>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t="str">
        <f t="shared" si="27"/>
        <v/>
      </c>
      <c r="AK250" s="8"/>
      <c r="AL250" s="8"/>
      <c r="AM250" s="8" t="s">
        <v>1477</v>
      </c>
      <c r="AN250" s="8" t="s">
        <v>2871</v>
      </c>
      <c r="AO250" s="9"/>
      <c r="AP250" s="9"/>
      <c r="AQ250" s="9"/>
      <c r="AR250" s="8" t="s">
        <v>1479</v>
      </c>
      <c r="AS250" s="8" t="s">
        <v>1480</v>
      </c>
      <c r="AT250" s="9"/>
      <c r="AU250" s="8" t="s">
        <v>2872</v>
      </c>
      <c r="AV250" s="8" t="s">
        <v>108</v>
      </c>
      <c r="AW250" s="9"/>
      <c r="AX250" s="9"/>
      <c r="AY250" s="8" t="s">
        <v>2743</v>
      </c>
      <c r="AZ250" s="8" t="b">
        <v>0</v>
      </c>
      <c r="BA250" s="8" t="s">
        <v>110</v>
      </c>
      <c r="BB250" s="9"/>
      <c r="BC250" s="9"/>
      <c r="BD250" s="9"/>
      <c r="BE250" s="8" t="s">
        <v>1595</v>
      </c>
      <c r="BF250" s="9"/>
      <c r="BG250" s="9"/>
      <c r="BH250" s="9"/>
      <c r="BI250" s="9"/>
      <c r="BJ250" s="9"/>
      <c r="BK250" s="9"/>
      <c r="BL250" s="9"/>
      <c r="BM250" s="9"/>
      <c r="BN250" s="9"/>
      <c r="BO250" s="9"/>
      <c r="BP250" s="9"/>
      <c r="BQ250" s="9"/>
      <c r="BR250" s="9"/>
      <c r="BS250" s="9"/>
      <c r="BT250" s="9"/>
      <c r="BU250" s="9"/>
      <c r="BV250" s="9"/>
      <c r="BW250" s="9"/>
      <c r="BX250" s="9"/>
      <c r="BY250" s="9"/>
      <c r="BZ250" s="9"/>
      <c r="CA250" s="9"/>
      <c r="CB250" s="8" t="s">
        <v>2873</v>
      </c>
      <c r="CC250" s="9"/>
      <c r="CD250" s="9"/>
      <c r="CE250" s="8" t="s">
        <v>366</v>
      </c>
      <c r="CF250" s="8" t="s">
        <v>2874</v>
      </c>
      <c r="CG250" s="9"/>
      <c r="CH250" s="9"/>
      <c r="CI250" s="9"/>
      <c r="CJ250" s="9"/>
      <c r="CK250" s="9"/>
      <c r="CL250" s="9"/>
      <c r="CM250" s="9"/>
      <c r="CN250" s="9"/>
      <c r="CO250" s="9"/>
      <c r="CP250" s="9"/>
    </row>
    <row r="251">
      <c r="A251" s="7" t="s">
        <v>2875</v>
      </c>
      <c r="B251" s="8" t="s">
        <v>2876</v>
      </c>
      <c r="C251" s="8" t="s">
        <v>2877</v>
      </c>
      <c r="D251" s="8" t="s">
        <v>94</v>
      </c>
      <c r="E251" s="8" t="s">
        <v>95</v>
      </c>
      <c r="F251" s="9"/>
      <c r="G251" s="8" t="s">
        <v>2878</v>
      </c>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t="str">
        <f t="shared" si="27"/>
        <v/>
      </c>
      <c r="AK251" s="8"/>
      <c r="AL251" s="8"/>
      <c r="AM251" s="8" t="s">
        <v>1477</v>
      </c>
      <c r="AN251" s="8" t="s">
        <v>2879</v>
      </c>
      <c r="AO251" s="9"/>
      <c r="AP251" s="9"/>
      <c r="AQ251" s="9"/>
      <c r="AR251" s="8" t="s">
        <v>1479</v>
      </c>
      <c r="AS251" s="8" t="s">
        <v>1480</v>
      </c>
      <c r="AT251" s="9"/>
      <c r="AU251" s="8" t="s">
        <v>2880</v>
      </c>
      <c r="AV251" s="9"/>
      <c r="AW251" s="9"/>
      <c r="AX251" s="9"/>
      <c r="AY251" s="8" t="s">
        <v>2743</v>
      </c>
      <c r="AZ251" s="8" t="b">
        <v>0</v>
      </c>
      <c r="BA251" s="8" t="s">
        <v>190</v>
      </c>
      <c r="BB251" s="8" t="s">
        <v>191</v>
      </c>
      <c r="BC251" s="9"/>
      <c r="BD251" s="9"/>
      <c r="BE251" s="8" t="s">
        <v>2881</v>
      </c>
      <c r="BF251" s="9"/>
      <c r="BG251" s="9"/>
      <c r="BH251" s="9"/>
      <c r="BI251" s="9"/>
      <c r="BJ251" s="9"/>
      <c r="BK251" s="8" t="s">
        <v>1138</v>
      </c>
      <c r="BL251" s="9"/>
      <c r="BM251" s="9"/>
      <c r="BN251" s="9"/>
      <c r="BO251" s="9"/>
      <c r="BP251" s="9"/>
      <c r="BQ251" s="9"/>
      <c r="BR251" s="8" t="s">
        <v>193</v>
      </c>
      <c r="BS251" s="8" t="s">
        <v>194</v>
      </c>
      <c r="BT251" s="9"/>
      <c r="BU251" s="9"/>
      <c r="BV251" s="9"/>
      <c r="BW251" s="9"/>
      <c r="BX251" s="9"/>
      <c r="BY251" s="9"/>
      <c r="BZ251" s="9"/>
      <c r="CA251" s="9"/>
      <c r="CB251" s="8" t="s">
        <v>1931</v>
      </c>
      <c r="CC251" s="9"/>
      <c r="CD251" s="9"/>
      <c r="CE251" s="8" t="s">
        <v>115</v>
      </c>
      <c r="CF251" s="8" t="s">
        <v>2882</v>
      </c>
      <c r="CG251" s="9"/>
      <c r="CH251" s="9"/>
      <c r="CI251" s="9"/>
      <c r="CJ251" s="9"/>
      <c r="CK251" s="9"/>
      <c r="CL251" s="9"/>
      <c r="CM251" s="9"/>
      <c r="CN251" s="9"/>
      <c r="CO251" s="9"/>
      <c r="CP251" s="9"/>
    </row>
    <row r="252">
      <c r="A252" s="7" t="s">
        <v>2883</v>
      </c>
      <c r="B252" s="8" t="s">
        <v>2884</v>
      </c>
      <c r="C252" s="8" t="s">
        <v>2885</v>
      </c>
      <c r="D252" s="8" t="s">
        <v>94</v>
      </c>
      <c r="E252" s="8" t="s">
        <v>95</v>
      </c>
      <c r="F252" s="9"/>
      <c r="G252" s="8" t="s">
        <v>2886</v>
      </c>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t="str">
        <f t="shared" si="27"/>
        <v/>
      </c>
      <c r="AK252" s="8"/>
      <c r="AL252" s="8"/>
      <c r="AM252" s="8" t="s">
        <v>2887</v>
      </c>
      <c r="AN252" s="8" t="s">
        <v>2888</v>
      </c>
      <c r="AO252" s="9"/>
      <c r="AP252" s="9"/>
      <c r="AQ252" s="9"/>
      <c r="AR252" s="9"/>
      <c r="AS252" s="9"/>
      <c r="AT252" s="9"/>
      <c r="AU252" s="8" t="s">
        <v>2889</v>
      </c>
      <c r="AV252" s="8" t="s">
        <v>108</v>
      </c>
      <c r="AW252" s="9"/>
      <c r="AX252" s="9"/>
      <c r="AY252" s="8" t="s">
        <v>2743</v>
      </c>
      <c r="AZ252" s="8" t="b">
        <v>0</v>
      </c>
      <c r="BA252" s="8" t="s">
        <v>110</v>
      </c>
      <c r="BB252" s="9"/>
      <c r="BC252" s="9"/>
      <c r="BD252" s="9"/>
      <c r="BE252" s="8" t="s">
        <v>2890</v>
      </c>
      <c r="BF252" s="9"/>
      <c r="BG252" s="9"/>
      <c r="BH252" s="9"/>
      <c r="BI252" s="9"/>
      <c r="BJ252" s="9"/>
      <c r="BK252" s="9"/>
      <c r="BL252" s="9"/>
      <c r="BM252" s="9"/>
      <c r="BN252" s="9"/>
      <c r="BO252" s="9"/>
      <c r="BP252" s="9"/>
      <c r="BQ252" s="9"/>
      <c r="BR252" s="9"/>
      <c r="BS252" s="9"/>
      <c r="BT252" s="9"/>
      <c r="BU252" s="9"/>
      <c r="BV252" s="9"/>
      <c r="BW252" s="9"/>
      <c r="BX252" s="9"/>
      <c r="BY252" s="9"/>
      <c r="BZ252" s="9"/>
      <c r="CA252" s="9"/>
      <c r="CB252" s="8" t="s">
        <v>2891</v>
      </c>
      <c r="CC252" s="9"/>
      <c r="CD252" s="9"/>
      <c r="CE252" s="8" t="s">
        <v>302</v>
      </c>
      <c r="CF252" s="8" t="s">
        <v>2892</v>
      </c>
      <c r="CG252" s="9"/>
      <c r="CH252" s="9"/>
      <c r="CI252" s="9"/>
      <c r="CJ252" s="9"/>
      <c r="CK252" s="9"/>
      <c r="CL252" s="9"/>
      <c r="CM252" s="9"/>
      <c r="CN252" s="9"/>
      <c r="CO252" s="9"/>
      <c r="CP252" s="9"/>
    </row>
    <row r="253">
      <c r="A253" s="7" t="s">
        <v>2893</v>
      </c>
      <c r="B253" s="8" t="s">
        <v>2894</v>
      </c>
      <c r="C253" s="8" t="s">
        <v>2894</v>
      </c>
      <c r="D253" s="8" t="s">
        <v>2895</v>
      </c>
      <c r="E253" s="8" t="s">
        <v>2895</v>
      </c>
      <c r="F253" s="9"/>
      <c r="G253" s="8" t="s">
        <v>2896</v>
      </c>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t="str">
        <f t="shared" si="27"/>
        <v/>
      </c>
      <c r="AK253" s="8"/>
      <c r="AL253" s="8"/>
      <c r="AM253" s="9"/>
      <c r="AN253" s="9"/>
      <c r="AO253" s="9"/>
      <c r="AP253" s="9"/>
      <c r="AQ253" s="9"/>
      <c r="AR253" s="9"/>
      <c r="AS253" s="9"/>
      <c r="AT253" s="9"/>
      <c r="AU253" s="9"/>
      <c r="AV253" s="9"/>
      <c r="AW253" s="9"/>
      <c r="AX253" s="9"/>
      <c r="AY253" s="8" t="s">
        <v>2743</v>
      </c>
      <c r="AZ253" s="8" t="b">
        <v>0</v>
      </c>
      <c r="BA253" s="8" t="s">
        <v>190</v>
      </c>
      <c r="BB253" s="8" t="s">
        <v>2897</v>
      </c>
      <c r="BC253" s="8" t="s">
        <v>2898</v>
      </c>
      <c r="BD253" s="8" t="s">
        <v>2899</v>
      </c>
      <c r="BE253" s="8" t="s">
        <v>2194</v>
      </c>
      <c r="BF253" s="8" t="s">
        <v>2900</v>
      </c>
      <c r="BG253" s="8" t="s">
        <v>2901</v>
      </c>
      <c r="BH253" s="8" t="s">
        <v>2902</v>
      </c>
      <c r="BI253" s="8" t="s">
        <v>929</v>
      </c>
      <c r="BJ253" s="8" t="s">
        <v>290</v>
      </c>
      <c r="BK253" s="9"/>
      <c r="BL253" s="8" t="s">
        <v>2903</v>
      </c>
      <c r="BM253" s="9"/>
      <c r="BN253" s="9"/>
      <c r="BO253" s="8" t="s">
        <v>2904</v>
      </c>
      <c r="BP253" s="8" t="s">
        <v>2905</v>
      </c>
      <c r="BQ253" s="8" t="s">
        <v>2906</v>
      </c>
      <c r="BR253" s="9"/>
      <c r="BS253" s="9"/>
      <c r="BT253" s="9"/>
      <c r="BU253" s="9"/>
      <c r="BV253" s="9"/>
      <c r="BW253" s="9"/>
      <c r="BX253" s="9"/>
      <c r="BY253" s="9"/>
      <c r="BZ253" s="9"/>
      <c r="CA253" s="9"/>
      <c r="CB253" s="8" t="s">
        <v>2907</v>
      </c>
      <c r="CC253" s="8" t="s">
        <v>2908</v>
      </c>
      <c r="CD253" s="9"/>
      <c r="CE253" s="8" t="s">
        <v>366</v>
      </c>
      <c r="CF253" s="8" t="s">
        <v>2909</v>
      </c>
      <c r="CG253" s="9"/>
      <c r="CH253" s="9"/>
      <c r="CI253" s="9"/>
      <c r="CJ253" s="9"/>
      <c r="CK253" s="9"/>
      <c r="CL253" s="9"/>
      <c r="CM253" s="9"/>
      <c r="CN253" s="9"/>
      <c r="CO253" s="9"/>
      <c r="CP253" s="9"/>
    </row>
    <row r="254">
      <c r="A254" s="7" t="s">
        <v>2910</v>
      </c>
      <c r="B254" s="8" t="s">
        <v>2911</v>
      </c>
      <c r="C254" s="8" t="s">
        <v>2912</v>
      </c>
      <c r="D254" s="8" t="s">
        <v>94</v>
      </c>
      <c r="E254" s="8" t="s">
        <v>95</v>
      </c>
      <c r="F254" s="9"/>
      <c r="G254" s="8" t="s">
        <v>2913</v>
      </c>
      <c r="H254" s="8"/>
      <c r="I254" s="8"/>
      <c r="J254" s="9"/>
      <c r="K254" s="9"/>
      <c r="L254" s="9"/>
      <c r="M254" s="9"/>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t="s">
        <v>105</v>
      </c>
      <c r="AN254" s="8" t="s">
        <v>2914</v>
      </c>
      <c r="AO254" s="9"/>
      <c r="AP254" s="9"/>
      <c r="AQ254" s="9"/>
      <c r="AR254" s="9"/>
      <c r="AS254" s="9"/>
      <c r="AT254" s="9"/>
      <c r="AU254" s="8" t="s">
        <v>2915</v>
      </c>
      <c r="AV254" s="8" t="s">
        <v>108</v>
      </c>
      <c r="AW254" s="9"/>
      <c r="AX254" s="9"/>
      <c r="AY254" s="8" t="s">
        <v>2916</v>
      </c>
      <c r="AZ254" s="8" t="b">
        <v>0</v>
      </c>
      <c r="BA254" s="8" t="s">
        <v>110</v>
      </c>
      <c r="BB254" s="8" t="s">
        <v>773</v>
      </c>
      <c r="BC254" s="9"/>
      <c r="BD254" s="9"/>
      <c r="BE254" s="8" t="s">
        <v>2917</v>
      </c>
      <c r="BF254" s="9"/>
      <c r="BG254" s="9"/>
      <c r="BH254" s="9"/>
      <c r="BI254" s="9"/>
      <c r="BJ254" s="9"/>
      <c r="BK254" s="9"/>
      <c r="BL254" s="9"/>
      <c r="BM254" s="9"/>
      <c r="BN254" s="9"/>
      <c r="BO254" s="9"/>
      <c r="BP254" s="9"/>
      <c r="BQ254" s="9"/>
      <c r="BR254" s="9"/>
      <c r="BS254" s="9"/>
      <c r="BT254" s="9"/>
      <c r="BU254" s="9"/>
      <c r="BV254" s="9"/>
      <c r="BW254" s="9"/>
      <c r="BX254" s="9"/>
      <c r="BY254" s="9"/>
      <c r="BZ254" s="9"/>
      <c r="CA254" s="9"/>
      <c r="CB254" s="8" t="s">
        <v>665</v>
      </c>
      <c r="CC254" s="9"/>
      <c r="CD254" s="9"/>
      <c r="CE254" s="8" t="s">
        <v>115</v>
      </c>
      <c r="CF254" s="8" t="s">
        <v>2918</v>
      </c>
      <c r="CG254" s="9"/>
      <c r="CH254" s="9"/>
      <c r="CI254" s="9"/>
      <c r="CJ254" s="9"/>
      <c r="CK254" s="9"/>
      <c r="CL254" s="9"/>
      <c r="CM254" s="9"/>
      <c r="CN254" s="9"/>
      <c r="CO254" s="9"/>
      <c r="CP254" s="9"/>
    </row>
    <row r="255">
      <c r="A255" s="4" t="s">
        <v>2919</v>
      </c>
      <c r="B255" s="5" t="s">
        <v>1971</v>
      </c>
      <c r="C255" s="5" t="s">
        <v>2920</v>
      </c>
      <c r="D255" s="5" t="s">
        <v>94</v>
      </c>
      <c r="E255" s="5" t="s">
        <v>95</v>
      </c>
      <c r="F255" s="6"/>
      <c r="G255" s="5" t="s">
        <v>2921</v>
      </c>
      <c r="H255" s="5" t="s">
        <v>97</v>
      </c>
      <c r="I255" s="5" t="s">
        <v>928</v>
      </c>
      <c r="J255" s="5"/>
      <c r="K255" s="5"/>
      <c r="L255" s="5"/>
      <c r="M255" s="5" t="s">
        <v>2922</v>
      </c>
      <c r="N255" s="5" t="s">
        <v>100</v>
      </c>
      <c r="O255" s="5" t="s">
        <v>100</v>
      </c>
      <c r="P255" s="5" t="s">
        <v>100</v>
      </c>
      <c r="Q255" s="5"/>
      <c r="R255" s="5"/>
      <c r="S255" s="5" t="s">
        <v>100</v>
      </c>
      <c r="T255" s="5" t="s">
        <v>2923</v>
      </c>
      <c r="U255" s="5" t="s">
        <v>2924</v>
      </c>
      <c r="V255" s="5" t="s">
        <v>2925</v>
      </c>
      <c r="W255" s="5"/>
      <c r="X255" s="5" t="s">
        <v>2926</v>
      </c>
      <c r="Y255" s="5" t="s">
        <v>2927</v>
      </c>
      <c r="Z255" s="5"/>
      <c r="AA255" s="5"/>
      <c r="AB255" s="5" t="s">
        <v>2928</v>
      </c>
      <c r="AC255" s="5" t="s">
        <v>2928</v>
      </c>
      <c r="AD255" s="5" t="s">
        <v>2929</v>
      </c>
      <c r="AE255" s="5" t="s">
        <v>752</v>
      </c>
      <c r="AF255" s="5" t="s">
        <v>2930</v>
      </c>
      <c r="AG255" s="5" t="s">
        <v>100</v>
      </c>
      <c r="AH255" s="5" t="s">
        <v>2931</v>
      </c>
      <c r="AI255" s="5" t="s">
        <v>2932</v>
      </c>
      <c r="AJ255" s="10" t="s">
        <v>2933</v>
      </c>
      <c r="AK255" s="5" t="s">
        <v>124</v>
      </c>
      <c r="AL255" s="5" t="s">
        <v>124</v>
      </c>
      <c r="AM255" s="5" t="s">
        <v>105</v>
      </c>
      <c r="AN255" s="5" t="s">
        <v>2934</v>
      </c>
      <c r="AO255" s="6"/>
      <c r="AP255" s="6"/>
      <c r="AQ255" s="6"/>
      <c r="AR255" s="6"/>
      <c r="AS255" s="6"/>
      <c r="AT255" s="6"/>
      <c r="AU255" s="5" t="s">
        <v>2935</v>
      </c>
      <c r="AV255" s="5" t="s">
        <v>108</v>
      </c>
      <c r="AW255" s="6"/>
      <c r="AX255" s="6"/>
      <c r="AY255" s="5" t="s">
        <v>2916</v>
      </c>
      <c r="AZ255" s="5" t="b">
        <v>0</v>
      </c>
      <c r="BA255" s="5" t="s">
        <v>110</v>
      </c>
      <c r="BB255" s="5" t="s">
        <v>773</v>
      </c>
      <c r="BC255" s="6"/>
      <c r="BD255" s="6"/>
      <c r="BE255" s="5" t="s">
        <v>2936</v>
      </c>
      <c r="BF255" s="6"/>
      <c r="BG255" s="6"/>
      <c r="BH255" s="6"/>
      <c r="BI255" s="6"/>
      <c r="BJ255" s="6"/>
      <c r="BK255" s="6"/>
      <c r="BL255" s="6"/>
      <c r="BM255" s="6"/>
      <c r="BN255" s="6"/>
      <c r="BO255" s="6"/>
      <c r="BP255" s="6"/>
      <c r="BQ255" s="6"/>
      <c r="BR255" s="6"/>
      <c r="BS255" s="6"/>
      <c r="BT255" s="6"/>
      <c r="BU255" s="6"/>
      <c r="BV255" s="6"/>
      <c r="BW255" s="6"/>
      <c r="BX255" s="6"/>
      <c r="BY255" s="6"/>
      <c r="BZ255" s="6"/>
      <c r="CA255" s="6"/>
      <c r="CB255" s="5" t="s">
        <v>2407</v>
      </c>
      <c r="CC255" s="6"/>
      <c r="CD255" s="6"/>
      <c r="CE255" s="5" t="s">
        <v>903</v>
      </c>
      <c r="CF255" s="5" t="s">
        <v>2937</v>
      </c>
      <c r="CG255" s="6"/>
      <c r="CH255" s="6"/>
      <c r="CI255" s="6"/>
      <c r="CJ255" s="6"/>
      <c r="CK255" s="6"/>
      <c r="CL255" s="6"/>
      <c r="CM255" s="6"/>
      <c r="CN255" s="6"/>
      <c r="CO255" s="6"/>
      <c r="CP255" s="6"/>
    </row>
    <row r="256">
      <c r="A256" s="4" t="s">
        <v>2938</v>
      </c>
      <c r="B256" s="5" t="s">
        <v>2939</v>
      </c>
      <c r="C256" s="5" t="s">
        <v>2940</v>
      </c>
      <c r="D256" s="5" t="s">
        <v>94</v>
      </c>
      <c r="E256" s="5" t="s">
        <v>95</v>
      </c>
      <c r="F256" s="6"/>
      <c r="G256" s="5" t="s">
        <v>2941</v>
      </c>
      <c r="H256" s="5" t="s">
        <v>97</v>
      </c>
      <c r="I256" s="5" t="s">
        <v>98</v>
      </c>
      <c r="J256" s="5"/>
      <c r="K256" s="5"/>
      <c r="L256" s="5"/>
      <c r="M256" s="5"/>
      <c r="N256" s="5"/>
      <c r="O256" s="5"/>
      <c r="P256" s="5"/>
      <c r="Q256" s="5"/>
      <c r="R256" s="5" t="s">
        <v>2942</v>
      </c>
      <c r="S256" s="5"/>
      <c r="T256" s="5"/>
      <c r="U256" s="5"/>
      <c r="V256" s="5"/>
      <c r="W256" s="5"/>
      <c r="X256" s="5" t="s">
        <v>2943</v>
      </c>
      <c r="Y256" s="5" t="s">
        <v>2944</v>
      </c>
      <c r="Z256" s="5"/>
      <c r="AA256" s="5" t="s">
        <v>2945</v>
      </c>
      <c r="AB256" s="5"/>
      <c r="AC256" s="5"/>
      <c r="AD256" s="5"/>
      <c r="AE256" s="5"/>
      <c r="AF256" s="5"/>
      <c r="AG256" s="5"/>
      <c r="AH256" s="5"/>
      <c r="AI256" s="5"/>
      <c r="AJ256" s="5" t="str">
        <f t="shared" ref="AJ256:AJ265" si="28">CONCATENATE(J256,K256,L256,Q256,R256,X256,Y256,AA256,AG256)</f>
        <v>51, 72, 85, 86, 87, 88, 89, 90, 91, 92, 94, 95, 17, 100, 101, 102, 104, 106, 107, 85, 86, 87, 88, 89, 90, </v>
      </c>
      <c r="AK256" s="5" t="s">
        <v>103</v>
      </c>
      <c r="AL256" s="5" t="s">
        <v>104</v>
      </c>
      <c r="AM256" s="5" t="s">
        <v>105</v>
      </c>
      <c r="AN256" s="5" t="s">
        <v>2946</v>
      </c>
      <c r="AO256" s="6"/>
      <c r="AP256" s="6"/>
      <c r="AQ256" s="6"/>
      <c r="AR256" s="6"/>
      <c r="AS256" s="6"/>
      <c r="AT256" s="6"/>
      <c r="AU256" s="5" t="s">
        <v>2947</v>
      </c>
      <c r="AV256" s="5" t="s">
        <v>108</v>
      </c>
      <c r="AW256" s="6"/>
      <c r="AX256" s="6"/>
      <c r="AY256" s="5" t="s">
        <v>2916</v>
      </c>
      <c r="AZ256" s="5" t="b">
        <v>0</v>
      </c>
      <c r="BA256" s="5" t="s">
        <v>110</v>
      </c>
      <c r="BB256" s="5" t="s">
        <v>773</v>
      </c>
      <c r="BC256" s="6"/>
      <c r="BD256" s="6"/>
      <c r="BE256" s="5" t="s">
        <v>2948</v>
      </c>
      <c r="BF256" s="6"/>
      <c r="BG256" s="6"/>
      <c r="BH256" s="6"/>
      <c r="BI256" s="6"/>
      <c r="BJ256" s="6"/>
      <c r="BK256" s="6"/>
      <c r="BL256" s="6"/>
      <c r="BM256" s="6"/>
      <c r="BN256" s="6"/>
      <c r="BO256" s="6"/>
      <c r="BP256" s="6"/>
      <c r="BQ256" s="6"/>
      <c r="BR256" s="6"/>
      <c r="BS256" s="6"/>
      <c r="BT256" s="6"/>
      <c r="BU256" s="6"/>
      <c r="BV256" s="6"/>
      <c r="BW256" s="6"/>
      <c r="BX256" s="6"/>
      <c r="BY256" s="6"/>
      <c r="BZ256" s="6"/>
      <c r="CA256" s="6"/>
      <c r="CB256" s="5" t="s">
        <v>2949</v>
      </c>
      <c r="CC256" s="6"/>
      <c r="CD256" s="6"/>
      <c r="CE256" s="5" t="s">
        <v>412</v>
      </c>
      <c r="CF256" s="5" t="s">
        <v>2950</v>
      </c>
      <c r="CG256" s="6"/>
      <c r="CH256" s="6"/>
      <c r="CI256" s="6"/>
      <c r="CJ256" s="6"/>
      <c r="CK256" s="6"/>
      <c r="CL256" s="6"/>
      <c r="CM256" s="6"/>
      <c r="CN256" s="6"/>
      <c r="CO256" s="6"/>
      <c r="CP256" s="6"/>
    </row>
    <row r="257">
      <c r="A257" s="7" t="s">
        <v>2951</v>
      </c>
      <c r="B257" s="8" t="s">
        <v>2952</v>
      </c>
      <c r="C257" s="8" t="s">
        <v>2953</v>
      </c>
      <c r="D257" s="8" t="s">
        <v>94</v>
      </c>
      <c r="E257" s="8" t="s">
        <v>95</v>
      </c>
      <c r="F257" s="9"/>
      <c r="G257" s="8" t="s">
        <v>2954</v>
      </c>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t="str">
        <f t="shared" si="28"/>
        <v/>
      </c>
      <c r="AK257" s="8"/>
      <c r="AL257" s="8"/>
      <c r="AM257" s="8" t="s">
        <v>1877</v>
      </c>
      <c r="AN257" s="8" t="s">
        <v>2955</v>
      </c>
      <c r="AO257" s="9"/>
      <c r="AP257" s="9"/>
      <c r="AQ257" s="9"/>
      <c r="AR257" s="8" t="s">
        <v>1879</v>
      </c>
      <c r="AS257" s="8" t="s">
        <v>1880</v>
      </c>
      <c r="AT257" s="9"/>
      <c r="AU257" s="8" t="s">
        <v>2956</v>
      </c>
      <c r="AV257" s="8" t="s">
        <v>108</v>
      </c>
      <c r="AW257" s="9"/>
      <c r="AX257" s="9"/>
      <c r="AY257" s="8" t="s">
        <v>2916</v>
      </c>
      <c r="AZ257" s="8" t="b">
        <v>0</v>
      </c>
      <c r="BA257" s="8" t="s">
        <v>110</v>
      </c>
      <c r="BB257" s="8" t="s">
        <v>2485</v>
      </c>
      <c r="BC257" s="9"/>
      <c r="BD257" s="9"/>
      <c r="BE257" s="8" t="s">
        <v>2957</v>
      </c>
      <c r="BF257" s="9"/>
      <c r="BG257" s="9"/>
      <c r="BH257" s="9"/>
      <c r="BI257" s="9"/>
      <c r="BJ257" s="9"/>
      <c r="BK257" s="9"/>
      <c r="BL257" s="9"/>
      <c r="BM257" s="9"/>
      <c r="BN257" s="9"/>
      <c r="BO257" s="9"/>
      <c r="BP257" s="9"/>
      <c r="BQ257" s="9"/>
      <c r="BR257" s="9"/>
      <c r="BS257" s="9"/>
      <c r="BT257" s="9"/>
      <c r="BU257" s="9"/>
      <c r="BV257" s="9"/>
      <c r="BW257" s="9"/>
      <c r="BX257" s="9"/>
      <c r="BY257" s="9"/>
      <c r="BZ257" s="9"/>
      <c r="CA257" s="9"/>
      <c r="CB257" s="8" t="s">
        <v>2958</v>
      </c>
      <c r="CC257" s="9"/>
      <c r="CD257" s="9"/>
      <c r="CE257" s="8" t="s">
        <v>115</v>
      </c>
      <c r="CF257" s="8" t="s">
        <v>2959</v>
      </c>
      <c r="CG257" s="9"/>
      <c r="CH257" s="9"/>
      <c r="CI257" s="9"/>
      <c r="CJ257" s="9"/>
      <c r="CK257" s="9"/>
      <c r="CL257" s="9"/>
      <c r="CM257" s="9"/>
      <c r="CN257" s="9"/>
      <c r="CO257" s="9"/>
      <c r="CP257" s="9"/>
    </row>
    <row r="258">
      <c r="A258" s="7" t="s">
        <v>2960</v>
      </c>
      <c r="B258" s="8" t="s">
        <v>2961</v>
      </c>
      <c r="C258" s="8" t="s">
        <v>2962</v>
      </c>
      <c r="D258" s="8" t="s">
        <v>94</v>
      </c>
      <c r="E258" s="8" t="s">
        <v>95</v>
      </c>
      <c r="F258" s="9"/>
      <c r="G258" s="8" t="s">
        <v>2963</v>
      </c>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t="str">
        <f t="shared" si="28"/>
        <v/>
      </c>
      <c r="AK258" s="8"/>
      <c r="AL258" s="8"/>
      <c r="AM258" s="8" t="s">
        <v>1477</v>
      </c>
      <c r="AN258" s="8" t="s">
        <v>2964</v>
      </c>
      <c r="AO258" s="9"/>
      <c r="AP258" s="9"/>
      <c r="AQ258" s="9"/>
      <c r="AR258" s="8" t="s">
        <v>1479</v>
      </c>
      <c r="AS258" s="8" t="s">
        <v>1480</v>
      </c>
      <c r="AT258" s="9"/>
      <c r="AU258" s="8" t="s">
        <v>2965</v>
      </c>
      <c r="AV258" s="9"/>
      <c r="AW258" s="9"/>
      <c r="AX258" s="9"/>
      <c r="AY258" s="8" t="s">
        <v>2916</v>
      </c>
      <c r="AZ258" s="8" t="b">
        <v>0</v>
      </c>
      <c r="BA258" s="8" t="s">
        <v>190</v>
      </c>
      <c r="BB258" s="8" t="s">
        <v>191</v>
      </c>
      <c r="BC258" s="9"/>
      <c r="BD258" s="9"/>
      <c r="BE258" s="8" t="s">
        <v>2966</v>
      </c>
      <c r="BF258" s="9"/>
      <c r="BG258" s="9"/>
      <c r="BH258" s="9"/>
      <c r="BI258" s="9"/>
      <c r="BJ258" s="9"/>
      <c r="BK258" s="9"/>
      <c r="BL258" s="9"/>
      <c r="BM258" s="9"/>
      <c r="BN258" s="9"/>
      <c r="BO258" s="9"/>
      <c r="BP258" s="9"/>
      <c r="BQ258" s="9"/>
      <c r="BR258" s="8" t="s">
        <v>193</v>
      </c>
      <c r="BS258" s="8" t="s">
        <v>194</v>
      </c>
      <c r="BT258" s="9"/>
      <c r="BU258" s="9"/>
      <c r="BV258" s="8" t="s">
        <v>2967</v>
      </c>
      <c r="BW258" s="9"/>
      <c r="BX258" s="9"/>
      <c r="BY258" s="9"/>
      <c r="BZ258" s="9"/>
      <c r="CA258" s="9"/>
      <c r="CB258" s="8" t="s">
        <v>2968</v>
      </c>
      <c r="CC258" s="9"/>
      <c r="CD258" s="9"/>
      <c r="CE258" s="8" t="s">
        <v>1263</v>
      </c>
      <c r="CF258" s="8" t="s">
        <v>2969</v>
      </c>
      <c r="CG258" s="9"/>
      <c r="CH258" s="9"/>
      <c r="CI258" s="9"/>
      <c r="CJ258" s="9"/>
      <c r="CK258" s="9"/>
      <c r="CL258" s="9"/>
      <c r="CM258" s="9"/>
      <c r="CN258" s="9"/>
      <c r="CO258" s="9"/>
      <c r="CP258" s="9"/>
    </row>
    <row r="259">
      <c r="A259" s="7" t="s">
        <v>2970</v>
      </c>
      <c r="B259" s="8" t="s">
        <v>2971</v>
      </c>
      <c r="C259" s="8" t="s">
        <v>2972</v>
      </c>
      <c r="D259" s="8" t="s">
        <v>94</v>
      </c>
      <c r="E259" s="8" t="s">
        <v>95</v>
      </c>
      <c r="F259" s="9"/>
      <c r="G259" s="8" t="s">
        <v>2973</v>
      </c>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t="str">
        <f t="shared" si="28"/>
        <v/>
      </c>
      <c r="AK259" s="8"/>
      <c r="AL259" s="8"/>
      <c r="AM259" s="8" t="s">
        <v>1477</v>
      </c>
      <c r="AN259" s="8" t="s">
        <v>2974</v>
      </c>
      <c r="AO259" s="9"/>
      <c r="AP259" s="9"/>
      <c r="AQ259" s="9"/>
      <c r="AR259" s="8" t="s">
        <v>1479</v>
      </c>
      <c r="AS259" s="8" t="s">
        <v>1480</v>
      </c>
      <c r="AT259" s="9"/>
      <c r="AU259" s="8" t="s">
        <v>2975</v>
      </c>
      <c r="AV259" s="8" t="s">
        <v>108</v>
      </c>
      <c r="AW259" s="9"/>
      <c r="AX259" s="9"/>
      <c r="AY259" s="8" t="s">
        <v>2916</v>
      </c>
      <c r="AZ259" s="8" t="b">
        <v>0</v>
      </c>
      <c r="BA259" s="8" t="s">
        <v>110</v>
      </c>
      <c r="BB259" s="8" t="s">
        <v>2476</v>
      </c>
      <c r="BC259" s="9"/>
      <c r="BD259" s="9"/>
      <c r="BE259" s="8" t="s">
        <v>2976</v>
      </c>
      <c r="BF259" s="9"/>
      <c r="BG259" s="9"/>
      <c r="BH259" s="9"/>
      <c r="BI259" s="9"/>
      <c r="BJ259" s="9"/>
      <c r="BK259" s="9"/>
      <c r="BL259" s="9"/>
      <c r="BM259" s="9"/>
      <c r="BN259" s="9"/>
      <c r="BO259" s="9"/>
      <c r="BP259" s="9"/>
      <c r="BQ259" s="9"/>
      <c r="BR259" s="9"/>
      <c r="BS259" s="9"/>
      <c r="BT259" s="9"/>
      <c r="BU259" s="9"/>
      <c r="BV259" s="9"/>
      <c r="BW259" s="9"/>
      <c r="BX259" s="9"/>
      <c r="BY259" s="9"/>
      <c r="BZ259" s="9"/>
      <c r="CA259" s="9"/>
      <c r="CB259" s="8" t="s">
        <v>2977</v>
      </c>
      <c r="CC259" s="9"/>
      <c r="CD259" s="9"/>
      <c r="CE259" s="8" t="s">
        <v>197</v>
      </c>
      <c r="CF259" s="8" t="s">
        <v>2978</v>
      </c>
      <c r="CG259" s="9"/>
      <c r="CH259" s="9"/>
      <c r="CI259" s="9"/>
      <c r="CJ259" s="9"/>
      <c r="CK259" s="9"/>
      <c r="CL259" s="9"/>
      <c r="CM259" s="9"/>
      <c r="CN259" s="9"/>
      <c r="CO259" s="9"/>
      <c r="CP259" s="9"/>
    </row>
    <row r="260">
      <c r="A260" s="7" t="s">
        <v>2979</v>
      </c>
      <c r="B260" s="8" t="s">
        <v>2980</v>
      </c>
      <c r="C260" s="8" t="s">
        <v>2981</v>
      </c>
      <c r="D260" s="8" t="s">
        <v>94</v>
      </c>
      <c r="E260" s="8" t="s">
        <v>95</v>
      </c>
      <c r="F260" s="9"/>
      <c r="G260" s="8" t="s">
        <v>2982</v>
      </c>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t="str">
        <f t="shared" si="28"/>
        <v/>
      </c>
      <c r="AK260" s="8"/>
      <c r="AL260" s="8"/>
      <c r="AM260" s="8" t="s">
        <v>1477</v>
      </c>
      <c r="AN260" s="8" t="s">
        <v>2983</v>
      </c>
      <c r="AO260" s="9"/>
      <c r="AP260" s="9"/>
      <c r="AQ260" s="9"/>
      <c r="AR260" s="8" t="s">
        <v>1479</v>
      </c>
      <c r="AS260" s="8" t="s">
        <v>1480</v>
      </c>
      <c r="AT260" s="9"/>
      <c r="AU260" s="8" t="s">
        <v>2984</v>
      </c>
      <c r="AV260" s="8" t="s">
        <v>108</v>
      </c>
      <c r="AW260" s="9"/>
      <c r="AX260" s="9"/>
      <c r="AY260" s="8" t="s">
        <v>2916</v>
      </c>
      <c r="AZ260" s="8" t="b">
        <v>0</v>
      </c>
      <c r="BA260" s="8" t="s">
        <v>110</v>
      </c>
      <c r="BB260" s="8" t="s">
        <v>2476</v>
      </c>
      <c r="BC260" s="9"/>
      <c r="BD260" s="9"/>
      <c r="BE260" s="8" t="s">
        <v>2985</v>
      </c>
      <c r="BF260" s="9"/>
      <c r="BG260" s="9"/>
      <c r="BH260" s="9"/>
      <c r="BI260" s="9"/>
      <c r="BJ260" s="9"/>
      <c r="BK260" s="9"/>
      <c r="BL260" s="9"/>
      <c r="BM260" s="9"/>
      <c r="BN260" s="9"/>
      <c r="BO260" s="9"/>
      <c r="BP260" s="9"/>
      <c r="BQ260" s="9"/>
      <c r="BR260" s="9"/>
      <c r="BS260" s="9"/>
      <c r="BT260" s="9"/>
      <c r="BU260" s="9"/>
      <c r="BV260" s="9"/>
      <c r="BW260" s="9"/>
      <c r="BX260" s="9"/>
      <c r="BY260" s="9"/>
      <c r="BZ260" s="9"/>
      <c r="CA260" s="9"/>
      <c r="CB260" s="8" t="s">
        <v>2986</v>
      </c>
      <c r="CC260" s="9"/>
      <c r="CD260" s="9"/>
      <c r="CE260" s="8" t="s">
        <v>197</v>
      </c>
      <c r="CF260" s="8" t="s">
        <v>2987</v>
      </c>
      <c r="CG260" s="9"/>
      <c r="CH260" s="9"/>
      <c r="CI260" s="9"/>
      <c r="CJ260" s="9"/>
      <c r="CK260" s="9"/>
      <c r="CL260" s="9"/>
      <c r="CM260" s="9"/>
      <c r="CN260" s="9"/>
      <c r="CO260" s="9"/>
      <c r="CP260" s="9"/>
    </row>
    <row r="261">
      <c r="A261" s="7" t="s">
        <v>2988</v>
      </c>
      <c r="B261" s="8" t="s">
        <v>2989</v>
      </c>
      <c r="C261" s="8" t="s">
        <v>2990</v>
      </c>
      <c r="D261" s="8" t="s">
        <v>94</v>
      </c>
      <c r="E261" s="8" t="s">
        <v>95</v>
      </c>
      <c r="F261" s="9"/>
      <c r="G261" s="8" t="s">
        <v>2991</v>
      </c>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t="str">
        <f t="shared" si="28"/>
        <v/>
      </c>
      <c r="AK261" s="8"/>
      <c r="AL261" s="8"/>
      <c r="AM261" s="8" t="s">
        <v>1477</v>
      </c>
      <c r="AN261" s="8" t="s">
        <v>2992</v>
      </c>
      <c r="AO261" s="9"/>
      <c r="AP261" s="9"/>
      <c r="AQ261" s="9"/>
      <c r="AR261" s="8" t="s">
        <v>1479</v>
      </c>
      <c r="AS261" s="8" t="s">
        <v>1480</v>
      </c>
      <c r="AT261" s="9"/>
      <c r="AU261" s="8" t="s">
        <v>2993</v>
      </c>
      <c r="AV261" s="8" t="s">
        <v>108</v>
      </c>
      <c r="AW261" s="9"/>
      <c r="AX261" s="9"/>
      <c r="AY261" s="8" t="s">
        <v>2916</v>
      </c>
      <c r="AZ261" s="8" t="b">
        <v>0</v>
      </c>
      <c r="BA261" s="8" t="s">
        <v>110</v>
      </c>
      <c r="BB261" s="8" t="s">
        <v>2485</v>
      </c>
      <c r="BC261" s="9"/>
      <c r="BD261" s="9"/>
      <c r="BE261" s="8" t="s">
        <v>2994</v>
      </c>
      <c r="BF261" s="9"/>
      <c r="BG261" s="9"/>
      <c r="BH261" s="9"/>
      <c r="BI261" s="9"/>
      <c r="BJ261" s="9"/>
      <c r="BK261" s="9"/>
      <c r="BL261" s="9"/>
      <c r="BM261" s="9"/>
      <c r="BN261" s="9"/>
      <c r="BO261" s="9"/>
      <c r="BP261" s="9"/>
      <c r="BQ261" s="9"/>
      <c r="BR261" s="9"/>
      <c r="BS261" s="9"/>
      <c r="BT261" s="9"/>
      <c r="BU261" s="9"/>
      <c r="BV261" s="9"/>
      <c r="BW261" s="9"/>
      <c r="BX261" s="9"/>
      <c r="BY261" s="9"/>
      <c r="BZ261" s="9"/>
      <c r="CA261" s="9"/>
      <c r="CB261" s="8" t="s">
        <v>2995</v>
      </c>
      <c r="CC261" s="9"/>
      <c r="CD261" s="9"/>
      <c r="CE261" s="8" t="s">
        <v>115</v>
      </c>
      <c r="CF261" s="8" t="s">
        <v>2996</v>
      </c>
      <c r="CG261" s="9"/>
      <c r="CH261" s="9"/>
      <c r="CI261" s="9"/>
      <c r="CJ261" s="9"/>
      <c r="CK261" s="9"/>
      <c r="CL261" s="9"/>
      <c r="CM261" s="9"/>
      <c r="CN261" s="9"/>
      <c r="CO261" s="9"/>
      <c r="CP261" s="9"/>
    </row>
    <row r="262">
      <c r="A262" s="7" t="s">
        <v>2997</v>
      </c>
      <c r="B262" s="8" t="s">
        <v>2998</v>
      </c>
      <c r="C262" s="8" t="s">
        <v>2999</v>
      </c>
      <c r="D262" s="8" t="s">
        <v>94</v>
      </c>
      <c r="E262" s="8" t="s">
        <v>95</v>
      </c>
      <c r="F262" s="9"/>
      <c r="G262" s="8" t="s">
        <v>3000</v>
      </c>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t="str">
        <f t="shared" si="28"/>
        <v/>
      </c>
      <c r="AK262" s="8"/>
      <c r="AL262" s="8"/>
      <c r="AM262" s="8" t="s">
        <v>1477</v>
      </c>
      <c r="AN262" s="8" t="s">
        <v>3001</v>
      </c>
      <c r="AO262" s="9"/>
      <c r="AP262" s="9"/>
      <c r="AQ262" s="9"/>
      <c r="AR262" s="8" t="s">
        <v>1479</v>
      </c>
      <c r="AS262" s="8" t="s">
        <v>1480</v>
      </c>
      <c r="AT262" s="9"/>
      <c r="AU262" s="8" t="s">
        <v>3002</v>
      </c>
      <c r="AV262" s="8" t="s">
        <v>108</v>
      </c>
      <c r="AW262" s="9"/>
      <c r="AX262" s="9"/>
      <c r="AY262" s="8" t="s">
        <v>2916</v>
      </c>
      <c r="AZ262" s="8" t="b">
        <v>0</v>
      </c>
      <c r="BA262" s="8" t="s">
        <v>110</v>
      </c>
      <c r="BB262" s="8" t="s">
        <v>2352</v>
      </c>
      <c r="BC262" s="9"/>
      <c r="BD262" s="9"/>
      <c r="BE262" s="8" t="s">
        <v>3003</v>
      </c>
      <c r="BF262" s="9"/>
      <c r="BG262" s="9"/>
      <c r="BH262" s="9"/>
      <c r="BI262" s="9"/>
      <c r="BJ262" s="9"/>
      <c r="BK262" s="9"/>
      <c r="BL262" s="9"/>
      <c r="BM262" s="9"/>
      <c r="BN262" s="9"/>
      <c r="BO262" s="9"/>
      <c r="BP262" s="9"/>
      <c r="BQ262" s="9"/>
      <c r="BR262" s="9"/>
      <c r="BS262" s="9"/>
      <c r="BT262" s="9"/>
      <c r="BU262" s="9"/>
      <c r="BV262" s="9"/>
      <c r="BW262" s="9"/>
      <c r="BX262" s="9"/>
      <c r="BY262" s="9"/>
      <c r="BZ262" s="9"/>
      <c r="CA262" s="9"/>
      <c r="CB262" s="8" t="s">
        <v>3004</v>
      </c>
      <c r="CC262" s="9"/>
      <c r="CD262" s="9"/>
      <c r="CE262" s="8" t="s">
        <v>366</v>
      </c>
      <c r="CF262" s="8" t="s">
        <v>3005</v>
      </c>
      <c r="CG262" s="9"/>
      <c r="CH262" s="9"/>
      <c r="CI262" s="9"/>
      <c r="CJ262" s="9"/>
      <c r="CK262" s="9"/>
      <c r="CL262" s="9"/>
      <c r="CM262" s="9"/>
      <c r="CN262" s="9"/>
      <c r="CO262" s="9"/>
      <c r="CP262" s="9"/>
    </row>
    <row r="263">
      <c r="A263" s="7" t="s">
        <v>3006</v>
      </c>
      <c r="B263" s="8" t="s">
        <v>3007</v>
      </c>
      <c r="C263" s="8" t="s">
        <v>3008</v>
      </c>
      <c r="D263" s="8" t="s">
        <v>94</v>
      </c>
      <c r="E263" s="8" t="s">
        <v>95</v>
      </c>
      <c r="F263" s="9"/>
      <c r="G263" s="8" t="s">
        <v>3009</v>
      </c>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t="str">
        <f t="shared" si="28"/>
        <v/>
      </c>
      <c r="AK263" s="8"/>
      <c r="AL263" s="8"/>
      <c r="AM263" s="8" t="s">
        <v>1477</v>
      </c>
      <c r="AN263" s="8" t="s">
        <v>3010</v>
      </c>
      <c r="AO263" s="9"/>
      <c r="AP263" s="9"/>
      <c r="AQ263" s="9"/>
      <c r="AR263" s="8" t="s">
        <v>1479</v>
      </c>
      <c r="AS263" s="8" t="s">
        <v>1480</v>
      </c>
      <c r="AT263" s="9"/>
      <c r="AU263" s="8" t="s">
        <v>3011</v>
      </c>
      <c r="AV263" s="8" t="s">
        <v>108</v>
      </c>
      <c r="AW263" s="9"/>
      <c r="AX263" s="9"/>
      <c r="AY263" s="8" t="s">
        <v>2916</v>
      </c>
      <c r="AZ263" s="8" t="b">
        <v>0</v>
      </c>
      <c r="BA263" s="8" t="s">
        <v>110</v>
      </c>
      <c r="BB263" s="9"/>
      <c r="BC263" s="9"/>
      <c r="BD263" s="9"/>
      <c r="BE263" s="8" t="s">
        <v>3012</v>
      </c>
      <c r="BF263" s="9"/>
      <c r="BG263" s="9"/>
      <c r="BH263" s="9"/>
      <c r="BI263" s="9"/>
      <c r="BJ263" s="9"/>
      <c r="BK263" s="9"/>
      <c r="BL263" s="9"/>
      <c r="BM263" s="9"/>
      <c r="BN263" s="9"/>
      <c r="BO263" s="9"/>
      <c r="BP263" s="9"/>
      <c r="BQ263" s="9"/>
      <c r="BR263" s="9"/>
      <c r="BS263" s="9"/>
      <c r="BT263" s="9"/>
      <c r="BU263" s="9"/>
      <c r="BV263" s="9"/>
      <c r="BW263" s="9"/>
      <c r="BX263" s="9"/>
      <c r="BY263" s="9"/>
      <c r="BZ263" s="9"/>
      <c r="CA263" s="9"/>
      <c r="CB263" s="8" t="s">
        <v>1931</v>
      </c>
      <c r="CC263" s="9"/>
      <c r="CD263" s="9"/>
      <c r="CE263" s="8" t="s">
        <v>450</v>
      </c>
      <c r="CF263" s="8" t="s">
        <v>3013</v>
      </c>
      <c r="CG263" s="9"/>
      <c r="CH263" s="9"/>
      <c r="CI263" s="9"/>
      <c r="CJ263" s="9"/>
      <c r="CK263" s="9"/>
      <c r="CL263" s="9"/>
      <c r="CM263" s="9"/>
      <c r="CN263" s="9"/>
      <c r="CO263" s="9"/>
      <c r="CP263" s="9"/>
    </row>
    <row r="264">
      <c r="A264" s="7" t="s">
        <v>3014</v>
      </c>
      <c r="B264" s="8" t="s">
        <v>3015</v>
      </c>
      <c r="C264" s="8" t="s">
        <v>3016</v>
      </c>
      <c r="D264" s="8" t="s">
        <v>94</v>
      </c>
      <c r="E264" s="8" t="s">
        <v>95</v>
      </c>
      <c r="F264" s="9"/>
      <c r="G264" s="8" t="s">
        <v>3017</v>
      </c>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t="str">
        <f t="shared" si="28"/>
        <v/>
      </c>
      <c r="AK264" s="8"/>
      <c r="AL264" s="8"/>
      <c r="AM264" s="8" t="s">
        <v>1477</v>
      </c>
      <c r="AN264" s="8" t="s">
        <v>3018</v>
      </c>
      <c r="AO264" s="9"/>
      <c r="AP264" s="9"/>
      <c r="AQ264" s="9"/>
      <c r="AR264" s="8" t="s">
        <v>1479</v>
      </c>
      <c r="AS264" s="8" t="s">
        <v>1480</v>
      </c>
      <c r="AT264" s="9"/>
      <c r="AU264" s="8" t="s">
        <v>3019</v>
      </c>
      <c r="AV264" s="8" t="s">
        <v>108</v>
      </c>
      <c r="AW264" s="9"/>
      <c r="AX264" s="9"/>
      <c r="AY264" s="8" t="s">
        <v>2916</v>
      </c>
      <c r="AZ264" s="8" t="b">
        <v>0</v>
      </c>
      <c r="BA264" s="8" t="s">
        <v>110</v>
      </c>
      <c r="BB264" s="9"/>
      <c r="BC264" s="9"/>
      <c r="BD264" s="9"/>
      <c r="BE264" s="8" t="s">
        <v>361</v>
      </c>
      <c r="BF264" s="9"/>
      <c r="BG264" s="9"/>
      <c r="BH264" s="9"/>
      <c r="BI264" s="9"/>
      <c r="BJ264" s="9"/>
      <c r="BK264" s="9"/>
      <c r="BL264" s="9"/>
      <c r="BM264" s="9"/>
      <c r="BN264" s="9"/>
      <c r="BO264" s="9"/>
      <c r="BP264" s="9"/>
      <c r="BQ264" s="9"/>
      <c r="BR264" s="9"/>
      <c r="BS264" s="9"/>
      <c r="BT264" s="9"/>
      <c r="BU264" s="9"/>
      <c r="BV264" s="9"/>
      <c r="BW264" s="9"/>
      <c r="BX264" s="9"/>
      <c r="BY264" s="9"/>
      <c r="BZ264" s="9"/>
      <c r="CA264" s="9"/>
      <c r="CB264" s="8" t="s">
        <v>3020</v>
      </c>
      <c r="CC264" s="9"/>
      <c r="CD264" s="9"/>
      <c r="CE264" s="8" t="s">
        <v>366</v>
      </c>
      <c r="CF264" s="8" t="s">
        <v>3021</v>
      </c>
      <c r="CG264" s="9"/>
      <c r="CH264" s="9"/>
      <c r="CI264" s="9"/>
      <c r="CJ264" s="9"/>
      <c r="CK264" s="9"/>
      <c r="CL264" s="9"/>
      <c r="CM264" s="9"/>
      <c r="CN264" s="9"/>
      <c r="CO264" s="9"/>
      <c r="CP264" s="9"/>
    </row>
    <row r="265">
      <c r="A265" s="7" t="s">
        <v>3022</v>
      </c>
      <c r="B265" s="8" t="s">
        <v>3023</v>
      </c>
      <c r="C265" s="8" t="s">
        <v>3024</v>
      </c>
      <c r="D265" s="8" t="s">
        <v>94</v>
      </c>
      <c r="E265" s="8" t="s">
        <v>95</v>
      </c>
      <c r="F265" s="9"/>
      <c r="G265" s="8" t="s">
        <v>3025</v>
      </c>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t="str">
        <f t="shared" si="28"/>
        <v/>
      </c>
      <c r="AK265" s="8"/>
      <c r="AL265" s="8"/>
      <c r="AM265" s="8" t="s">
        <v>3026</v>
      </c>
      <c r="AN265" s="8" t="s">
        <v>3027</v>
      </c>
      <c r="AO265" s="8" t="s">
        <v>3028</v>
      </c>
      <c r="AP265" s="9"/>
      <c r="AQ265" s="9"/>
      <c r="AR265" s="9"/>
      <c r="AS265" s="9"/>
      <c r="AT265" s="9"/>
      <c r="AU265" s="8" t="s">
        <v>3029</v>
      </c>
      <c r="AV265" s="8" t="s">
        <v>108</v>
      </c>
      <c r="AW265" s="9"/>
      <c r="AX265" s="9"/>
      <c r="AY265" s="8" t="s">
        <v>2916</v>
      </c>
      <c r="AZ265" s="8" t="b">
        <v>0</v>
      </c>
      <c r="BA265" s="8" t="s">
        <v>110</v>
      </c>
      <c r="BB265" s="9"/>
      <c r="BC265" s="9"/>
      <c r="BD265" s="9"/>
      <c r="BE265" s="8" t="s">
        <v>2693</v>
      </c>
      <c r="BF265" s="9"/>
      <c r="BG265" s="9"/>
      <c r="BH265" s="9"/>
      <c r="BI265" s="9"/>
      <c r="BJ265" s="9"/>
      <c r="BK265" s="9"/>
      <c r="BL265" s="9"/>
      <c r="BM265" s="9"/>
      <c r="BN265" s="9"/>
      <c r="BO265" s="9"/>
      <c r="BP265" s="9"/>
      <c r="BQ265" s="9"/>
      <c r="BR265" s="9"/>
      <c r="BS265" s="9"/>
      <c r="BT265" s="9"/>
      <c r="BU265" s="9"/>
      <c r="BV265" s="9"/>
      <c r="BW265" s="9"/>
      <c r="BX265" s="9"/>
      <c r="BY265" s="8" t="s">
        <v>3030</v>
      </c>
      <c r="BZ265" s="9"/>
      <c r="CA265" s="9"/>
      <c r="CB265" s="8" t="s">
        <v>3031</v>
      </c>
      <c r="CC265" s="9"/>
      <c r="CD265" s="9"/>
      <c r="CE265" s="8" t="s">
        <v>115</v>
      </c>
      <c r="CF265" s="8" t="s">
        <v>3032</v>
      </c>
      <c r="CG265" s="9"/>
      <c r="CH265" s="9"/>
      <c r="CI265" s="9"/>
      <c r="CJ265" s="9"/>
      <c r="CK265" s="9"/>
      <c r="CL265" s="9"/>
      <c r="CM265" s="9"/>
      <c r="CN265" s="9"/>
      <c r="CO265" s="9"/>
      <c r="CP265" s="9"/>
    </row>
    <row r="266">
      <c r="A266" s="4" t="s">
        <v>3033</v>
      </c>
      <c r="B266" s="5" t="s">
        <v>1138</v>
      </c>
      <c r="C266" s="5" t="s">
        <v>3034</v>
      </c>
      <c r="D266" s="5" t="s">
        <v>94</v>
      </c>
      <c r="E266" s="5" t="s">
        <v>95</v>
      </c>
      <c r="F266" s="6"/>
      <c r="G266" s="5" t="s">
        <v>3035</v>
      </c>
      <c r="H266" s="5" t="s">
        <v>97</v>
      </c>
      <c r="I266" s="5" t="s">
        <v>1329</v>
      </c>
      <c r="J266" s="10" t="s">
        <v>3036</v>
      </c>
      <c r="K266" s="5"/>
      <c r="L266" s="5"/>
      <c r="M266" s="5"/>
      <c r="N266" s="5"/>
      <c r="O266" s="5"/>
      <c r="P266" s="5"/>
      <c r="Q266" s="5" t="s">
        <v>3037</v>
      </c>
      <c r="R266" s="5"/>
      <c r="S266" s="5" t="s">
        <v>100</v>
      </c>
      <c r="T266" s="5" t="s">
        <v>100</v>
      </c>
      <c r="U266" s="5" t="s">
        <v>100</v>
      </c>
      <c r="V266" s="5" t="s">
        <v>100</v>
      </c>
      <c r="W266" s="5" t="s">
        <v>100</v>
      </c>
      <c r="X266" s="5" t="s">
        <v>100</v>
      </c>
      <c r="Y266" s="5" t="s">
        <v>3038</v>
      </c>
      <c r="Z266" s="5" t="s">
        <v>100</v>
      </c>
      <c r="AA266" s="5"/>
      <c r="AB266" s="5" t="s">
        <v>100</v>
      </c>
      <c r="AC266" s="5" t="s">
        <v>100</v>
      </c>
      <c r="AD266" s="5" t="s">
        <v>100</v>
      </c>
      <c r="AE266" s="5" t="s">
        <v>100</v>
      </c>
      <c r="AF266" s="5" t="s">
        <v>100</v>
      </c>
      <c r="AG266" s="5" t="s">
        <v>100</v>
      </c>
      <c r="AH266" s="5" t="s">
        <v>100</v>
      </c>
      <c r="AI266" s="5" t="s">
        <v>3039</v>
      </c>
      <c r="AJ266" s="5" t="s">
        <v>3040</v>
      </c>
      <c r="AK266" s="5" t="s">
        <v>124</v>
      </c>
      <c r="AL266" s="5" t="s">
        <v>124</v>
      </c>
      <c r="AM266" s="5" t="s">
        <v>105</v>
      </c>
      <c r="AN266" s="5" t="s">
        <v>3041</v>
      </c>
      <c r="AO266" s="6"/>
      <c r="AP266" s="5" t="s">
        <v>713</v>
      </c>
      <c r="AQ266" s="6"/>
      <c r="AR266" s="6"/>
      <c r="AS266" s="6"/>
      <c r="AT266" s="6"/>
      <c r="AU266" s="5" t="s">
        <v>3042</v>
      </c>
      <c r="AV266" s="6"/>
      <c r="AW266" s="6"/>
      <c r="AX266" s="6"/>
      <c r="AY266" s="5" t="s">
        <v>3043</v>
      </c>
      <c r="AZ266" s="5" t="b">
        <v>0</v>
      </c>
      <c r="BA266" s="5" t="s">
        <v>190</v>
      </c>
      <c r="BB266" s="5" t="s">
        <v>191</v>
      </c>
      <c r="BC266" s="6"/>
      <c r="BD266" s="6"/>
      <c r="BE266" s="5" t="s">
        <v>3044</v>
      </c>
      <c r="BF266" s="6"/>
      <c r="BG266" s="6"/>
      <c r="BH266" s="6"/>
      <c r="BI266" s="6"/>
      <c r="BJ266" s="6"/>
      <c r="BK266" s="6"/>
      <c r="BL266" s="6"/>
      <c r="BM266" s="6"/>
      <c r="BN266" s="6"/>
      <c r="BO266" s="6"/>
      <c r="BP266" s="6"/>
      <c r="BQ266" s="6"/>
      <c r="BR266" s="5" t="s">
        <v>193</v>
      </c>
      <c r="BS266" s="5" t="s">
        <v>194</v>
      </c>
      <c r="BT266" s="6"/>
      <c r="BU266" s="6"/>
      <c r="BV266" s="5" t="s">
        <v>3045</v>
      </c>
      <c r="BW266" s="6"/>
      <c r="BX266" s="6"/>
      <c r="BY266" s="6"/>
      <c r="BZ266" s="6"/>
      <c r="CA266" s="6"/>
      <c r="CB266" s="5" t="s">
        <v>3046</v>
      </c>
      <c r="CC266" s="6"/>
      <c r="CD266" s="6"/>
      <c r="CE266" s="5" t="s">
        <v>197</v>
      </c>
      <c r="CF266" s="5" t="s">
        <v>3047</v>
      </c>
      <c r="CG266" s="6"/>
      <c r="CH266" s="6"/>
      <c r="CI266" s="6"/>
      <c r="CJ266" s="6"/>
      <c r="CK266" s="6"/>
      <c r="CL266" s="6"/>
      <c r="CM266" s="6"/>
      <c r="CN266" s="6"/>
      <c r="CO266" s="6"/>
      <c r="CP266" s="6"/>
    </row>
    <row r="267">
      <c r="A267" s="7" t="s">
        <v>3048</v>
      </c>
      <c r="B267" s="8" t="s">
        <v>3049</v>
      </c>
      <c r="C267" s="8" t="s">
        <v>3050</v>
      </c>
      <c r="D267" s="8" t="s">
        <v>94</v>
      </c>
      <c r="E267" s="8" t="s">
        <v>95</v>
      </c>
      <c r="F267" s="9"/>
      <c r="G267" s="8" t="s">
        <v>3051</v>
      </c>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t="s">
        <v>105</v>
      </c>
      <c r="AN267" s="8" t="s">
        <v>3052</v>
      </c>
      <c r="AO267" s="9"/>
      <c r="AP267" s="9"/>
      <c r="AQ267" s="9"/>
      <c r="AR267" s="9"/>
      <c r="AS267" s="9"/>
      <c r="AT267" s="9"/>
      <c r="AU267" s="8" t="s">
        <v>3053</v>
      </c>
      <c r="AV267" s="8" t="s">
        <v>108</v>
      </c>
      <c r="AW267" s="9"/>
      <c r="AX267" s="9"/>
      <c r="AY267" s="8" t="s">
        <v>3043</v>
      </c>
      <c r="AZ267" s="8" t="b">
        <v>0</v>
      </c>
      <c r="BA267" s="8" t="s">
        <v>110</v>
      </c>
      <c r="BB267" s="8" t="s">
        <v>773</v>
      </c>
      <c r="BC267" s="9"/>
      <c r="BD267" s="9"/>
      <c r="BE267" s="8" t="s">
        <v>3054</v>
      </c>
      <c r="BF267" s="9"/>
      <c r="BG267" s="9"/>
      <c r="BH267" s="9"/>
      <c r="BI267" s="9"/>
      <c r="BJ267" s="9"/>
      <c r="BK267" s="9"/>
      <c r="BL267" s="9"/>
      <c r="BM267" s="9"/>
      <c r="BN267" s="9"/>
      <c r="BO267" s="9"/>
      <c r="BP267" s="9"/>
      <c r="BQ267" s="9"/>
      <c r="BR267" s="9"/>
      <c r="BS267" s="9"/>
      <c r="BT267" s="9"/>
      <c r="BU267" s="9"/>
      <c r="BV267" s="9"/>
      <c r="BW267" s="9"/>
      <c r="BX267" s="9"/>
      <c r="BY267" s="9"/>
      <c r="BZ267" s="9"/>
      <c r="CA267" s="9"/>
      <c r="CB267" s="8" t="s">
        <v>3046</v>
      </c>
      <c r="CC267" s="9"/>
      <c r="CD267" s="9"/>
      <c r="CE267" s="8" t="s">
        <v>115</v>
      </c>
      <c r="CF267" s="8" t="s">
        <v>3055</v>
      </c>
      <c r="CG267" s="9"/>
      <c r="CH267" s="9"/>
      <c r="CI267" s="9"/>
      <c r="CJ267" s="9"/>
      <c r="CK267" s="9"/>
      <c r="CL267" s="9"/>
      <c r="CM267" s="9"/>
      <c r="CN267" s="9"/>
      <c r="CO267" s="9"/>
      <c r="CP267" s="9"/>
    </row>
    <row r="268">
      <c r="A268" s="4" t="s">
        <v>3056</v>
      </c>
      <c r="B268" s="5" t="s">
        <v>3057</v>
      </c>
      <c r="C268" s="5" t="s">
        <v>3058</v>
      </c>
      <c r="D268" s="5" t="s">
        <v>94</v>
      </c>
      <c r="E268" s="5" t="s">
        <v>95</v>
      </c>
      <c r="F268" s="6"/>
      <c r="G268" s="5" t="s">
        <v>3059</v>
      </c>
      <c r="H268" s="5" t="s">
        <v>97</v>
      </c>
      <c r="I268" s="5" t="s">
        <v>928</v>
      </c>
      <c r="J268" s="5"/>
      <c r="K268" s="5"/>
      <c r="L268" s="5"/>
      <c r="M268" s="5" t="s">
        <v>100</v>
      </c>
      <c r="N268" s="5" t="s">
        <v>100</v>
      </c>
      <c r="O268" s="5" t="s">
        <v>100</v>
      </c>
      <c r="P268" s="5" t="s">
        <v>100</v>
      </c>
      <c r="Q268" s="5"/>
      <c r="R268" s="5"/>
      <c r="S268" s="5" t="s">
        <v>100</v>
      </c>
      <c r="T268" s="5" t="s">
        <v>3060</v>
      </c>
      <c r="U268" s="5" t="s">
        <v>3061</v>
      </c>
      <c r="V268" s="5" t="s">
        <v>3061</v>
      </c>
      <c r="W268" s="5" t="s">
        <v>100</v>
      </c>
      <c r="X268" s="5" t="s">
        <v>100</v>
      </c>
      <c r="Y268" s="5" t="s">
        <v>3062</v>
      </c>
      <c r="Z268" s="5" t="s">
        <v>100</v>
      </c>
      <c r="AA268" s="5"/>
      <c r="AB268" s="5" t="s">
        <v>3063</v>
      </c>
      <c r="AC268" s="5" t="s">
        <v>3063</v>
      </c>
      <c r="AD268" s="5" t="s">
        <v>3064</v>
      </c>
      <c r="AE268" s="5" t="s">
        <v>156</v>
      </c>
      <c r="AF268" s="5" t="s">
        <v>100</v>
      </c>
      <c r="AG268" s="5" t="s">
        <v>100</v>
      </c>
      <c r="AH268" s="5" t="s">
        <v>3065</v>
      </c>
      <c r="AI268" s="5" t="s">
        <v>2757</v>
      </c>
      <c r="AJ268" s="5" t="s">
        <v>3066</v>
      </c>
      <c r="AK268" s="5" t="s">
        <v>103</v>
      </c>
      <c r="AL268" s="5" t="s">
        <v>124</v>
      </c>
      <c r="AM268" s="5" t="s">
        <v>105</v>
      </c>
      <c r="AN268" s="5" t="s">
        <v>3067</v>
      </c>
      <c r="AO268" s="6"/>
      <c r="AP268" s="6"/>
      <c r="AQ268" s="6"/>
      <c r="AR268" s="6"/>
      <c r="AS268" s="6"/>
      <c r="AT268" s="6"/>
      <c r="AU268" s="5" t="s">
        <v>3068</v>
      </c>
      <c r="AV268" s="5" t="s">
        <v>108</v>
      </c>
      <c r="AW268" s="6"/>
      <c r="AX268" s="6"/>
      <c r="AY268" s="5" t="s">
        <v>3043</v>
      </c>
      <c r="AZ268" s="5" t="b">
        <v>0</v>
      </c>
      <c r="BA268" s="5" t="s">
        <v>110</v>
      </c>
      <c r="BB268" s="5" t="s">
        <v>2774</v>
      </c>
      <c r="BC268" s="6"/>
      <c r="BD268" s="6"/>
      <c r="BE268" s="5" t="s">
        <v>3069</v>
      </c>
      <c r="BF268" s="6"/>
      <c r="BG268" s="6"/>
      <c r="BH268" s="6"/>
      <c r="BI268" s="6"/>
      <c r="BJ268" s="6"/>
      <c r="BK268" s="6"/>
      <c r="BL268" s="6"/>
      <c r="BM268" s="6"/>
      <c r="BN268" s="6"/>
      <c r="BO268" s="6"/>
      <c r="BP268" s="6"/>
      <c r="BQ268" s="6"/>
      <c r="BR268" s="6"/>
      <c r="BS268" s="6"/>
      <c r="BT268" s="6"/>
      <c r="BU268" s="6"/>
      <c r="BV268" s="6"/>
      <c r="BW268" s="6"/>
      <c r="BX268" s="6"/>
      <c r="BY268" s="6"/>
      <c r="BZ268" s="6"/>
      <c r="CA268" s="6"/>
      <c r="CB268" s="5" t="s">
        <v>2995</v>
      </c>
      <c r="CC268" s="6"/>
      <c r="CD268" s="6"/>
      <c r="CE268" s="5" t="s">
        <v>450</v>
      </c>
      <c r="CF268" s="5" t="s">
        <v>3070</v>
      </c>
      <c r="CG268" s="6"/>
      <c r="CH268" s="6"/>
      <c r="CI268" s="6"/>
      <c r="CJ268" s="6"/>
      <c r="CK268" s="6"/>
      <c r="CL268" s="6"/>
      <c r="CM268" s="6"/>
      <c r="CN268" s="6"/>
      <c r="CO268" s="6"/>
      <c r="CP268" s="6"/>
    </row>
    <row r="269">
      <c r="A269" s="7" t="s">
        <v>3071</v>
      </c>
      <c r="B269" s="8" t="s">
        <v>3072</v>
      </c>
      <c r="C269" s="8" t="s">
        <v>3073</v>
      </c>
      <c r="D269" s="8" t="s">
        <v>94</v>
      </c>
      <c r="E269" s="8" t="s">
        <v>95</v>
      </c>
      <c r="F269" s="9"/>
      <c r="G269" s="8" t="s">
        <v>3074</v>
      </c>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t="str">
        <f t="shared" ref="AJ269:AJ280" si="29">CONCATENATE(J269,K269,L269,Q269,R269,X269,Y269,AA269,AG269)</f>
        <v/>
      </c>
      <c r="AK269" s="8"/>
      <c r="AL269" s="8"/>
      <c r="AM269" s="8" t="s">
        <v>105</v>
      </c>
      <c r="AN269" s="8" t="s">
        <v>3075</v>
      </c>
      <c r="AO269" s="9"/>
      <c r="AP269" s="9"/>
      <c r="AQ269" s="9"/>
      <c r="AR269" s="9"/>
      <c r="AS269" s="9"/>
      <c r="AT269" s="9"/>
      <c r="AU269" s="8" t="s">
        <v>3076</v>
      </c>
      <c r="AV269" s="9"/>
      <c r="AW269" s="9"/>
      <c r="AX269" s="9"/>
      <c r="AY269" s="8" t="s">
        <v>3043</v>
      </c>
      <c r="AZ269" s="8" t="b">
        <v>0</v>
      </c>
      <c r="BA269" s="8" t="s">
        <v>190</v>
      </c>
      <c r="BB269" s="8" t="s">
        <v>191</v>
      </c>
      <c r="BC269" s="9"/>
      <c r="BD269" s="9"/>
      <c r="BE269" s="8" t="s">
        <v>3077</v>
      </c>
      <c r="BF269" s="9"/>
      <c r="BG269" s="9"/>
      <c r="BH269" s="9"/>
      <c r="BI269" s="9"/>
      <c r="BJ269" s="9"/>
      <c r="BK269" s="9"/>
      <c r="BL269" s="9"/>
      <c r="BM269" s="9"/>
      <c r="BN269" s="9"/>
      <c r="BO269" s="9"/>
      <c r="BP269" s="9"/>
      <c r="BQ269" s="9"/>
      <c r="BR269" s="8" t="s">
        <v>193</v>
      </c>
      <c r="BS269" s="8" t="s">
        <v>194</v>
      </c>
      <c r="BT269" s="9"/>
      <c r="BU269" s="9"/>
      <c r="BV269" s="8" t="s">
        <v>3078</v>
      </c>
      <c r="BW269" s="9"/>
      <c r="BX269" s="9"/>
      <c r="BY269" s="9"/>
      <c r="BZ269" s="9"/>
      <c r="CA269" s="9"/>
      <c r="CB269" s="8" t="s">
        <v>3079</v>
      </c>
      <c r="CC269" s="9"/>
      <c r="CD269" s="9"/>
      <c r="CE269" s="8" t="s">
        <v>1506</v>
      </c>
      <c r="CF269" s="8" t="s">
        <v>3080</v>
      </c>
      <c r="CG269" s="9"/>
      <c r="CH269" s="9"/>
      <c r="CI269" s="9"/>
      <c r="CJ269" s="9"/>
      <c r="CK269" s="9"/>
      <c r="CL269" s="9"/>
      <c r="CM269" s="9"/>
      <c r="CN269" s="9"/>
      <c r="CO269" s="9"/>
      <c r="CP269" s="9"/>
    </row>
    <row r="270">
      <c r="A270" s="7" t="s">
        <v>3081</v>
      </c>
      <c r="B270" s="8" t="s">
        <v>3082</v>
      </c>
      <c r="C270" s="8" t="s">
        <v>3083</v>
      </c>
      <c r="D270" s="8" t="s">
        <v>94</v>
      </c>
      <c r="E270" s="8" t="s">
        <v>95</v>
      </c>
      <c r="F270" s="9"/>
      <c r="G270" s="8" t="s">
        <v>3084</v>
      </c>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t="str">
        <f t="shared" si="29"/>
        <v/>
      </c>
      <c r="AK270" s="8"/>
      <c r="AL270" s="8"/>
      <c r="AM270" s="8" t="s">
        <v>105</v>
      </c>
      <c r="AN270" s="8" t="s">
        <v>3085</v>
      </c>
      <c r="AO270" s="9"/>
      <c r="AP270" s="9"/>
      <c r="AQ270" s="9"/>
      <c r="AR270" s="9"/>
      <c r="AS270" s="9"/>
      <c r="AT270" s="9"/>
      <c r="AU270" s="8" t="s">
        <v>3086</v>
      </c>
      <c r="AV270" s="9"/>
      <c r="AW270" s="9"/>
      <c r="AX270" s="9"/>
      <c r="AY270" s="8" t="s">
        <v>3043</v>
      </c>
      <c r="AZ270" s="8" t="b">
        <v>0</v>
      </c>
      <c r="BA270" s="8" t="s">
        <v>190</v>
      </c>
      <c r="BB270" s="8" t="s">
        <v>191</v>
      </c>
      <c r="BC270" s="9"/>
      <c r="BD270" s="9"/>
      <c r="BE270" s="8" t="s">
        <v>3087</v>
      </c>
      <c r="BF270" s="9"/>
      <c r="BG270" s="9"/>
      <c r="BH270" s="9"/>
      <c r="BI270" s="9"/>
      <c r="BJ270" s="9"/>
      <c r="BK270" s="9"/>
      <c r="BL270" s="9"/>
      <c r="BM270" s="9"/>
      <c r="BN270" s="9"/>
      <c r="BO270" s="9"/>
      <c r="BP270" s="9"/>
      <c r="BQ270" s="9"/>
      <c r="BR270" s="8" t="s">
        <v>193</v>
      </c>
      <c r="BS270" s="8" t="s">
        <v>194</v>
      </c>
      <c r="BT270" s="9"/>
      <c r="BU270" s="9"/>
      <c r="BV270" s="8" t="s">
        <v>2602</v>
      </c>
      <c r="BW270" s="9"/>
      <c r="BX270" s="9"/>
      <c r="BY270" s="9"/>
      <c r="BZ270" s="9"/>
      <c r="CA270" s="9"/>
      <c r="CB270" s="8" t="s">
        <v>3088</v>
      </c>
      <c r="CC270" s="9"/>
      <c r="CD270" s="9"/>
      <c r="CE270" s="8" t="s">
        <v>1221</v>
      </c>
      <c r="CF270" s="8" t="s">
        <v>3089</v>
      </c>
      <c r="CG270" s="9"/>
      <c r="CH270" s="9"/>
      <c r="CI270" s="9"/>
      <c r="CJ270" s="9"/>
      <c r="CK270" s="9"/>
      <c r="CL270" s="9"/>
      <c r="CM270" s="9"/>
      <c r="CN270" s="9"/>
      <c r="CO270" s="9"/>
      <c r="CP270" s="9"/>
    </row>
    <row r="271">
      <c r="A271" s="7" t="s">
        <v>3090</v>
      </c>
      <c r="B271" s="8" t="s">
        <v>3091</v>
      </c>
      <c r="C271" s="8" t="s">
        <v>3092</v>
      </c>
      <c r="D271" s="8" t="s">
        <v>94</v>
      </c>
      <c r="E271" s="8" t="s">
        <v>95</v>
      </c>
      <c r="F271" s="9"/>
      <c r="G271" s="8" t="s">
        <v>3093</v>
      </c>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t="str">
        <f t="shared" si="29"/>
        <v/>
      </c>
      <c r="AK271" s="8"/>
      <c r="AL271" s="8"/>
      <c r="AM271" s="8" t="s">
        <v>105</v>
      </c>
      <c r="AN271" s="8" t="s">
        <v>3094</v>
      </c>
      <c r="AO271" s="9"/>
      <c r="AP271" s="9"/>
      <c r="AQ271" s="9"/>
      <c r="AR271" s="9"/>
      <c r="AS271" s="9"/>
      <c r="AT271" s="9"/>
      <c r="AU271" s="8" t="s">
        <v>3095</v>
      </c>
      <c r="AV271" s="8" t="s">
        <v>108</v>
      </c>
      <c r="AW271" s="9"/>
      <c r="AX271" s="9"/>
      <c r="AY271" s="8" t="s">
        <v>3043</v>
      </c>
      <c r="AZ271" s="8" t="b">
        <v>0</v>
      </c>
      <c r="BA271" s="8" t="s">
        <v>110</v>
      </c>
      <c r="BB271" s="8" t="s">
        <v>773</v>
      </c>
      <c r="BC271" s="9"/>
      <c r="BD271" s="9"/>
      <c r="BE271" s="8" t="s">
        <v>3096</v>
      </c>
      <c r="BF271" s="9"/>
      <c r="BG271" s="9"/>
      <c r="BH271" s="9"/>
      <c r="BI271" s="9"/>
      <c r="BJ271" s="9"/>
      <c r="BK271" s="9"/>
      <c r="BL271" s="9"/>
      <c r="BM271" s="9"/>
      <c r="BN271" s="9"/>
      <c r="BO271" s="9"/>
      <c r="BP271" s="9"/>
      <c r="BQ271" s="9"/>
      <c r="BR271" s="9"/>
      <c r="BS271" s="9"/>
      <c r="BT271" s="9"/>
      <c r="BU271" s="9"/>
      <c r="BV271" s="9"/>
      <c r="BW271" s="9"/>
      <c r="BX271" s="9"/>
      <c r="BY271" s="9"/>
      <c r="BZ271" s="9"/>
      <c r="CA271" s="9"/>
      <c r="CB271" s="8" t="s">
        <v>3097</v>
      </c>
      <c r="CC271" s="9"/>
      <c r="CD271" s="9"/>
      <c r="CE271" s="8" t="s">
        <v>359</v>
      </c>
      <c r="CF271" s="8" t="s">
        <v>3098</v>
      </c>
      <c r="CG271" s="9"/>
      <c r="CH271" s="9"/>
      <c r="CI271" s="9"/>
      <c r="CJ271" s="9"/>
      <c r="CK271" s="9"/>
      <c r="CL271" s="9"/>
      <c r="CM271" s="9"/>
      <c r="CN271" s="9"/>
      <c r="CO271" s="9"/>
      <c r="CP271" s="9"/>
    </row>
    <row r="272">
      <c r="A272" s="7" t="s">
        <v>3099</v>
      </c>
      <c r="B272" s="8" t="s">
        <v>3100</v>
      </c>
      <c r="C272" s="8" t="s">
        <v>3101</v>
      </c>
      <c r="D272" s="8" t="s">
        <v>94</v>
      </c>
      <c r="E272" s="8" t="s">
        <v>95</v>
      </c>
      <c r="F272" s="9"/>
      <c r="G272" s="8" t="s">
        <v>3102</v>
      </c>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t="str">
        <f t="shared" si="29"/>
        <v/>
      </c>
      <c r="AK272" s="8"/>
      <c r="AL272" s="8"/>
      <c r="AM272" s="8" t="s">
        <v>105</v>
      </c>
      <c r="AN272" s="8" t="s">
        <v>3103</v>
      </c>
      <c r="AO272" s="9"/>
      <c r="AP272" s="9"/>
      <c r="AQ272" s="9"/>
      <c r="AR272" s="9"/>
      <c r="AS272" s="9"/>
      <c r="AT272" s="9"/>
      <c r="AU272" s="8" t="s">
        <v>3104</v>
      </c>
      <c r="AV272" s="9"/>
      <c r="AW272" s="9"/>
      <c r="AX272" s="9"/>
      <c r="AY272" s="8" t="s">
        <v>3043</v>
      </c>
      <c r="AZ272" s="8" t="b">
        <v>0</v>
      </c>
      <c r="BA272" s="8" t="s">
        <v>190</v>
      </c>
      <c r="BB272" s="8" t="s">
        <v>191</v>
      </c>
      <c r="BC272" s="9"/>
      <c r="BD272" s="9"/>
      <c r="BE272" s="8" t="s">
        <v>3105</v>
      </c>
      <c r="BF272" s="9"/>
      <c r="BG272" s="9"/>
      <c r="BH272" s="9"/>
      <c r="BI272" s="9"/>
      <c r="BJ272" s="9"/>
      <c r="BK272" s="9"/>
      <c r="BL272" s="9"/>
      <c r="BM272" s="9"/>
      <c r="BN272" s="9"/>
      <c r="BO272" s="9"/>
      <c r="BP272" s="9"/>
      <c r="BQ272" s="9"/>
      <c r="BR272" s="8" t="s">
        <v>193</v>
      </c>
      <c r="BS272" s="8" t="s">
        <v>194</v>
      </c>
      <c r="BT272" s="8" t="s">
        <v>3106</v>
      </c>
      <c r="BU272" s="9"/>
      <c r="BV272" s="8" t="s">
        <v>3107</v>
      </c>
      <c r="BW272" s="9"/>
      <c r="BX272" s="9"/>
      <c r="BY272" s="9"/>
      <c r="BZ272" s="9"/>
      <c r="CA272" s="9"/>
      <c r="CB272" s="8" t="s">
        <v>3108</v>
      </c>
      <c r="CC272" s="9"/>
      <c r="CD272" s="9"/>
      <c r="CE272" s="8" t="s">
        <v>311</v>
      </c>
      <c r="CF272" s="8" t="s">
        <v>3109</v>
      </c>
      <c r="CG272" s="9"/>
      <c r="CH272" s="9"/>
      <c r="CI272" s="9"/>
      <c r="CJ272" s="9"/>
      <c r="CK272" s="9"/>
      <c r="CL272" s="9"/>
      <c r="CM272" s="9"/>
      <c r="CN272" s="9"/>
      <c r="CO272" s="9"/>
      <c r="CP272" s="9"/>
    </row>
    <row r="273">
      <c r="A273" s="7" t="s">
        <v>3110</v>
      </c>
      <c r="B273" s="8" t="s">
        <v>3111</v>
      </c>
      <c r="C273" s="8" t="s">
        <v>3112</v>
      </c>
      <c r="D273" s="8" t="s">
        <v>94</v>
      </c>
      <c r="E273" s="8" t="s">
        <v>95</v>
      </c>
      <c r="F273" s="9"/>
      <c r="G273" s="8" t="s">
        <v>3113</v>
      </c>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t="str">
        <f t="shared" si="29"/>
        <v/>
      </c>
      <c r="AK273" s="8"/>
      <c r="AL273" s="8"/>
      <c r="AM273" s="8" t="s">
        <v>105</v>
      </c>
      <c r="AN273" s="8" t="s">
        <v>3114</v>
      </c>
      <c r="AO273" s="9"/>
      <c r="AP273" s="9"/>
      <c r="AQ273" s="9"/>
      <c r="AR273" s="9"/>
      <c r="AS273" s="9"/>
      <c r="AT273" s="9"/>
      <c r="AU273" s="8" t="s">
        <v>3115</v>
      </c>
      <c r="AV273" s="8" t="s">
        <v>108</v>
      </c>
      <c r="AW273" s="9"/>
      <c r="AX273" s="9"/>
      <c r="AY273" s="8" t="s">
        <v>3043</v>
      </c>
      <c r="AZ273" s="8" t="b">
        <v>0</v>
      </c>
      <c r="BA273" s="8" t="s">
        <v>110</v>
      </c>
      <c r="BB273" s="8" t="s">
        <v>773</v>
      </c>
      <c r="BC273" s="9"/>
      <c r="BD273" s="9"/>
      <c r="BE273" s="8" t="s">
        <v>3116</v>
      </c>
      <c r="BF273" s="9"/>
      <c r="BG273" s="9"/>
      <c r="BH273" s="9"/>
      <c r="BI273" s="9"/>
      <c r="BJ273" s="9"/>
      <c r="BK273" s="9"/>
      <c r="BL273" s="9"/>
      <c r="BM273" s="9"/>
      <c r="BN273" s="9"/>
      <c r="BO273" s="9"/>
      <c r="BP273" s="9"/>
      <c r="BQ273" s="9"/>
      <c r="BR273" s="9"/>
      <c r="BS273" s="9"/>
      <c r="BT273" s="9"/>
      <c r="BU273" s="9"/>
      <c r="BV273" s="9"/>
      <c r="BW273" s="9"/>
      <c r="BX273" s="9"/>
      <c r="BY273" s="9"/>
      <c r="BZ273" s="9"/>
      <c r="CA273" s="9"/>
      <c r="CB273" s="8" t="s">
        <v>665</v>
      </c>
      <c r="CC273" s="9"/>
      <c r="CD273" s="9"/>
      <c r="CE273" s="8" t="s">
        <v>115</v>
      </c>
      <c r="CF273" s="8" t="s">
        <v>3117</v>
      </c>
      <c r="CG273" s="9"/>
      <c r="CH273" s="9"/>
      <c r="CI273" s="9"/>
      <c r="CJ273" s="9"/>
      <c r="CK273" s="9"/>
      <c r="CL273" s="9"/>
      <c r="CM273" s="9"/>
      <c r="CN273" s="9"/>
      <c r="CO273" s="9"/>
      <c r="CP273" s="9"/>
    </row>
    <row r="274">
      <c r="A274" s="7" t="s">
        <v>3118</v>
      </c>
      <c r="B274" s="8" t="s">
        <v>3119</v>
      </c>
      <c r="C274" s="8" t="s">
        <v>3120</v>
      </c>
      <c r="D274" s="8" t="s">
        <v>94</v>
      </c>
      <c r="E274" s="8" t="s">
        <v>95</v>
      </c>
      <c r="F274" s="9"/>
      <c r="G274" s="8" t="s">
        <v>2644</v>
      </c>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t="str">
        <f t="shared" si="29"/>
        <v/>
      </c>
      <c r="AK274" s="8"/>
      <c r="AL274" s="8"/>
      <c r="AM274" s="8" t="s">
        <v>105</v>
      </c>
      <c r="AN274" s="8" t="s">
        <v>3121</v>
      </c>
      <c r="AO274" s="9"/>
      <c r="AP274" s="9"/>
      <c r="AQ274" s="9"/>
      <c r="AR274" s="9"/>
      <c r="AS274" s="9"/>
      <c r="AT274" s="9"/>
      <c r="AU274" s="8" t="s">
        <v>3122</v>
      </c>
      <c r="AV274" s="8" t="s">
        <v>108</v>
      </c>
      <c r="AW274" s="9"/>
      <c r="AX274" s="9"/>
      <c r="AY274" s="8" t="s">
        <v>3043</v>
      </c>
      <c r="AZ274" s="8" t="b">
        <v>0</v>
      </c>
      <c r="BA274" s="8" t="s">
        <v>110</v>
      </c>
      <c r="BB274" s="8" t="s">
        <v>773</v>
      </c>
      <c r="BC274" s="9"/>
      <c r="BD274" s="9"/>
      <c r="BE274" s="8" t="s">
        <v>3123</v>
      </c>
      <c r="BF274" s="9"/>
      <c r="BG274" s="9"/>
      <c r="BH274" s="9"/>
      <c r="BI274" s="9"/>
      <c r="BJ274" s="9"/>
      <c r="BK274" s="9"/>
      <c r="BL274" s="9"/>
      <c r="BM274" s="9"/>
      <c r="BN274" s="9"/>
      <c r="BO274" s="9"/>
      <c r="BP274" s="9"/>
      <c r="BQ274" s="9"/>
      <c r="BR274" s="9"/>
      <c r="BS274" s="9"/>
      <c r="BT274" s="9"/>
      <c r="BU274" s="9"/>
      <c r="BV274" s="9"/>
      <c r="BW274" s="9"/>
      <c r="BX274" s="9"/>
      <c r="BY274" s="9"/>
      <c r="BZ274" s="9"/>
      <c r="CA274" s="9"/>
      <c r="CB274" s="8" t="s">
        <v>3124</v>
      </c>
      <c r="CC274" s="9"/>
      <c r="CD274" s="9"/>
      <c r="CE274" s="8" t="s">
        <v>1839</v>
      </c>
      <c r="CF274" s="8" t="s">
        <v>3125</v>
      </c>
      <c r="CG274" s="9"/>
      <c r="CH274" s="9"/>
      <c r="CI274" s="9"/>
      <c r="CJ274" s="9"/>
      <c r="CK274" s="9"/>
      <c r="CL274" s="9"/>
      <c r="CM274" s="9"/>
      <c r="CN274" s="9"/>
      <c r="CO274" s="9"/>
      <c r="CP274" s="9"/>
    </row>
    <row r="275">
      <c r="A275" s="7" t="s">
        <v>3126</v>
      </c>
      <c r="B275" s="8" t="s">
        <v>3127</v>
      </c>
      <c r="C275" s="8" t="s">
        <v>3128</v>
      </c>
      <c r="D275" s="8" t="s">
        <v>94</v>
      </c>
      <c r="E275" s="8" t="s">
        <v>95</v>
      </c>
      <c r="F275" s="9"/>
      <c r="G275" s="8" t="s">
        <v>3129</v>
      </c>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t="str">
        <f t="shared" si="29"/>
        <v/>
      </c>
      <c r="AK275" s="8"/>
      <c r="AL275" s="8"/>
      <c r="AM275" s="8" t="s">
        <v>1877</v>
      </c>
      <c r="AN275" s="8" t="s">
        <v>3130</v>
      </c>
      <c r="AO275" s="9"/>
      <c r="AP275" s="9"/>
      <c r="AQ275" s="9"/>
      <c r="AR275" s="8" t="s">
        <v>1879</v>
      </c>
      <c r="AS275" s="8" t="s">
        <v>1880</v>
      </c>
      <c r="AT275" s="9"/>
      <c r="AU275" s="8" t="s">
        <v>3131</v>
      </c>
      <c r="AV275" s="8" t="s">
        <v>108</v>
      </c>
      <c r="AW275" s="9"/>
      <c r="AX275" s="9"/>
      <c r="AY275" s="8" t="s">
        <v>3043</v>
      </c>
      <c r="AZ275" s="8" t="b">
        <v>0</v>
      </c>
      <c r="BA275" s="8" t="s">
        <v>110</v>
      </c>
      <c r="BB275" s="8" t="s">
        <v>2485</v>
      </c>
      <c r="BC275" s="9"/>
      <c r="BD275" s="9"/>
      <c r="BE275" s="8" t="s">
        <v>3132</v>
      </c>
      <c r="BF275" s="9"/>
      <c r="BG275" s="9"/>
      <c r="BH275" s="9"/>
      <c r="BI275" s="9"/>
      <c r="BJ275" s="9"/>
      <c r="BK275" s="9"/>
      <c r="BL275" s="9"/>
      <c r="BM275" s="9"/>
      <c r="BN275" s="9"/>
      <c r="BO275" s="9"/>
      <c r="BP275" s="9"/>
      <c r="BQ275" s="9"/>
      <c r="BR275" s="9"/>
      <c r="BS275" s="9"/>
      <c r="BT275" s="9"/>
      <c r="BU275" s="9"/>
      <c r="BV275" s="9"/>
      <c r="BW275" s="9"/>
      <c r="BX275" s="9"/>
      <c r="BY275" s="9"/>
      <c r="BZ275" s="9"/>
      <c r="CA275" s="9"/>
      <c r="CB275" s="8" t="s">
        <v>2958</v>
      </c>
      <c r="CC275" s="9"/>
      <c r="CD275" s="9"/>
      <c r="CE275" s="8" t="s">
        <v>115</v>
      </c>
      <c r="CF275" s="8" t="s">
        <v>3133</v>
      </c>
      <c r="CG275" s="9"/>
      <c r="CH275" s="9"/>
      <c r="CI275" s="9"/>
      <c r="CJ275" s="9"/>
      <c r="CK275" s="9"/>
      <c r="CL275" s="9"/>
      <c r="CM275" s="9"/>
      <c r="CN275" s="9"/>
      <c r="CO275" s="9"/>
      <c r="CP275" s="9"/>
    </row>
    <row r="276">
      <c r="A276" s="7" t="s">
        <v>3134</v>
      </c>
      <c r="B276" s="8" t="s">
        <v>3135</v>
      </c>
      <c r="C276" s="8" t="s">
        <v>3136</v>
      </c>
      <c r="D276" s="8" t="s">
        <v>94</v>
      </c>
      <c r="E276" s="8" t="s">
        <v>95</v>
      </c>
      <c r="F276" s="9"/>
      <c r="G276" s="8" t="s">
        <v>3137</v>
      </c>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t="str">
        <f t="shared" si="29"/>
        <v/>
      </c>
      <c r="AK276" s="8"/>
      <c r="AL276" s="8"/>
      <c r="AM276" s="8" t="s">
        <v>1477</v>
      </c>
      <c r="AN276" s="8" t="s">
        <v>3138</v>
      </c>
      <c r="AO276" s="9"/>
      <c r="AP276" s="9"/>
      <c r="AQ276" s="9"/>
      <c r="AR276" s="8" t="s">
        <v>1479</v>
      </c>
      <c r="AS276" s="8" t="s">
        <v>1480</v>
      </c>
      <c r="AT276" s="9"/>
      <c r="AU276" s="8" t="s">
        <v>3139</v>
      </c>
      <c r="AV276" s="8" t="s">
        <v>108</v>
      </c>
      <c r="AW276" s="9"/>
      <c r="AX276" s="9"/>
      <c r="AY276" s="8" t="s">
        <v>3043</v>
      </c>
      <c r="AZ276" s="8" t="b">
        <v>0</v>
      </c>
      <c r="BA276" s="8" t="s">
        <v>110</v>
      </c>
      <c r="BB276" s="8" t="s">
        <v>2637</v>
      </c>
      <c r="BC276" s="9"/>
      <c r="BD276" s="9"/>
      <c r="BE276" s="8" t="s">
        <v>3140</v>
      </c>
      <c r="BF276" s="9"/>
      <c r="BG276" s="9"/>
      <c r="BH276" s="9"/>
      <c r="BI276" s="9"/>
      <c r="BJ276" s="9"/>
      <c r="BK276" s="9"/>
      <c r="BL276" s="9"/>
      <c r="BM276" s="9"/>
      <c r="BN276" s="9"/>
      <c r="BO276" s="9"/>
      <c r="BP276" s="9"/>
      <c r="BQ276" s="9"/>
      <c r="BR276" s="9"/>
      <c r="BS276" s="9"/>
      <c r="BT276" s="9"/>
      <c r="BU276" s="9"/>
      <c r="BV276" s="9"/>
      <c r="BW276" s="9"/>
      <c r="BX276" s="9"/>
      <c r="BY276" s="9"/>
      <c r="BZ276" s="9"/>
      <c r="CA276" s="9"/>
      <c r="CB276" s="8" t="s">
        <v>3141</v>
      </c>
      <c r="CC276" s="9"/>
      <c r="CD276" s="9"/>
      <c r="CE276" s="8" t="s">
        <v>366</v>
      </c>
      <c r="CF276" s="8" t="s">
        <v>3142</v>
      </c>
      <c r="CG276" s="9"/>
      <c r="CH276" s="9"/>
      <c r="CI276" s="9"/>
      <c r="CJ276" s="9"/>
      <c r="CK276" s="9"/>
      <c r="CL276" s="9"/>
      <c r="CM276" s="9"/>
      <c r="CN276" s="9"/>
      <c r="CO276" s="9"/>
      <c r="CP276" s="9"/>
    </row>
    <row r="277">
      <c r="A277" s="7" t="s">
        <v>3143</v>
      </c>
      <c r="B277" s="8" t="s">
        <v>3144</v>
      </c>
      <c r="C277" s="8" t="s">
        <v>3145</v>
      </c>
      <c r="D277" s="8" t="s">
        <v>94</v>
      </c>
      <c r="E277" s="8" t="s">
        <v>95</v>
      </c>
      <c r="F277" s="9"/>
      <c r="G277" s="8" t="s">
        <v>3146</v>
      </c>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t="str">
        <f t="shared" si="29"/>
        <v/>
      </c>
      <c r="AK277" s="8"/>
      <c r="AL277" s="8"/>
      <c r="AM277" s="8" t="s">
        <v>1477</v>
      </c>
      <c r="AN277" s="8" t="s">
        <v>3147</v>
      </c>
      <c r="AO277" s="9"/>
      <c r="AP277" s="9"/>
      <c r="AQ277" s="9"/>
      <c r="AR277" s="8" t="s">
        <v>1479</v>
      </c>
      <c r="AS277" s="8" t="s">
        <v>1480</v>
      </c>
      <c r="AT277" s="9"/>
      <c r="AU277" s="8" t="s">
        <v>3148</v>
      </c>
      <c r="AV277" s="8" t="s">
        <v>108</v>
      </c>
      <c r="AW277" s="9"/>
      <c r="AX277" s="9"/>
      <c r="AY277" s="8" t="s">
        <v>3043</v>
      </c>
      <c r="AZ277" s="8" t="b">
        <v>0</v>
      </c>
      <c r="BA277" s="8" t="s">
        <v>110</v>
      </c>
      <c r="BB277" s="8" t="s">
        <v>2476</v>
      </c>
      <c r="BC277" s="9"/>
      <c r="BD277" s="9"/>
      <c r="BE277" s="8" t="s">
        <v>3149</v>
      </c>
      <c r="BF277" s="9"/>
      <c r="BG277" s="9"/>
      <c r="BH277" s="9"/>
      <c r="BI277" s="9"/>
      <c r="BJ277" s="9"/>
      <c r="BK277" s="9"/>
      <c r="BL277" s="9"/>
      <c r="BM277" s="9"/>
      <c r="BN277" s="9"/>
      <c r="BO277" s="9"/>
      <c r="BP277" s="9"/>
      <c r="BQ277" s="9"/>
      <c r="BR277" s="9"/>
      <c r="BS277" s="9"/>
      <c r="BT277" s="9"/>
      <c r="BU277" s="9"/>
      <c r="BV277" s="9"/>
      <c r="BW277" s="9"/>
      <c r="BX277" s="9"/>
      <c r="BY277" s="9"/>
      <c r="BZ277" s="9"/>
      <c r="CA277" s="9"/>
      <c r="CB277" s="8" t="s">
        <v>2212</v>
      </c>
      <c r="CC277" s="9"/>
      <c r="CD277" s="9"/>
      <c r="CE277" s="8" t="s">
        <v>197</v>
      </c>
      <c r="CF277" s="8" t="s">
        <v>3150</v>
      </c>
      <c r="CG277" s="9"/>
      <c r="CH277" s="9"/>
      <c r="CI277" s="9"/>
      <c r="CJ277" s="9"/>
      <c r="CK277" s="9"/>
      <c r="CL277" s="9"/>
      <c r="CM277" s="9"/>
      <c r="CN277" s="9"/>
      <c r="CO277" s="9"/>
      <c r="CP277" s="9"/>
    </row>
    <row r="278">
      <c r="A278" s="7" t="s">
        <v>3151</v>
      </c>
      <c r="B278" s="8" t="s">
        <v>3152</v>
      </c>
      <c r="C278" s="8" t="s">
        <v>3153</v>
      </c>
      <c r="D278" s="8" t="s">
        <v>94</v>
      </c>
      <c r="E278" s="8" t="s">
        <v>95</v>
      </c>
      <c r="F278" s="9"/>
      <c r="G278" s="8" t="s">
        <v>3154</v>
      </c>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t="str">
        <f t="shared" si="29"/>
        <v/>
      </c>
      <c r="AK278" s="8"/>
      <c r="AL278" s="8"/>
      <c r="AM278" s="8" t="s">
        <v>1477</v>
      </c>
      <c r="AN278" s="8" t="s">
        <v>3155</v>
      </c>
      <c r="AO278" s="9"/>
      <c r="AP278" s="9"/>
      <c r="AQ278" s="9"/>
      <c r="AR278" s="8" t="s">
        <v>1479</v>
      </c>
      <c r="AS278" s="8" t="s">
        <v>1480</v>
      </c>
      <c r="AT278" s="9"/>
      <c r="AU278" s="8" t="s">
        <v>3156</v>
      </c>
      <c r="AV278" s="8" t="s">
        <v>108</v>
      </c>
      <c r="AW278" s="9"/>
      <c r="AX278" s="9"/>
      <c r="AY278" s="8" t="s">
        <v>3043</v>
      </c>
      <c r="AZ278" s="8" t="b">
        <v>0</v>
      </c>
      <c r="BA278" s="8" t="s">
        <v>110</v>
      </c>
      <c r="BB278" s="8" t="s">
        <v>2485</v>
      </c>
      <c r="BC278" s="9"/>
      <c r="BD278" s="9"/>
      <c r="BE278" s="8" t="s">
        <v>3157</v>
      </c>
      <c r="BF278" s="9"/>
      <c r="BG278" s="9"/>
      <c r="BH278" s="9"/>
      <c r="BI278" s="9"/>
      <c r="BJ278" s="9"/>
      <c r="BK278" s="9"/>
      <c r="BL278" s="9"/>
      <c r="BM278" s="9"/>
      <c r="BN278" s="9"/>
      <c r="BO278" s="9"/>
      <c r="BP278" s="9"/>
      <c r="BQ278" s="9"/>
      <c r="BR278" s="9"/>
      <c r="BS278" s="9"/>
      <c r="BT278" s="9"/>
      <c r="BU278" s="9"/>
      <c r="BV278" s="9"/>
      <c r="BW278" s="9"/>
      <c r="BX278" s="9"/>
      <c r="BY278" s="9"/>
      <c r="BZ278" s="9"/>
      <c r="CA278" s="9"/>
      <c r="CB278" s="8" t="s">
        <v>3158</v>
      </c>
      <c r="CC278" s="9"/>
      <c r="CD278" s="9"/>
      <c r="CE278" s="8" t="s">
        <v>366</v>
      </c>
      <c r="CF278" s="8" t="s">
        <v>3159</v>
      </c>
      <c r="CG278" s="9"/>
      <c r="CH278" s="9"/>
      <c r="CI278" s="9"/>
      <c r="CJ278" s="9"/>
      <c r="CK278" s="9"/>
      <c r="CL278" s="9"/>
      <c r="CM278" s="9"/>
      <c r="CN278" s="9"/>
      <c r="CO278" s="9"/>
      <c r="CP278" s="9"/>
    </row>
    <row r="279">
      <c r="A279" s="7" t="s">
        <v>3160</v>
      </c>
      <c r="B279" s="8" t="s">
        <v>3161</v>
      </c>
      <c r="C279" s="8" t="s">
        <v>3162</v>
      </c>
      <c r="D279" s="8" t="s">
        <v>94</v>
      </c>
      <c r="E279" s="8" t="s">
        <v>95</v>
      </c>
      <c r="F279" s="9"/>
      <c r="G279" s="8" t="s">
        <v>3163</v>
      </c>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t="str">
        <f t="shared" si="29"/>
        <v/>
      </c>
      <c r="AK279" s="8"/>
      <c r="AL279" s="8"/>
      <c r="AM279" s="8" t="s">
        <v>1477</v>
      </c>
      <c r="AN279" s="8" t="s">
        <v>3164</v>
      </c>
      <c r="AO279" s="9"/>
      <c r="AP279" s="9"/>
      <c r="AQ279" s="9"/>
      <c r="AR279" s="8" t="s">
        <v>1479</v>
      </c>
      <c r="AS279" s="8" t="s">
        <v>1480</v>
      </c>
      <c r="AT279" s="9"/>
      <c r="AU279" s="8" t="s">
        <v>3165</v>
      </c>
      <c r="AV279" s="8" t="s">
        <v>108</v>
      </c>
      <c r="AW279" s="9"/>
      <c r="AX279" s="9"/>
      <c r="AY279" s="8" t="s">
        <v>3043</v>
      </c>
      <c r="AZ279" s="8" t="b">
        <v>0</v>
      </c>
      <c r="BA279" s="8" t="s">
        <v>110</v>
      </c>
      <c r="BB279" s="9"/>
      <c r="BC279" s="9"/>
      <c r="BD279" s="9"/>
      <c r="BE279" s="8" t="s">
        <v>3166</v>
      </c>
      <c r="BF279" s="9"/>
      <c r="BG279" s="9"/>
      <c r="BH279" s="9"/>
      <c r="BI279" s="9"/>
      <c r="BJ279" s="9"/>
      <c r="BK279" s="9"/>
      <c r="BL279" s="9"/>
      <c r="BM279" s="9"/>
      <c r="BN279" s="9"/>
      <c r="BO279" s="9"/>
      <c r="BP279" s="9"/>
      <c r="BQ279" s="9"/>
      <c r="BR279" s="9"/>
      <c r="BS279" s="9"/>
      <c r="BT279" s="9"/>
      <c r="BU279" s="9"/>
      <c r="BV279" s="9"/>
      <c r="BW279" s="9"/>
      <c r="BX279" s="9"/>
      <c r="BY279" s="9"/>
      <c r="BZ279" s="9"/>
      <c r="CA279" s="9"/>
      <c r="CB279" s="8" t="s">
        <v>3167</v>
      </c>
      <c r="CC279" s="9"/>
      <c r="CD279" s="9"/>
      <c r="CE279" s="8" t="s">
        <v>412</v>
      </c>
      <c r="CF279" s="8" t="s">
        <v>3168</v>
      </c>
      <c r="CG279" s="9"/>
      <c r="CH279" s="9"/>
      <c r="CI279" s="9"/>
      <c r="CJ279" s="9"/>
      <c r="CK279" s="9"/>
      <c r="CL279" s="9"/>
      <c r="CM279" s="9"/>
      <c r="CN279" s="9"/>
      <c r="CO279" s="9"/>
      <c r="CP279" s="9"/>
    </row>
    <row r="280">
      <c r="A280" s="7" t="s">
        <v>3169</v>
      </c>
      <c r="B280" s="8" t="s">
        <v>3170</v>
      </c>
      <c r="C280" s="8" t="s">
        <v>3170</v>
      </c>
      <c r="D280" s="8" t="s">
        <v>94</v>
      </c>
      <c r="E280" s="8" t="s">
        <v>2732</v>
      </c>
      <c r="F280" s="9"/>
      <c r="G280" s="8" t="s">
        <v>3171</v>
      </c>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t="str">
        <f t="shared" si="29"/>
        <v/>
      </c>
      <c r="AK280" s="8"/>
      <c r="AL280" s="8"/>
      <c r="AM280" s="8" t="s">
        <v>3172</v>
      </c>
      <c r="AN280" s="9"/>
      <c r="AO280" s="9"/>
      <c r="AP280" s="9"/>
      <c r="AQ280" s="9"/>
      <c r="AR280" s="9"/>
      <c r="AS280" s="9"/>
      <c r="AT280" s="9"/>
      <c r="AU280" s="9"/>
      <c r="AV280" s="9"/>
      <c r="AW280" s="9"/>
      <c r="AX280" s="9"/>
      <c r="AY280" s="8" t="s">
        <v>3043</v>
      </c>
      <c r="AZ280" s="8" t="b">
        <v>0</v>
      </c>
      <c r="BA280" s="8" t="s">
        <v>190</v>
      </c>
      <c r="BB280" s="8" t="s">
        <v>3173</v>
      </c>
      <c r="BC280" s="9"/>
      <c r="BD280" s="8" t="s">
        <v>3174</v>
      </c>
      <c r="BE280" s="8" t="s">
        <v>3175</v>
      </c>
      <c r="BF280" s="9"/>
      <c r="BG280" s="9"/>
      <c r="BH280" s="9"/>
      <c r="BI280" s="9"/>
      <c r="BJ280" s="9"/>
      <c r="BK280" s="8" t="s">
        <v>3175</v>
      </c>
      <c r="BL280" s="9"/>
      <c r="BM280" s="9"/>
      <c r="BN280" s="9"/>
      <c r="BO280" s="9"/>
      <c r="BP280" s="9"/>
      <c r="BQ280" s="9"/>
      <c r="BR280" s="8" t="s">
        <v>193</v>
      </c>
      <c r="BS280" s="8" t="s">
        <v>1324</v>
      </c>
      <c r="BT280" s="9"/>
      <c r="BU280" s="9"/>
      <c r="BV280" s="8" t="s">
        <v>3176</v>
      </c>
      <c r="BW280" s="9"/>
      <c r="BX280" s="9"/>
      <c r="BY280" s="9"/>
      <c r="BZ280" s="8" t="s">
        <v>100</v>
      </c>
      <c r="CA280" s="8" t="s">
        <v>100</v>
      </c>
      <c r="CB280" s="9"/>
      <c r="CC280" s="9"/>
      <c r="CD280" s="9"/>
      <c r="CE280" s="8" t="s">
        <v>197</v>
      </c>
      <c r="CF280" s="8" t="s">
        <v>3177</v>
      </c>
      <c r="CG280" s="9"/>
      <c r="CH280" s="9"/>
      <c r="CI280" s="9"/>
      <c r="CJ280" s="9"/>
      <c r="CK280" s="9"/>
      <c r="CL280" s="9"/>
      <c r="CM280" s="9"/>
      <c r="CN280" s="9"/>
      <c r="CO280" s="9"/>
      <c r="CP280" s="9"/>
    </row>
    <row r="281">
      <c r="A281" s="7" t="s">
        <v>3178</v>
      </c>
      <c r="B281" s="8" t="s">
        <v>3179</v>
      </c>
      <c r="C281" s="8" t="s">
        <v>3180</v>
      </c>
      <c r="D281" s="8" t="s">
        <v>94</v>
      </c>
      <c r="E281" s="8" t="s">
        <v>95</v>
      </c>
      <c r="F281" s="9"/>
      <c r="G281" s="8" t="s">
        <v>3181</v>
      </c>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t="s">
        <v>105</v>
      </c>
      <c r="AN281" s="8" t="s">
        <v>3182</v>
      </c>
      <c r="AO281" s="9"/>
      <c r="AP281" s="9"/>
      <c r="AQ281" s="9"/>
      <c r="AR281" s="9"/>
      <c r="AS281" s="9"/>
      <c r="AT281" s="9"/>
      <c r="AU281" s="8" t="s">
        <v>3183</v>
      </c>
      <c r="AV281" s="8" t="s">
        <v>108</v>
      </c>
      <c r="AW281" s="9"/>
      <c r="AX281" s="9"/>
      <c r="AY281" s="8" t="s">
        <v>3184</v>
      </c>
      <c r="AZ281" s="8" t="b">
        <v>0</v>
      </c>
      <c r="BA281" s="8" t="s">
        <v>110</v>
      </c>
      <c r="BB281" s="8" t="s">
        <v>773</v>
      </c>
      <c r="BC281" s="9"/>
      <c r="BD281" s="9"/>
      <c r="BE281" s="8" t="s">
        <v>3185</v>
      </c>
      <c r="BF281" s="9"/>
      <c r="BG281" s="9"/>
      <c r="BH281" s="9"/>
      <c r="BI281" s="9"/>
      <c r="BJ281" s="9"/>
      <c r="BK281" s="9"/>
      <c r="BL281" s="9"/>
      <c r="BM281" s="9"/>
      <c r="BN281" s="9"/>
      <c r="BO281" s="9"/>
      <c r="BP281" s="9"/>
      <c r="BQ281" s="9"/>
      <c r="BR281" s="9"/>
      <c r="BS281" s="9"/>
      <c r="BT281" s="9"/>
      <c r="BU281" s="9"/>
      <c r="BV281" s="9"/>
      <c r="BW281" s="9"/>
      <c r="BX281" s="9"/>
      <c r="BY281" s="9"/>
      <c r="BZ281" s="9"/>
      <c r="CA281" s="9"/>
      <c r="CB281" s="8" t="s">
        <v>3046</v>
      </c>
      <c r="CC281" s="9"/>
      <c r="CD281" s="9"/>
      <c r="CE281" s="8" t="s">
        <v>115</v>
      </c>
      <c r="CF281" s="8" t="s">
        <v>3186</v>
      </c>
      <c r="CG281" s="9"/>
      <c r="CH281" s="9"/>
      <c r="CI281" s="9"/>
      <c r="CJ281" s="9"/>
      <c r="CK281" s="9"/>
      <c r="CL281" s="9"/>
      <c r="CM281" s="9"/>
      <c r="CN281" s="9"/>
      <c r="CO281" s="9"/>
      <c r="CP281" s="9"/>
    </row>
    <row r="282">
      <c r="A282" s="7" t="s">
        <v>3187</v>
      </c>
      <c r="B282" s="8" t="s">
        <v>3188</v>
      </c>
      <c r="C282" s="8" t="s">
        <v>3188</v>
      </c>
      <c r="D282" s="8" t="s">
        <v>94</v>
      </c>
      <c r="E282" s="8" t="s">
        <v>1546</v>
      </c>
      <c r="F282" s="9"/>
      <c r="G282" s="8" t="s">
        <v>3189</v>
      </c>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9"/>
      <c r="AN282" s="9"/>
      <c r="AO282" s="9"/>
      <c r="AP282" s="9"/>
      <c r="AQ282" s="9"/>
      <c r="AR282" s="9"/>
      <c r="AS282" s="9"/>
      <c r="AT282" s="9"/>
      <c r="AU282" s="8" t="s">
        <v>3190</v>
      </c>
      <c r="AV282" s="9"/>
      <c r="AW282" s="9"/>
      <c r="AX282" s="9"/>
      <c r="AY282" s="8" t="s">
        <v>3184</v>
      </c>
      <c r="AZ282" s="8" t="b">
        <v>0</v>
      </c>
      <c r="BA282" s="8" t="s">
        <v>190</v>
      </c>
      <c r="BB282" s="8" t="s">
        <v>191</v>
      </c>
      <c r="BC282" s="9"/>
      <c r="BD282" s="9"/>
      <c r="BE282" s="8" t="s">
        <v>3191</v>
      </c>
      <c r="BF282" s="9"/>
      <c r="BG282" s="9"/>
      <c r="BH282" s="9"/>
      <c r="BI282" s="9"/>
      <c r="BJ282" s="9"/>
      <c r="BK282" s="8" t="s">
        <v>3192</v>
      </c>
      <c r="BL282" s="9"/>
      <c r="BM282" s="9"/>
      <c r="BN282" s="9"/>
      <c r="BO282" s="9"/>
      <c r="BP282" s="9"/>
      <c r="BQ282" s="9"/>
      <c r="BR282" s="8" t="s">
        <v>193</v>
      </c>
      <c r="BS282" s="8" t="s">
        <v>194</v>
      </c>
      <c r="BT282" s="9"/>
      <c r="BU282" s="8" t="s">
        <v>3193</v>
      </c>
      <c r="BV282" s="9"/>
      <c r="BW282" s="9"/>
      <c r="BX282" s="9"/>
      <c r="BY282" s="9"/>
      <c r="BZ282" s="9"/>
      <c r="CA282" s="9"/>
      <c r="CB282" s="8" t="s">
        <v>3194</v>
      </c>
      <c r="CC282" s="9"/>
      <c r="CD282" s="9"/>
      <c r="CE282" s="8" t="s">
        <v>366</v>
      </c>
      <c r="CF282" s="8" t="s">
        <v>3195</v>
      </c>
      <c r="CG282" s="9"/>
      <c r="CH282" s="9"/>
      <c r="CI282" s="9"/>
      <c r="CJ282" s="9"/>
      <c r="CK282" s="9"/>
      <c r="CL282" s="9"/>
      <c r="CM282" s="9"/>
      <c r="CN282" s="9"/>
      <c r="CO282" s="9"/>
      <c r="CP282" s="9"/>
    </row>
    <row r="283">
      <c r="A283" s="4" t="s">
        <v>3196</v>
      </c>
      <c r="B283" s="5" t="s">
        <v>3197</v>
      </c>
      <c r="C283" s="5" t="s">
        <v>3198</v>
      </c>
      <c r="D283" s="5" t="s">
        <v>94</v>
      </c>
      <c r="E283" s="5" t="s">
        <v>95</v>
      </c>
      <c r="F283" s="6"/>
      <c r="G283" s="5" t="s">
        <v>3199</v>
      </c>
      <c r="H283" s="5" t="s">
        <v>97</v>
      </c>
      <c r="I283" s="5" t="s">
        <v>3200</v>
      </c>
      <c r="J283" s="5" t="s">
        <v>100</v>
      </c>
      <c r="K283" s="5" t="s">
        <v>100</v>
      </c>
      <c r="L283" s="5" t="s">
        <v>100</v>
      </c>
      <c r="M283" s="5" t="s">
        <v>100</v>
      </c>
      <c r="N283" s="5" t="s">
        <v>100</v>
      </c>
      <c r="O283" s="5" t="s">
        <v>100</v>
      </c>
      <c r="P283" s="5" t="s">
        <v>100</v>
      </c>
      <c r="Q283" s="5" t="s">
        <v>100</v>
      </c>
      <c r="R283" s="5"/>
      <c r="S283" s="5" t="s">
        <v>100</v>
      </c>
      <c r="T283" s="5" t="s">
        <v>3201</v>
      </c>
      <c r="U283" s="5" t="s">
        <v>134</v>
      </c>
      <c r="V283" s="5" t="s">
        <v>3202</v>
      </c>
      <c r="W283" s="5" t="s">
        <v>100</v>
      </c>
      <c r="X283" s="5" t="s">
        <v>3203</v>
      </c>
      <c r="Y283" s="5" t="s">
        <v>3204</v>
      </c>
      <c r="Z283" s="5" t="s">
        <v>100</v>
      </c>
      <c r="AA283" s="5"/>
      <c r="AB283" s="5" t="s">
        <v>100</v>
      </c>
      <c r="AC283" s="5" t="s">
        <v>100</v>
      </c>
      <c r="AD283" s="10" t="s">
        <v>3205</v>
      </c>
      <c r="AE283" s="5" t="s">
        <v>3206</v>
      </c>
      <c r="AF283" s="5" t="s">
        <v>100</v>
      </c>
      <c r="AG283" s="5" t="s">
        <v>100</v>
      </c>
      <c r="AH283" s="5" t="s">
        <v>100</v>
      </c>
      <c r="AI283" s="5"/>
      <c r="AJ283" s="5" t="s">
        <v>3207</v>
      </c>
      <c r="AK283" s="5" t="s">
        <v>124</v>
      </c>
      <c r="AL283" s="5" t="s">
        <v>124</v>
      </c>
      <c r="AM283" s="5" t="s">
        <v>105</v>
      </c>
      <c r="AN283" s="5" t="s">
        <v>3208</v>
      </c>
      <c r="AO283" s="6"/>
      <c r="AP283" s="6"/>
      <c r="AQ283" s="6"/>
      <c r="AR283" s="6"/>
      <c r="AS283" s="6"/>
      <c r="AT283" s="6"/>
      <c r="AU283" s="5" t="s">
        <v>3209</v>
      </c>
      <c r="AV283" s="5" t="s">
        <v>108</v>
      </c>
      <c r="AW283" s="6"/>
      <c r="AX283" s="6"/>
      <c r="AY283" s="5" t="s">
        <v>3184</v>
      </c>
      <c r="AZ283" s="5" t="b">
        <v>0</v>
      </c>
      <c r="BA283" s="5" t="s">
        <v>110</v>
      </c>
      <c r="BB283" s="5" t="s">
        <v>277</v>
      </c>
      <c r="BC283" s="6"/>
      <c r="BD283" s="6"/>
      <c r="BE283" s="5" t="s">
        <v>3210</v>
      </c>
      <c r="BF283" s="6"/>
      <c r="BG283" s="6"/>
      <c r="BH283" s="6"/>
      <c r="BI283" s="6"/>
      <c r="BJ283" s="6"/>
      <c r="BK283" s="6"/>
      <c r="BL283" s="6"/>
      <c r="BM283" s="6"/>
      <c r="BN283" s="6"/>
      <c r="BO283" s="6"/>
      <c r="BP283" s="6"/>
      <c r="BQ283" s="6"/>
      <c r="BR283" s="6"/>
      <c r="BS283" s="6"/>
      <c r="BT283" s="6"/>
      <c r="BU283" s="6"/>
      <c r="BV283" s="6"/>
      <c r="BW283" s="6"/>
      <c r="BX283" s="6"/>
      <c r="BY283" s="6"/>
      <c r="BZ283" s="6"/>
      <c r="CA283" s="6"/>
      <c r="CB283" s="5" t="s">
        <v>3211</v>
      </c>
      <c r="CC283" s="6"/>
      <c r="CD283" s="6"/>
      <c r="CE283" s="5" t="s">
        <v>903</v>
      </c>
      <c r="CF283" s="5" t="s">
        <v>3212</v>
      </c>
      <c r="CG283" s="6"/>
      <c r="CH283" s="6"/>
      <c r="CI283" s="6"/>
      <c r="CJ283" s="6"/>
      <c r="CK283" s="6"/>
      <c r="CL283" s="6"/>
      <c r="CM283" s="6"/>
      <c r="CN283" s="6"/>
      <c r="CO283" s="6"/>
      <c r="CP283" s="6"/>
    </row>
    <row r="284">
      <c r="A284" s="4" t="s">
        <v>3213</v>
      </c>
      <c r="B284" s="5" t="s">
        <v>3214</v>
      </c>
      <c r="C284" s="5" t="s">
        <v>3215</v>
      </c>
      <c r="D284" s="5" t="s">
        <v>94</v>
      </c>
      <c r="E284" s="5" t="s">
        <v>95</v>
      </c>
      <c r="F284" s="6"/>
      <c r="G284" s="5" t="s">
        <v>3216</v>
      </c>
      <c r="H284" s="5" t="s">
        <v>97</v>
      </c>
      <c r="I284" s="5" t="s">
        <v>3217</v>
      </c>
      <c r="J284" s="5" t="s">
        <v>3218</v>
      </c>
      <c r="K284" s="5" t="s">
        <v>3219</v>
      </c>
      <c r="L284" s="5"/>
      <c r="M284" s="5"/>
      <c r="N284" s="5"/>
      <c r="O284" s="5"/>
      <c r="P284" s="5"/>
      <c r="Q284" s="5" t="s">
        <v>3220</v>
      </c>
      <c r="R284" s="5" t="s">
        <v>3221</v>
      </c>
      <c r="S284" s="5"/>
      <c r="T284" s="5"/>
      <c r="U284" s="5"/>
      <c r="V284" s="5"/>
      <c r="W284" s="5"/>
      <c r="X284" s="5" t="s">
        <v>3222</v>
      </c>
      <c r="Y284" s="5" t="s">
        <v>3223</v>
      </c>
      <c r="Z284" s="5"/>
      <c r="AA284" s="5" t="s">
        <v>3224</v>
      </c>
      <c r="AB284" s="5"/>
      <c r="AC284" s="5"/>
      <c r="AD284" s="5"/>
      <c r="AE284" s="5"/>
      <c r="AF284" s="5"/>
      <c r="AG284" s="5"/>
      <c r="AH284" s="5"/>
      <c r="AI284" s="5"/>
      <c r="AJ284" s="5" t="str">
        <f t="shared" ref="AJ284:AJ299" si="30">CONCATENATE(J284,K284,L284,Q284,R284,X284,Y284,AA284,AG284)</f>
        <v>15, 63, 69, 41, 47, 50, 54, 84, 85, 86, 87, 88, 89, 90, 91, 95, 99, 18, 19, 20, 105, 106, 107, 108, 109, 110, 111, 112, 113, 114, 74, 76, 78, 79, 80, 81, 82, 71, 84, 85, 86, 87, 88, 89, 90, 91, </v>
      </c>
      <c r="AK284" s="5" t="s">
        <v>103</v>
      </c>
      <c r="AL284" s="5" t="s">
        <v>675</v>
      </c>
      <c r="AM284" s="5" t="s">
        <v>105</v>
      </c>
      <c r="AN284" s="5" t="s">
        <v>3225</v>
      </c>
      <c r="AO284" s="6"/>
      <c r="AP284" s="6"/>
      <c r="AQ284" s="6"/>
      <c r="AR284" s="6"/>
      <c r="AS284" s="6"/>
      <c r="AT284" s="6"/>
      <c r="AU284" s="5" t="s">
        <v>3226</v>
      </c>
      <c r="AV284" s="5" t="s">
        <v>108</v>
      </c>
      <c r="AW284" s="6"/>
      <c r="AX284" s="6"/>
      <c r="AY284" s="5" t="s">
        <v>3184</v>
      </c>
      <c r="AZ284" s="5" t="b">
        <v>0</v>
      </c>
      <c r="BA284" s="5" t="s">
        <v>110</v>
      </c>
      <c r="BB284" s="5" t="s">
        <v>773</v>
      </c>
      <c r="BC284" s="6"/>
      <c r="BD284" s="6"/>
      <c r="BE284" s="5" t="s">
        <v>3227</v>
      </c>
      <c r="BF284" s="6"/>
      <c r="BG284" s="6"/>
      <c r="BH284" s="6"/>
      <c r="BI284" s="6"/>
      <c r="BJ284" s="6"/>
      <c r="BK284" s="6"/>
      <c r="BL284" s="6"/>
      <c r="BM284" s="6"/>
      <c r="BN284" s="6"/>
      <c r="BO284" s="6"/>
      <c r="BP284" s="6"/>
      <c r="BQ284" s="6"/>
      <c r="BR284" s="6"/>
      <c r="BS284" s="6"/>
      <c r="BT284" s="6"/>
      <c r="BU284" s="6"/>
      <c r="BV284" s="6"/>
      <c r="BW284" s="6"/>
      <c r="BX284" s="6"/>
      <c r="BY284" s="6"/>
      <c r="BZ284" s="6"/>
      <c r="CA284" s="6"/>
      <c r="CB284" s="5" t="s">
        <v>2949</v>
      </c>
      <c r="CC284" s="6"/>
      <c r="CD284" s="6"/>
      <c r="CE284" s="5" t="s">
        <v>450</v>
      </c>
      <c r="CF284" s="5" t="s">
        <v>3228</v>
      </c>
      <c r="CG284" s="6"/>
      <c r="CH284" s="6"/>
      <c r="CI284" s="6"/>
      <c r="CJ284" s="6"/>
      <c r="CK284" s="6"/>
      <c r="CL284" s="6"/>
      <c r="CM284" s="6"/>
      <c r="CN284" s="6"/>
      <c r="CO284" s="6"/>
      <c r="CP284" s="6"/>
    </row>
    <row r="285">
      <c r="A285" s="7" t="s">
        <v>3229</v>
      </c>
      <c r="B285" s="8" t="s">
        <v>3230</v>
      </c>
      <c r="C285" s="8" t="s">
        <v>3231</v>
      </c>
      <c r="D285" s="8" t="s">
        <v>94</v>
      </c>
      <c r="E285" s="8" t="s">
        <v>95</v>
      </c>
      <c r="F285" s="9"/>
      <c r="G285" s="8" t="s">
        <v>3232</v>
      </c>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t="str">
        <f t="shared" si="30"/>
        <v/>
      </c>
      <c r="AK285" s="8"/>
      <c r="AL285" s="8"/>
      <c r="AM285" s="8" t="s">
        <v>105</v>
      </c>
      <c r="AN285" s="8" t="s">
        <v>3233</v>
      </c>
      <c r="AO285" s="9"/>
      <c r="AP285" s="9"/>
      <c r="AQ285" s="9"/>
      <c r="AR285" s="9"/>
      <c r="AS285" s="9"/>
      <c r="AT285" s="9"/>
      <c r="AU285" s="8" t="s">
        <v>3234</v>
      </c>
      <c r="AV285" s="8" t="s">
        <v>3235</v>
      </c>
      <c r="AW285" s="9"/>
      <c r="AX285" s="9"/>
      <c r="AY285" s="8" t="s">
        <v>3184</v>
      </c>
      <c r="AZ285" s="8" t="b">
        <v>0</v>
      </c>
      <c r="BA285" s="8" t="s">
        <v>190</v>
      </c>
      <c r="BB285" s="8" t="s">
        <v>628</v>
      </c>
      <c r="BC285" s="9"/>
      <c r="BD285" s="9"/>
      <c r="BE285" s="8" t="s">
        <v>3236</v>
      </c>
      <c r="BF285" s="9"/>
      <c r="BG285" s="9"/>
      <c r="BH285" s="9"/>
      <c r="BI285" s="9"/>
      <c r="BJ285" s="9"/>
      <c r="BK285" s="9"/>
      <c r="BL285" s="9"/>
      <c r="BM285" s="9"/>
      <c r="BN285" s="9"/>
      <c r="BO285" s="9"/>
      <c r="BP285" s="9"/>
      <c r="BQ285" s="9"/>
      <c r="BR285" s="9"/>
      <c r="BS285" s="9"/>
      <c r="BT285" s="9"/>
      <c r="BU285" s="9"/>
      <c r="BV285" s="9"/>
      <c r="BW285" s="9"/>
      <c r="BX285" s="9"/>
      <c r="BY285" s="9"/>
      <c r="BZ285" s="8" t="s">
        <v>100</v>
      </c>
      <c r="CA285" s="8" t="s">
        <v>100</v>
      </c>
      <c r="CB285" s="8" t="s">
        <v>2639</v>
      </c>
      <c r="CC285" s="9"/>
      <c r="CD285" s="9"/>
      <c r="CE285" s="8" t="s">
        <v>1771</v>
      </c>
      <c r="CF285" s="8" t="s">
        <v>3237</v>
      </c>
      <c r="CG285" s="9"/>
      <c r="CH285" s="9"/>
      <c r="CI285" s="9"/>
      <c r="CJ285" s="9"/>
      <c r="CK285" s="9"/>
      <c r="CL285" s="9"/>
      <c r="CM285" s="9"/>
      <c r="CN285" s="9"/>
      <c r="CO285" s="9"/>
      <c r="CP285" s="9"/>
    </row>
    <row r="286">
      <c r="A286" s="7" t="s">
        <v>3238</v>
      </c>
      <c r="B286" s="8" t="s">
        <v>3239</v>
      </c>
      <c r="C286" s="8" t="s">
        <v>3240</v>
      </c>
      <c r="D286" s="8" t="s">
        <v>94</v>
      </c>
      <c r="E286" s="8" t="s">
        <v>95</v>
      </c>
      <c r="F286" s="9"/>
      <c r="G286" s="8" t="s">
        <v>3241</v>
      </c>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t="str">
        <f t="shared" si="30"/>
        <v/>
      </c>
      <c r="AK286" s="8"/>
      <c r="AL286" s="8"/>
      <c r="AM286" s="8" t="s">
        <v>105</v>
      </c>
      <c r="AN286" s="8" t="s">
        <v>3242</v>
      </c>
      <c r="AO286" s="9"/>
      <c r="AP286" s="9"/>
      <c r="AQ286" s="9"/>
      <c r="AR286" s="9"/>
      <c r="AS286" s="9"/>
      <c r="AT286" s="9"/>
      <c r="AU286" s="8" t="s">
        <v>3243</v>
      </c>
      <c r="AV286" s="9"/>
      <c r="AW286" s="9"/>
      <c r="AX286" s="9"/>
      <c r="AY286" s="8" t="s">
        <v>3184</v>
      </c>
      <c r="AZ286" s="8" t="b">
        <v>0</v>
      </c>
      <c r="BA286" s="8" t="s">
        <v>190</v>
      </c>
      <c r="BB286" s="8" t="s">
        <v>191</v>
      </c>
      <c r="BC286" s="8" t="s">
        <v>629</v>
      </c>
      <c r="BD286" s="9"/>
      <c r="BE286" s="8" t="s">
        <v>3244</v>
      </c>
      <c r="BF286" s="9"/>
      <c r="BG286" s="9"/>
      <c r="BH286" s="9"/>
      <c r="BI286" s="9"/>
      <c r="BJ286" s="9"/>
      <c r="BK286" s="9"/>
      <c r="BL286" s="9"/>
      <c r="BM286" s="9"/>
      <c r="BN286" s="9"/>
      <c r="BO286" s="9"/>
      <c r="BP286" s="9"/>
      <c r="BQ286" s="9"/>
      <c r="BR286" s="8" t="s">
        <v>193</v>
      </c>
      <c r="BS286" s="8" t="s">
        <v>3245</v>
      </c>
      <c r="BT286" s="9"/>
      <c r="BU286" s="9"/>
      <c r="BV286" s="8" t="s">
        <v>2629</v>
      </c>
      <c r="BW286" s="9"/>
      <c r="BX286" s="9"/>
      <c r="BY286" s="9"/>
      <c r="BZ286" s="9"/>
      <c r="CA286" s="9"/>
      <c r="CB286" s="8" t="s">
        <v>3046</v>
      </c>
      <c r="CC286" s="9"/>
      <c r="CD286" s="9"/>
      <c r="CE286" s="8" t="s">
        <v>450</v>
      </c>
      <c r="CF286" s="8" t="s">
        <v>3246</v>
      </c>
      <c r="CG286" s="9"/>
      <c r="CH286" s="9"/>
      <c r="CI286" s="9"/>
      <c r="CJ286" s="9"/>
      <c r="CK286" s="9"/>
      <c r="CL286" s="9"/>
      <c r="CM286" s="9"/>
      <c r="CN286" s="9"/>
      <c r="CO286" s="9"/>
      <c r="CP286" s="9"/>
    </row>
    <row r="287">
      <c r="A287" s="7" t="s">
        <v>3247</v>
      </c>
      <c r="B287" s="8" t="s">
        <v>3248</v>
      </c>
      <c r="C287" s="8" t="s">
        <v>3249</v>
      </c>
      <c r="D287" s="8" t="s">
        <v>94</v>
      </c>
      <c r="E287" s="8" t="s">
        <v>95</v>
      </c>
      <c r="F287" s="9"/>
      <c r="G287" s="8" t="s">
        <v>3250</v>
      </c>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t="str">
        <f t="shared" si="30"/>
        <v/>
      </c>
      <c r="AK287" s="8"/>
      <c r="AL287" s="8"/>
      <c r="AM287" s="8" t="s">
        <v>105</v>
      </c>
      <c r="AN287" s="8" t="s">
        <v>3251</v>
      </c>
      <c r="AO287" s="9"/>
      <c r="AP287" s="9"/>
      <c r="AQ287" s="9"/>
      <c r="AR287" s="9"/>
      <c r="AS287" s="9"/>
      <c r="AT287" s="9"/>
      <c r="AU287" s="8" t="s">
        <v>3252</v>
      </c>
      <c r="AV287" s="8" t="s">
        <v>108</v>
      </c>
      <c r="AW287" s="9"/>
      <c r="AX287" s="9"/>
      <c r="AY287" s="8" t="s">
        <v>3184</v>
      </c>
      <c r="AZ287" s="8" t="b">
        <v>0</v>
      </c>
      <c r="BA287" s="8" t="s">
        <v>110</v>
      </c>
      <c r="BB287" s="8" t="s">
        <v>277</v>
      </c>
      <c r="BC287" s="9"/>
      <c r="BD287" s="9"/>
      <c r="BE287" s="8" t="s">
        <v>3253</v>
      </c>
      <c r="BF287" s="9"/>
      <c r="BG287" s="9"/>
      <c r="BH287" s="9"/>
      <c r="BI287" s="9"/>
      <c r="BJ287" s="9"/>
      <c r="BK287" s="9"/>
      <c r="BL287" s="9"/>
      <c r="BM287" s="9"/>
      <c r="BN287" s="9"/>
      <c r="BO287" s="9"/>
      <c r="BP287" s="9"/>
      <c r="BQ287" s="9"/>
      <c r="BR287" s="9"/>
      <c r="BS287" s="9"/>
      <c r="BT287" s="9"/>
      <c r="BU287" s="9"/>
      <c r="BV287" s="9"/>
      <c r="BW287" s="9"/>
      <c r="BX287" s="9"/>
      <c r="BY287" s="9"/>
      <c r="BZ287" s="9"/>
      <c r="CA287" s="9"/>
      <c r="CB287" s="8" t="s">
        <v>3254</v>
      </c>
      <c r="CC287" s="9"/>
      <c r="CD287" s="9"/>
      <c r="CE287" s="8" t="s">
        <v>412</v>
      </c>
      <c r="CF287" s="8" t="s">
        <v>3255</v>
      </c>
      <c r="CG287" s="9"/>
      <c r="CH287" s="9"/>
      <c r="CI287" s="9"/>
      <c r="CJ287" s="9"/>
      <c r="CK287" s="9"/>
      <c r="CL287" s="9"/>
      <c r="CM287" s="9"/>
      <c r="CN287" s="9"/>
      <c r="CO287" s="9"/>
      <c r="CP287" s="9"/>
    </row>
    <row r="288">
      <c r="A288" s="7" t="s">
        <v>3256</v>
      </c>
      <c r="B288" s="8" t="s">
        <v>3257</v>
      </c>
      <c r="C288" s="8" t="s">
        <v>3258</v>
      </c>
      <c r="D288" s="8" t="s">
        <v>94</v>
      </c>
      <c r="E288" s="8" t="s">
        <v>95</v>
      </c>
      <c r="F288" s="9"/>
      <c r="G288" s="8" t="s">
        <v>3259</v>
      </c>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t="str">
        <f t="shared" si="30"/>
        <v/>
      </c>
      <c r="AK288" s="8"/>
      <c r="AL288" s="8"/>
      <c r="AM288" s="8" t="s">
        <v>105</v>
      </c>
      <c r="AN288" s="8" t="s">
        <v>3260</v>
      </c>
      <c r="AO288" s="9"/>
      <c r="AP288" s="9"/>
      <c r="AQ288" s="9"/>
      <c r="AR288" s="9"/>
      <c r="AS288" s="9"/>
      <c r="AT288" s="9"/>
      <c r="AU288" s="8" t="s">
        <v>3261</v>
      </c>
      <c r="AV288" s="8" t="s">
        <v>108</v>
      </c>
      <c r="AW288" s="9"/>
      <c r="AX288" s="9"/>
      <c r="AY288" s="8" t="s">
        <v>3184</v>
      </c>
      <c r="AZ288" s="8" t="b">
        <v>0</v>
      </c>
      <c r="BA288" s="8" t="s">
        <v>110</v>
      </c>
      <c r="BB288" s="8" t="s">
        <v>773</v>
      </c>
      <c r="BC288" s="9"/>
      <c r="BD288" s="9"/>
      <c r="BE288" s="8" t="s">
        <v>3262</v>
      </c>
      <c r="BF288" s="9"/>
      <c r="BG288" s="9"/>
      <c r="BH288" s="9"/>
      <c r="BI288" s="9"/>
      <c r="BJ288" s="9"/>
      <c r="BK288" s="9"/>
      <c r="BL288" s="9"/>
      <c r="BM288" s="9"/>
      <c r="BN288" s="9"/>
      <c r="BO288" s="9"/>
      <c r="BP288" s="9"/>
      <c r="BQ288" s="9"/>
      <c r="BR288" s="9"/>
      <c r="BS288" s="9"/>
      <c r="BT288" s="9"/>
      <c r="BU288" s="9"/>
      <c r="BV288" s="9"/>
      <c r="BW288" s="9"/>
      <c r="BX288" s="9"/>
      <c r="BY288" s="9"/>
      <c r="BZ288" s="9"/>
      <c r="CA288" s="9"/>
      <c r="CB288" s="8" t="s">
        <v>3046</v>
      </c>
      <c r="CC288" s="9"/>
      <c r="CD288" s="9"/>
      <c r="CE288" s="8" t="s">
        <v>115</v>
      </c>
      <c r="CF288" s="8" t="s">
        <v>3263</v>
      </c>
      <c r="CG288" s="9"/>
      <c r="CH288" s="9"/>
      <c r="CI288" s="9"/>
      <c r="CJ288" s="9"/>
      <c r="CK288" s="9"/>
      <c r="CL288" s="9"/>
      <c r="CM288" s="9"/>
      <c r="CN288" s="9"/>
      <c r="CO288" s="9"/>
      <c r="CP288" s="9"/>
    </row>
    <row r="289">
      <c r="A289" s="7" t="s">
        <v>3264</v>
      </c>
      <c r="B289" s="8" t="s">
        <v>3265</v>
      </c>
      <c r="C289" s="8" t="s">
        <v>3266</v>
      </c>
      <c r="D289" s="8" t="s">
        <v>94</v>
      </c>
      <c r="E289" s="8" t="s">
        <v>95</v>
      </c>
      <c r="F289" s="9"/>
      <c r="G289" s="8" t="s">
        <v>3267</v>
      </c>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t="str">
        <f t="shared" si="30"/>
        <v/>
      </c>
      <c r="AK289" s="8"/>
      <c r="AL289" s="8"/>
      <c r="AM289" s="8" t="s">
        <v>105</v>
      </c>
      <c r="AN289" s="8" t="s">
        <v>3041</v>
      </c>
      <c r="AO289" s="9"/>
      <c r="AP289" s="8" t="s">
        <v>899</v>
      </c>
      <c r="AQ289" s="9"/>
      <c r="AR289" s="9"/>
      <c r="AS289" s="9"/>
      <c r="AT289" s="9"/>
      <c r="AU289" s="8" t="s">
        <v>3268</v>
      </c>
      <c r="AV289" s="9"/>
      <c r="AW289" s="9"/>
      <c r="AX289" s="9"/>
      <c r="AY289" s="8" t="s">
        <v>3184</v>
      </c>
      <c r="AZ289" s="8" t="b">
        <v>0</v>
      </c>
      <c r="BA289" s="8" t="s">
        <v>190</v>
      </c>
      <c r="BB289" s="8" t="s">
        <v>191</v>
      </c>
      <c r="BC289" s="9"/>
      <c r="BD289" s="9"/>
      <c r="BE289" s="8" t="s">
        <v>3269</v>
      </c>
      <c r="BF289" s="9"/>
      <c r="BG289" s="9"/>
      <c r="BH289" s="9"/>
      <c r="BI289" s="9"/>
      <c r="BJ289" s="9"/>
      <c r="BK289" s="9"/>
      <c r="BL289" s="9"/>
      <c r="BM289" s="9"/>
      <c r="BN289" s="9"/>
      <c r="BO289" s="9"/>
      <c r="BP289" s="9"/>
      <c r="BQ289" s="9"/>
      <c r="BR289" s="8" t="s">
        <v>193</v>
      </c>
      <c r="BS289" s="8" t="s">
        <v>194</v>
      </c>
      <c r="BT289" s="9"/>
      <c r="BU289" s="9"/>
      <c r="BV289" s="9"/>
      <c r="BW289" s="9"/>
      <c r="BX289" s="9"/>
      <c r="BY289" s="9"/>
      <c r="BZ289" s="9"/>
      <c r="CA289" s="9"/>
      <c r="CB289" s="8" t="s">
        <v>3046</v>
      </c>
      <c r="CC289" s="9"/>
      <c r="CD289" s="9"/>
      <c r="CE289" s="8" t="s">
        <v>450</v>
      </c>
      <c r="CF289" s="8" t="s">
        <v>3270</v>
      </c>
      <c r="CG289" s="9"/>
      <c r="CH289" s="9"/>
      <c r="CI289" s="9"/>
      <c r="CJ289" s="9"/>
      <c r="CK289" s="9"/>
      <c r="CL289" s="9"/>
      <c r="CM289" s="9"/>
      <c r="CN289" s="9"/>
      <c r="CO289" s="9"/>
      <c r="CP289" s="9"/>
    </row>
    <row r="290">
      <c r="A290" s="7" t="s">
        <v>3271</v>
      </c>
      <c r="B290" s="8" t="s">
        <v>3272</v>
      </c>
      <c r="C290" s="8" t="s">
        <v>3273</v>
      </c>
      <c r="D290" s="8" t="s">
        <v>94</v>
      </c>
      <c r="E290" s="8" t="s">
        <v>95</v>
      </c>
      <c r="F290" s="9"/>
      <c r="G290" s="8" t="s">
        <v>3274</v>
      </c>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t="str">
        <f t="shared" si="30"/>
        <v/>
      </c>
      <c r="AK290" s="8"/>
      <c r="AL290" s="8"/>
      <c r="AM290" s="8" t="s">
        <v>1877</v>
      </c>
      <c r="AN290" s="8" t="s">
        <v>820</v>
      </c>
      <c r="AO290" s="9"/>
      <c r="AP290" s="9"/>
      <c r="AQ290" s="9"/>
      <c r="AR290" s="8" t="s">
        <v>1879</v>
      </c>
      <c r="AS290" s="8" t="s">
        <v>1880</v>
      </c>
      <c r="AT290" s="9"/>
      <c r="AU290" s="8" t="s">
        <v>3275</v>
      </c>
      <c r="AV290" s="8" t="s">
        <v>108</v>
      </c>
      <c r="AW290" s="9"/>
      <c r="AX290" s="9"/>
      <c r="AY290" s="8" t="s">
        <v>3184</v>
      </c>
      <c r="AZ290" s="8" t="b">
        <v>0</v>
      </c>
      <c r="BA290" s="8" t="s">
        <v>110</v>
      </c>
      <c r="BB290" s="8" t="s">
        <v>2485</v>
      </c>
      <c r="BC290" s="9"/>
      <c r="BD290" s="9"/>
      <c r="BE290" s="8" t="s">
        <v>3276</v>
      </c>
      <c r="BF290" s="9"/>
      <c r="BG290" s="9"/>
      <c r="BH290" s="9"/>
      <c r="BI290" s="9"/>
      <c r="BJ290" s="9"/>
      <c r="BK290" s="9"/>
      <c r="BL290" s="9"/>
      <c r="BM290" s="9"/>
      <c r="BN290" s="9"/>
      <c r="BO290" s="9"/>
      <c r="BP290" s="9"/>
      <c r="BQ290" s="9"/>
      <c r="BR290" s="9"/>
      <c r="BS290" s="9"/>
      <c r="BT290" s="9"/>
      <c r="BU290" s="9"/>
      <c r="BV290" s="9"/>
      <c r="BW290" s="9"/>
      <c r="BX290" s="9"/>
      <c r="BY290" s="9"/>
      <c r="BZ290" s="9"/>
      <c r="CA290" s="9"/>
      <c r="CB290" s="8" t="s">
        <v>2958</v>
      </c>
      <c r="CC290" s="9"/>
      <c r="CD290" s="9"/>
      <c r="CE290" s="8" t="s">
        <v>115</v>
      </c>
      <c r="CF290" s="8" t="s">
        <v>3277</v>
      </c>
      <c r="CG290" s="9"/>
      <c r="CH290" s="9"/>
      <c r="CI290" s="9"/>
      <c r="CJ290" s="9"/>
      <c r="CK290" s="9"/>
      <c r="CL290" s="9"/>
      <c r="CM290" s="9"/>
      <c r="CN290" s="9"/>
      <c r="CO290" s="9"/>
      <c r="CP290" s="9"/>
    </row>
    <row r="291">
      <c r="A291" s="7" t="s">
        <v>3278</v>
      </c>
      <c r="B291" s="8" t="s">
        <v>3279</v>
      </c>
      <c r="C291" s="8" t="s">
        <v>3280</v>
      </c>
      <c r="D291" s="8" t="s">
        <v>94</v>
      </c>
      <c r="E291" s="8" t="s">
        <v>95</v>
      </c>
      <c r="F291" s="9"/>
      <c r="G291" s="8" t="s">
        <v>3281</v>
      </c>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t="str">
        <f t="shared" si="30"/>
        <v/>
      </c>
      <c r="AK291" s="8"/>
      <c r="AL291" s="8"/>
      <c r="AM291" s="8" t="s">
        <v>1877</v>
      </c>
      <c r="AN291" s="8" t="s">
        <v>3282</v>
      </c>
      <c r="AO291" s="9"/>
      <c r="AP291" s="8" t="s">
        <v>642</v>
      </c>
      <c r="AQ291" s="9"/>
      <c r="AR291" s="8" t="s">
        <v>1879</v>
      </c>
      <c r="AS291" s="8" t="s">
        <v>1880</v>
      </c>
      <c r="AT291" s="9"/>
      <c r="AU291" s="8" t="s">
        <v>3283</v>
      </c>
      <c r="AV291" s="9"/>
      <c r="AW291" s="9"/>
      <c r="AX291" s="9"/>
      <c r="AY291" s="8" t="s">
        <v>3184</v>
      </c>
      <c r="AZ291" s="8" t="b">
        <v>0</v>
      </c>
      <c r="BA291" s="8" t="s">
        <v>190</v>
      </c>
      <c r="BB291" s="8" t="s">
        <v>3284</v>
      </c>
      <c r="BC291" s="8" t="s">
        <v>629</v>
      </c>
      <c r="BD291" s="9"/>
      <c r="BE291" s="8" t="s">
        <v>1223</v>
      </c>
      <c r="BF291" s="9"/>
      <c r="BG291" s="9"/>
      <c r="BH291" s="9"/>
      <c r="BI291" s="8" t="s">
        <v>1605</v>
      </c>
      <c r="BJ291" s="8" t="s">
        <v>158</v>
      </c>
      <c r="BK291" s="9"/>
      <c r="BL291" s="8" t="s">
        <v>3285</v>
      </c>
      <c r="BM291" s="9"/>
      <c r="BN291" s="9"/>
      <c r="BO291" s="8" t="s">
        <v>3286</v>
      </c>
      <c r="BP291" s="8" t="s">
        <v>2555</v>
      </c>
      <c r="BQ291" s="8" t="s">
        <v>3287</v>
      </c>
      <c r="BR291" s="9"/>
      <c r="BS291" s="9"/>
      <c r="BT291" s="9"/>
      <c r="BU291" s="9"/>
      <c r="BV291" s="9"/>
      <c r="BW291" s="9"/>
      <c r="BX291" s="9"/>
      <c r="BY291" s="9"/>
      <c r="BZ291" s="9"/>
      <c r="CA291" s="9"/>
      <c r="CB291" s="8" t="s">
        <v>2907</v>
      </c>
      <c r="CC291" s="9"/>
      <c r="CD291" s="9"/>
      <c r="CE291" s="8" t="s">
        <v>412</v>
      </c>
      <c r="CF291" s="8" t="s">
        <v>3288</v>
      </c>
      <c r="CG291" s="9"/>
      <c r="CH291" s="9"/>
      <c r="CI291" s="9"/>
      <c r="CJ291" s="9"/>
      <c r="CK291" s="9"/>
      <c r="CL291" s="9"/>
      <c r="CM291" s="9"/>
      <c r="CN291" s="9"/>
      <c r="CO291" s="9"/>
      <c r="CP291" s="9"/>
    </row>
    <row r="292">
      <c r="A292" s="7" t="s">
        <v>3289</v>
      </c>
      <c r="B292" s="8" t="s">
        <v>3290</v>
      </c>
      <c r="C292" s="8" t="s">
        <v>3291</v>
      </c>
      <c r="D292" s="8" t="s">
        <v>94</v>
      </c>
      <c r="E292" s="8" t="s">
        <v>95</v>
      </c>
      <c r="F292" s="9"/>
      <c r="G292" s="8" t="s">
        <v>3292</v>
      </c>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t="str">
        <f t="shared" si="30"/>
        <v/>
      </c>
      <c r="AK292" s="8"/>
      <c r="AL292" s="8"/>
      <c r="AM292" s="8" t="s">
        <v>1477</v>
      </c>
      <c r="AN292" s="8" t="s">
        <v>3293</v>
      </c>
      <c r="AO292" s="9"/>
      <c r="AP292" s="9"/>
      <c r="AQ292" s="9"/>
      <c r="AR292" s="8" t="s">
        <v>1479</v>
      </c>
      <c r="AS292" s="8" t="s">
        <v>1480</v>
      </c>
      <c r="AT292" s="9"/>
      <c r="AU292" s="8" t="s">
        <v>3294</v>
      </c>
      <c r="AV292" s="8" t="s">
        <v>108</v>
      </c>
      <c r="AW292" s="9"/>
      <c r="AX292" s="9"/>
      <c r="AY292" s="8" t="s">
        <v>3184</v>
      </c>
      <c r="AZ292" s="8" t="b">
        <v>0</v>
      </c>
      <c r="BA292" s="8" t="s">
        <v>110</v>
      </c>
      <c r="BB292" s="8" t="s">
        <v>2011</v>
      </c>
      <c r="BC292" s="9"/>
      <c r="BD292" s="9"/>
      <c r="BE292" s="8" t="s">
        <v>3295</v>
      </c>
      <c r="BF292" s="9"/>
      <c r="BG292" s="9"/>
      <c r="BH292" s="9"/>
      <c r="BI292" s="9"/>
      <c r="BJ292" s="9"/>
      <c r="BK292" s="9"/>
      <c r="BL292" s="9"/>
      <c r="BM292" s="9"/>
      <c r="BN292" s="9"/>
      <c r="BO292" s="9"/>
      <c r="BP292" s="9"/>
      <c r="BQ292" s="9"/>
      <c r="BR292" s="9"/>
      <c r="BS292" s="9"/>
      <c r="BT292" s="9"/>
      <c r="BU292" s="9"/>
      <c r="BV292" s="9"/>
      <c r="BW292" s="9"/>
      <c r="BX292" s="9"/>
      <c r="BY292" s="9"/>
      <c r="BZ292" s="9"/>
      <c r="CA292" s="9"/>
      <c r="CB292" s="8" t="s">
        <v>3296</v>
      </c>
      <c r="CC292" s="9"/>
      <c r="CD292" s="9"/>
      <c r="CE292" s="8" t="s">
        <v>366</v>
      </c>
      <c r="CF292" s="8" t="s">
        <v>3297</v>
      </c>
      <c r="CG292" s="9"/>
      <c r="CH292" s="9"/>
      <c r="CI292" s="9"/>
      <c r="CJ292" s="9"/>
      <c r="CK292" s="9"/>
      <c r="CL292" s="9"/>
      <c r="CM292" s="9"/>
      <c r="CN292" s="9"/>
      <c r="CO292" s="9"/>
      <c r="CP292" s="9"/>
    </row>
    <row r="293">
      <c r="A293" s="7" t="s">
        <v>3298</v>
      </c>
      <c r="B293" s="8" t="s">
        <v>3299</v>
      </c>
      <c r="C293" s="8" t="s">
        <v>3300</v>
      </c>
      <c r="D293" s="8" t="s">
        <v>94</v>
      </c>
      <c r="E293" s="8" t="s">
        <v>95</v>
      </c>
      <c r="F293" s="9"/>
      <c r="G293" s="8" t="s">
        <v>3301</v>
      </c>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t="str">
        <f t="shared" si="30"/>
        <v/>
      </c>
      <c r="AK293" s="8"/>
      <c r="AL293" s="8"/>
      <c r="AM293" s="8" t="s">
        <v>133</v>
      </c>
      <c r="AN293" s="8" t="s">
        <v>3302</v>
      </c>
      <c r="AO293" s="9"/>
      <c r="AP293" s="8" t="s">
        <v>3303</v>
      </c>
      <c r="AQ293" s="9"/>
      <c r="AR293" s="9"/>
      <c r="AS293" s="9"/>
      <c r="AT293" s="9"/>
      <c r="AU293" s="8" t="s">
        <v>3304</v>
      </c>
      <c r="AV293" s="8" t="s">
        <v>108</v>
      </c>
      <c r="AW293" s="9"/>
      <c r="AX293" s="9"/>
      <c r="AY293" s="8" t="s">
        <v>3184</v>
      </c>
      <c r="AZ293" s="8" t="b">
        <v>0</v>
      </c>
      <c r="BA293" s="8" t="s">
        <v>110</v>
      </c>
      <c r="BB293" s="8" t="s">
        <v>773</v>
      </c>
      <c r="BC293" s="9"/>
      <c r="BD293" s="9"/>
      <c r="BE293" s="8" t="s">
        <v>3305</v>
      </c>
      <c r="BF293" s="9"/>
      <c r="BG293" s="9"/>
      <c r="BH293" s="9"/>
      <c r="BI293" s="9"/>
      <c r="BJ293" s="9"/>
      <c r="BK293" s="9"/>
      <c r="BL293" s="9"/>
      <c r="BM293" s="9"/>
      <c r="BN293" s="9"/>
      <c r="BO293" s="9"/>
      <c r="BP293" s="9"/>
      <c r="BQ293" s="9"/>
      <c r="BR293" s="9"/>
      <c r="BS293" s="9"/>
      <c r="BT293" s="9"/>
      <c r="BU293" s="9"/>
      <c r="BV293" s="9"/>
      <c r="BW293" s="9"/>
      <c r="BX293" s="9"/>
      <c r="BY293" s="9"/>
      <c r="BZ293" s="9"/>
      <c r="CA293" s="9"/>
      <c r="CB293" s="8" t="s">
        <v>3306</v>
      </c>
      <c r="CC293" s="9"/>
      <c r="CD293" s="9"/>
      <c r="CE293" s="8" t="s">
        <v>311</v>
      </c>
      <c r="CF293" s="8" t="s">
        <v>3307</v>
      </c>
      <c r="CG293" s="9"/>
      <c r="CH293" s="9"/>
      <c r="CI293" s="9"/>
      <c r="CJ293" s="9"/>
      <c r="CK293" s="9"/>
      <c r="CL293" s="9"/>
      <c r="CM293" s="9"/>
      <c r="CN293" s="9"/>
      <c r="CO293" s="9"/>
      <c r="CP293" s="9"/>
    </row>
    <row r="294">
      <c r="A294" s="7" t="s">
        <v>3308</v>
      </c>
      <c r="B294" s="8" t="s">
        <v>3309</v>
      </c>
      <c r="C294" s="8" t="s">
        <v>3310</v>
      </c>
      <c r="D294" s="8" t="s">
        <v>94</v>
      </c>
      <c r="E294" s="8" t="s">
        <v>95</v>
      </c>
      <c r="F294" s="9"/>
      <c r="G294" s="8" t="s">
        <v>3311</v>
      </c>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t="str">
        <f t="shared" si="30"/>
        <v/>
      </c>
      <c r="AK294" s="8"/>
      <c r="AL294" s="8"/>
      <c r="AM294" s="8" t="s">
        <v>1477</v>
      </c>
      <c r="AN294" s="8" t="s">
        <v>3312</v>
      </c>
      <c r="AO294" s="9"/>
      <c r="AP294" s="9"/>
      <c r="AQ294" s="9"/>
      <c r="AR294" s="8" t="s">
        <v>1479</v>
      </c>
      <c r="AS294" s="8" t="s">
        <v>1480</v>
      </c>
      <c r="AT294" s="9"/>
      <c r="AU294" s="8" t="s">
        <v>3313</v>
      </c>
      <c r="AV294" s="8" t="s">
        <v>108</v>
      </c>
      <c r="AW294" s="9"/>
      <c r="AX294" s="9"/>
      <c r="AY294" s="8" t="s">
        <v>3184</v>
      </c>
      <c r="AZ294" s="8" t="b">
        <v>0</v>
      </c>
      <c r="BA294" s="8" t="s">
        <v>110</v>
      </c>
      <c r="BB294" s="9"/>
      <c r="BC294" s="9"/>
      <c r="BD294" s="9"/>
      <c r="BE294" s="8" t="s">
        <v>1648</v>
      </c>
      <c r="BF294" s="9"/>
      <c r="BG294" s="9"/>
      <c r="BH294" s="9"/>
      <c r="BI294" s="9"/>
      <c r="BJ294" s="9"/>
      <c r="BK294" s="9"/>
      <c r="BL294" s="9"/>
      <c r="BM294" s="9"/>
      <c r="BN294" s="9"/>
      <c r="BO294" s="9"/>
      <c r="BP294" s="9"/>
      <c r="BQ294" s="9"/>
      <c r="BR294" s="9"/>
      <c r="BS294" s="9"/>
      <c r="BT294" s="9"/>
      <c r="BU294" s="9"/>
      <c r="BV294" s="9"/>
      <c r="BW294" s="9"/>
      <c r="BX294" s="9"/>
      <c r="BY294" s="9"/>
      <c r="BZ294" s="9"/>
      <c r="CA294" s="9"/>
      <c r="CB294" s="8" t="s">
        <v>2212</v>
      </c>
      <c r="CC294" s="9"/>
      <c r="CD294" s="9"/>
      <c r="CE294" s="8" t="s">
        <v>197</v>
      </c>
      <c r="CF294" s="8" t="s">
        <v>3314</v>
      </c>
      <c r="CG294" s="9"/>
      <c r="CH294" s="9"/>
      <c r="CI294" s="9"/>
      <c r="CJ294" s="9"/>
      <c r="CK294" s="9"/>
      <c r="CL294" s="9"/>
      <c r="CM294" s="9"/>
      <c r="CN294" s="9"/>
      <c r="CO294" s="9"/>
      <c r="CP294" s="9"/>
    </row>
    <row r="295">
      <c r="A295" s="7" t="s">
        <v>3315</v>
      </c>
      <c r="B295" s="8" t="s">
        <v>3316</v>
      </c>
      <c r="C295" s="8" t="s">
        <v>3317</v>
      </c>
      <c r="D295" s="8" t="s">
        <v>94</v>
      </c>
      <c r="E295" s="8" t="s">
        <v>95</v>
      </c>
      <c r="F295" s="9"/>
      <c r="G295" s="8" t="s">
        <v>3318</v>
      </c>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t="str">
        <f t="shared" si="30"/>
        <v/>
      </c>
      <c r="AK295" s="8"/>
      <c r="AL295" s="8"/>
      <c r="AM295" s="8" t="s">
        <v>1477</v>
      </c>
      <c r="AN295" s="8" t="s">
        <v>3319</v>
      </c>
      <c r="AO295" s="9"/>
      <c r="AP295" s="9"/>
      <c r="AQ295" s="9"/>
      <c r="AR295" s="8" t="s">
        <v>1479</v>
      </c>
      <c r="AS295" s="8" t="s">
        <v>1480</v>
      </c>
      <c r="AT295" s="9"/>
      <c r="AU295" s="8" t="s">
        <v>3320</v>
      </c>
      <c r="AV295" s="8" t="s">
        <v>108</v>
      </c>
      <c r="AW295" s="9"/>
      <c r="AX295" s="9"/>
      <c r="AY295" s="8" t="s">
        <v>3184</v>
      </c>
      <c r="AZ295" s="8" t="b">
        <v>0</v>
      </c>
      <c r="BA295" s="8" t="s">
        <v>110</v>
      </c>
      <c r="BB295" s="9"/>
      <c r="BC295" s="9"/>
      <c r="BD295" s="9"/>
      <c r="BE295" s="8" t="s">
        <v>3321</v>
      </c>
      <c r="BF295" s="9"/>
      <c r="BG295" s="9"/>
      <c r="BH295" s="9"/>
      <c r="BI295" s="9"/>
      <c r="BJ295" s="9"/>
      <c r="BK295" s="9"/>
      <c r="BL295" s="9"/>
      <c r="BM295" s="9"/>
      <c r="BN295" s="9"/>
      <c r="BO295" s="9"/>
      <c r="BP295" s="9"/>
      <c r="BQ295" s="9"/>
      <c r="BR295" s="9"/>
      <c r="BS295" s="9"/>
      <c r="BT295" s="9"/>
      <c r="BU295" s="9"/>
      <c r="BV295" s="9"/>
      <c r="BW295" s="9"/>
      <c r="BX295" s="9"/>
      <c r="BY295" s="9"/>
      <c r="BZ295" s="9"/>
      <c r="CA295" s="9"/>
      <c r="CB295" s="8" t="s">
        <v>2212</v>
      </c>
      <c r="CC295" s="9"/>
      <c r="CD295" s="9"/>
      <c r="CE295" s="8" t="s">
        <v>115</v>
      </c>
      <c r="CF295" s="8" t="s">
        <v>3322</v>
      </c>
      <c r="CG295" s="9"/>
      <c r="CH295" s="9"/>
      <c r="CI295" s="9"/>
      <c r="CJ295" s="9"/>
      <c r="CK295" s="9"/>
      <c r="CL295" s="9"/>
      <c r="CM295" s="9"/>
      <c r="CN295" s="9"/>
      <c r="CO295" s="9"/>
      <c r="CP295" s="9"/>
    </row>
    <row r="296">
      <c r="A296" s="7" t="s">
        <v>3323</v>
      </c>
      <c r="B296" s="8" t="s">
        <v>3324</v>
      </c>
      <c r="C296" s="8" t="s">
        <v>3325</v>
      </c>
      <c r="D296" s="8" t="s">
        <v>94</v>
      </c>
      <c r="E296" s="8" t="s">
        <v>95</v>
      </c>
      <c r="F296" s="9"/>
      <c r="G296" s="8" t="s">
        <v>3326</v>
      </c>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t="str">
        <f t="shared" si="30"/>
        <v/>
      </c>
      <c r="AK296" s="8"/>
      <c r="AL296" s="8"/>
      <c r="AM296" s="8" t="s">
        <v>1477</v>
      </c>
      <c r="AN296" s="8" t="s">
        <v>3327</v>
      </c>
      <c r="AO296" s="9"/>
      <c r="AP296" s="9"/>
      <c r="AQ296" s="9"/>
      <c r="AR296" s="8" t="s">
        <v>1479</v>
      </c>
      <c r="AS296" s="8" t="s">
        <v>1480</v>
      </c>
      <c r="AT296" s="9"/>
      <c r="AU296" s="8" t="s">
        <v>3328</v>
      </c>
      <c r="AV296" s="8" t="s">
        <v>108</v>
      </c>
      <c r="AW296" s="9"/>
      <c r="AX296" s="9"/>
      <c r="AY296" s="8" t="s">
        <v>3184</v>
      </c>
      <c r="AZ296" s="8" t="b">
        <v>0</v>
      </c>
      <c r="BA296" s="8" t="s">
        <v>110</v>
      </c>
      <c r="BB296" s="9"/>
      <c r="BC296" s="9"/>
      <c r="BD296" s="9"/>
      <c r="BE296" s="8" t="s">
        <v>3329</v>
      </c>
      <c r="BF296" s="9"/>
      <c r="BG296" s="9"/>
      <c r="BH296" s="9"/>
      <c r="BI296" s="9"/>
      <c r="BJ296" s="9"/>
      <c r="BK296" s="9"/>
      <c r="BL296" s="9"/>
      <c r="BM296" s="9"/>
      <c r="BN296" s="9"/>
      <c r="BO296" s="9"/>
      <c r="BP296" s="9"/>
      <c r="BQ296" s="9"/>
      <c r="BR296" s="9"/>
      <c r="BS296" s="9"/>
      <c r="BT296" s="9"/>
      <c r="BU296" s="9"/>
      <c r="BV296" s="9"/>
      <c r="BW296" s="9"/>
      <c r="BX296" s="9"/>
      <c r="BY296" s="9"/>
      <c r="BZ296" s="9"/>
      <c r="CA296" s="9"/>
      <c r="CB296" s="8" t="s">
        <v>3330</v>
      </c>
      <c r="CC296" s="9"/>
      <c r="CD296" s="9"/>
      <c r="CE296" s="8" t="s">
        <v>366</v>
      </c>
      <c r="CF296" s="8" t="s">
        <v>3331</v>
      </c>
      <c r="CG296" s="9"/>
      <c r="CH296" s="9"/>
      <c r="CI296" s="9"/>
      <c r="CJ296" s="9"/>
      <c r="CK296" s="9"/>
      <c r="CL296" s="9"/>
      <c r="CM296" s="9"/>
      <c r="CN296" s="9"/>
      <c r="CO296" s="9"/>
      <c r="CP296" s="9"/>
    </row>
    <row r="297">
      <c r="A297" s="7" t="s">
        <v>3332</v>
      </c>
      <c r="B297" s="8" t="s">
        <v>3333</v>
      </c>
      <c r="C297" s="8" t="s">
        <v>3334</v>
      </c>
      <c r="D297" s="8" t="s">
        <v>94</v>
      </c>
      <c r="E297" s="8" t="s">
        <v>95</v>
      </c>
      <c r="F297" s="9"/>
      <c r="G297" s="8" t="s">
        <v>3335</v>
      </c>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t="str">
        <f t="shared" si="30"/>
        <v/>
      </c>
      <c r="AK297" s="8"/>
      <c r="AL297" s="8"/>
      <c r="AM297" s="8" t="s">
        <v>1477</v>
      </c>
      <c r="AN297" s="8" t="s">
        <v>3336</v>
      </c>
      <c r="AO297" s="9"/>
      <c r="AP297" s="9"/>
      <c r="AQ297" s="9"/>
      <c r="AR297" s="8" t="s">
        <v>1479</v>
      </c>
      <c r="AS297" s="8" t="s">
        <v>1480</v>
      </c>
      <c r="AT297" s="9"/>
      <c r="AU297" s="8" t="s">
        <v>3337</v>
      </c>
      <c r="AV297" s="8" t="s">
        <v>108</v>
      </c>
      <c r="AW297" s="9"/>
      <c r="AX297" s="9"/>
      <c r="AY297" s="8" t="s">
        <v>3184</v>
      </c>
      <c r="AZ297" s="8" t="b">
        <v>0</v>
      </c>
      <c r="BA297" s="8" t="s">
        <v>110</v>
      </c>
      <c r="BB297" s="9"/>
      <c r="BC297" s="9"/>
      <c r="BD297" s="9"/>
      <c r="BE297" s="8" t="s">
        <v>3338</v>
      </c>
      <c r="BF297" s="9"/>
      <c r="BG297" s="9"/>
      <c r="BH297" s="9"/>
      <c r="BI297" s="9"/>
      <c r="BJ297" s="9"/>
      <c r="BK297" s="9"/>
      <c r="BL297" s="9"/>
      <c r="BM297" s="9"/>
      <c r="BN297" s="9"/>
      <c r="BO297" s="9"/>
      <c r="BP297" s="9"/>
      <c r="BQ297" s="9"/>
      <c r="BR297" s="9"/>
      <c r="BS297" s="9"/>
      <c r="BT297" s="9"/>
      <c r="BU297" s="9"/>
      <c r="BV297" s="9"/>
      <c r="BW297" s="9"/>
      <c r="BX297" s="9"/>
      <c r="BY297" s="9"/>
      <c r="BZ297" s="9"/>
      <c r="CA297" s="9"/>
      <c r="CB297" s="8" t="s">
        <v>2667</v>
      </c>
      <c r="CC297" s="9"/>
      <c r="CD297" s="9"/>
      <c r="CE297" s="8" t="s">
        <v>366</v>
      </c>
      <c r="CF297" s="8" t="s">
        <v>3339</v>
      </c>
      <c r="CG297" s="9"/>
      <c r="CH297" s="9"/>
      <c r="CI297" s="9"/>
      <c r="CJ297" s="9"/>
      <c r="CK297" s="9"/>
      <c r="CL297" s="9"/>
      <c r="CM297" s="9"/>
      <c r="CN297" s="9"/>
      <c r="CO297" s="9"/>
      <c r="CP297" s="9"/>
    </row>
    <row r="298">
      <c r="A298" s="7" t="s">
        <v>3340</v>
      </c>
      <c r="B298" s="8" t="s">
        <v>3341</v>
      </c>
      <c r="C298" s="8" t="s">
        <v>3342</v>
      </c>
      <c r="D298" s="8" t="s">
        <v>94</v>
      </c>
      <c r="E298" s="8" t="s">
        <v>95</v>
      </c>
      <c r="F298" s="9"/>
      <c r="G298" s="8" t="s">
        <v>3343</v>
      </c>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t="str">
        <f t="shared" si="30"/>
        <v/>
      </c>
      <c r="AK298" s="8"/>
      <c r="AL298" s="8"/>
      <c r="AM298" s="8" t="s">
        <v>1477</v>
      </c>
      <c r="AN298" s="8" t="s">
        <v>3344</v>
      </c>
      <c r="AO298" s="9"/>
      <c r="AP298" s="9"/>
      <c r="AQ298" s="9"/>
      <c r="AR298" s="8" t="s">
        <v>1479</v>
      </c>
      <c r="AS298" s="8" t="s">
        <v>1480</v>
      </c>
      <c r="AT298" s="9"/>
      <c r="AU298" s="8" t="s">
        <v>3345</v>
      </c>
      <c r="AV298" s="8" t="s">
        <v>108</v>
      </c>
      <c r="AW298" s="9"/>
      <c r="AX298" s="9"/>
      <c r="AY298" s="8" t="s">
        <v>3184</v>
      </c>
      <c r="AZ298" s="8" t="b">
        <v>0</v>
      </c>
      <c r="BA298" s="8" t="s">
        <v>110</v>
      </c>
      <c r="BB298" s="9"/>
      <c r="BC298" s="9"/>
      <c r="BD298" s="9"/>
      <c r="BE298" s="8" t="s">
        <v>3346</v>
      </c>
      <c r="BF298" s="9"/>
      <c r="BG298" s="9"/>
      <c r="BH298" s="9"/>
      <c r="BI298" s="9"/>
      <c r="BJ298" s="9"/>
      <c r="BK298" s="9"/>
      <c r="BL298" s="9"/>
      <c r="BM298" s="9"/>
      <c r="BN298" s="9"/>
      <c r="BO298" s="9"/>
      <c r="BP298" s="9"/>
      <c r="BQ298" s="9"/>
      <c r="BR298" s="9"/>
      <c r="BS298" s="9"/>
      <c r="BT298" s="9"/>
      <c r="BU298" s="9"/>
      <c r="BV298" s="9"/>
      <c r="BW298" s="9"/>
      <c r="BX298" s="9"/>
      <c r="BY298" s="9"/>
      <c r="BZ298" s="9"/>
      <c r="CA298" s="9"/>
      <c r="CB298" s="8" t="s">
        <v>3347</v>
      </c>
      <c r="CC298" s="9"/>
      <c r="CD298" s="9"/>
      <c r="CE298" s="8" t="s">
        <v>366</v>
      </c>
      <c r="CF298" s="8" t="s">
        <v>3348</v>
      </c>
      <c r="CG298" s="9"/>
      <c r="CH298" s="9"/>
      <c r="CI298" s="9"/>
      <c r="CJ298" s="9"/>
      <c r="CK298" s="9"/>
      <c r="CL298" s="9"/>
      <c r="CM298" s="9"/>
      <c r="CN298" s="9"/>
      <c r="CO298" s="9"/>
      <c r="CP298" s="9"/>
    </row>
    <row r="299">
      <c r="A299" s="7" t="s">
        <v>3349</v>
      </c>
      <c r="B299" s="8" t="s">
        <v>3350</v>
      </c>
      <c r="C299" s="8" t="s">
        <v>3351</v>
      </c>
      <c r="D299" s="8" t="s">
        <v>94</v>
      </c>
      <c r="E299" s="8" t="s">
        <v>95</v>
      </c>
      <c r="F299" s="9"/>
      <c r="G299" s="8" t="s">
        <v>3352</v>
      </c>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t="str">
        <f t="shared" si="30"/>
        <v/>
      </c>
      <c r="AK299" s="8"/>
      <c r="AL299" s="8"/>
      <c r="AM299" s="8" t="s">
        <v>1477</v>
      </c>
      <c r="AN299" s="8" t="s">
        <v>3353</v>
      </c>
      <c r="AO299" s="9"/>
      <c r="AP299" s="9"/>
      <c r="AQ299" s="9"/>
      <c r="AR299" s="8" t="s">
        <v>1479</v>
      </c>
      <c r="AS299" s="8" t="s">
        <v>1480</v>
      </c>
      <c r="AT299" s="9"/>
      <c r="AU299" s="8" t="s">
        <v>3354</v>
      </c>
      <c r="AV299" s="8" t="s">
        <v>108</v>
      </c>
      <c r="AW299" s="9"/>
      <c r="AX299" s="9"/>
      <c r="AY299" s="8" t="s">
        <v>3184</v>
      </c>
      <c r="AZ299" s="8" t="b">
        <v>0</v>
      </c>
      <c r="BA299" s="8" t="s">
        <v>110</v>
      </c>
      <c r="BB299" s="9"/>
      <c r="BC299" s="9"/>
      <c r="BD299" s="9"/>
      <c r="BE299" s="8" t="s">
        <v>3355</v>
      </c>
      <c r="BF299" s="9"/>
      <c r="BG299" s="9"/>
      <c r="BH299" s="9"/>
      <c r="BI299" s="9"/>
      <c r="BJ299" s="9"/>
      <c r="BK299" s="9"/>
      <c r="BL299" s="9"/>
      <c r="BM299" s="9"/>
      <c r="BN299" s="9"/>
      <c r="BO299" s="9"/>
      <c r="BP299" s="9"/>
      <c r="BQ299" s="9"/>
      <c r="BR299" s="9"/>
      <c r="BS299" s="9"/>
      <c r="BT299" s="9"/>
      <c r="BU299" s="9"/>
      <c r="BV299" s="9"/>
      <c r="BW299" s="9"/>
      <c r="BX299" s="9"/>
      <c r="BY299" s="9"/>
      <c r="BZ299" s="9"/>
      <c r="CA299" s="9"/>
      <c r="CB299" s="8" t="s">
        <v>3356</v>
      </c>
      <c r="CC299" s="9"/>
      <c r="CD299" s="9"/>
      <c r="CE299" s="8" t="s">
        <v>366</v>
      </c>
      <c r="CF299" s="8" t="s">
        <v>3357</v>
      </c>
      <c r="CG299" s="9"/>
      <c r="CH299" s="9"/>
      <c r="CI299" s="9"/>
      <c r="CJ299" s="9"/>
      <c r="CK299" s="9"/>
      <c r="CL299" s="9"/>
      <c r="CM299" s="9"/>
      <c r="CN299" s="9"/>
      <c r="CO299" s="9"/>
      <c r="CP299" s="9"/>
    </row>
    <row r="300">
      <c r="A300" s="7" t="s">
        <v>3358</v>
      </c>
      <c r="B300" s="8" t="s">
        <v>3359</v>
      </c>
      <c r="C300" s="8" t="s">
        <v>3359</v>
      </c>
      <c r="D300" s="8" t="s">
        <v>94</v>
      </c>
      <c r="E300" s="8" t="s">
        <v>1546</v>
      </c>
      <c r="F300" s="9"/>
      <c r="G300" s="8" t="s">
        <v>3360</v>
      </c>
      <c r="H300" s="8"/>
      <c r="I300" s="8"/>
      <c r="J300" s="9"/>
      <c r="K300" s="9"/>
      <c r="L300" s="9"/>
      <c r="M300" s="9"/>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9"/>
      <c r="AN300" s="9"/>
      <c r="AO300" s="9"/>
      <c r="AP300" s="9"/>
      <c r="AQ300" s="9"/>
      <c r="AR300" s="9"/>
      <c r="AS300" s="9"/>
      <c r="AT300" s="9"/>
      <c r="AU300" s="8" t="s">
        <v>3361</v>
      </c>
      <c r="AV300" s="9"/>
      <c r="AW300" s="9"/>
      <c r="AX300" s="9"/>
      <c r="AY300" s="8" t="s">
        <v>3362</v>
      </c>
      <c r="AZ300" s="8" t="b">
        <v>0</v>
      </c>
      <c r="BA300" s="8" t="s">
        <v>190</v>
      </c>
      <c r="BB300" s="8" t="s">
        <v>191</v>
      </c>
      <c r="BC300" s="8" t="s">
        <v>3363</v>
      </c>
      <c r="BD300" s="9"/>
      <c r="BE300" s="8" t="s">
        <v>1356</v>
      </c>
      <c r="BF300" s="9"/>
      <c r="BG300" s="9"/>
      <c r="BH300" s="9"/>
      <c r="BI300" s="9"/>
      <c r="BJ300" s="9"/>
      <c r="BK300" s="8" t="s">
        <v>393</v>
      </c>
      <c r="BL300" s="9"/>
      <c r="BM300" s="9"/>
      <c r="BN300" s="9"/>
      <c r="BO300" s="9"/>
      <c r="BP300" s="9"/>
      <c r="BQ300" s="9"/>
      <c r="BR300" s="8" t="s">
        <v>193</v>
      </c>
      <c r="BS300" s="8" t="s">
        <v>194</v>
      </c>
      <c r="BT300" s="9"/>
      <c r="BU300" s="9"/>
      <c r="BV300" s="9"/>
      <c r="BW300" s="9"/>
      <c r="BX300" s="9"/>
      <c r="BY300" s="9"/>
      <c r="BZ300" s="9"/>
      <c r="CA300" s="9"/>
      <c r="CB300" s="8" t="s">
        <v>665</v>
      </c>
      <c r="CC300" s="9"/>
      <c r="CD300" s="9"/>
      <c r="CE300" s="8" t="s">
        <v>366</v>
      </c>
      <c r="CF300" s="8" t="s">
        <v>3364</v>
      </c>
      <c r="CG300" s="9"/>
      <c r="CH300" s="9"/>
      <c r="CI300" s="9"/>
      <c r="CJ300" s="9"/>
      <c r="CK300" s="9"/>
      <c r="CL300" s="9"/>
      <c r="CM300" s="9"/>
      <c r="CN300" s="9"/>
      <c r="CO300" s="9"/>
      <c r="CP300" s="9"/>
    </row>
    <row r="301">
      <c r="A301" s="7" t="s">
        <v>3365</v>
      </c>
      <c r="B301" s="8" t="s">
        <v>3366</v>
      </c>
      <c r="C301" s="8" t="s">
        <v>3367</v>
      </c>
      <c r="D301" s="8" t="s">
        <v>94</v>
      </c>
      <c r="E301" s="8" t="s">
        <v>95</v>
      </c>
      <c r="F301" s="9"/>
      <c r="G301" s="8" t="s">
        <v>3368</v>
      </c>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t="s">
        <v>105</v>
      </c>
      <c r="AN301" s="8" t="s">
        <v>3369</v>
      </c>
      <c r="AO301" s="9"/>
      <c r="AP301" s="9"/>
      <c r="AQ301" s="9"/>
      <c r="AR301" s="9"/>
      <c r="AS301" s="9"/>
      <c r="AT301" s="9"/>
      <c r="AU301" s="8" t="s">
        <v>3370</v>
      </c>
      <c r="AV301" s="8" t="s">
        <v>108</v>
      </c>
      <c r="AW301" s="9"/>
      <c r="AX301" s="9"/>
      <c r="AY301" s="8" t="s">
        <v>3362</v>
      </c>
      <c r="AZ301" s="8" t="b">
        <v>0</v>
      </c>
      <c r="BA301" s="8" t="s">
        <v>110</v>
      </c>
      <c r="BB301" s="8" t="s">
        <v>773</v>
      </c>
      <c r="BC301" s="9"/>
      <c r="BD301" s="9"/>
      <c r="BE301" s="8" t="s">
        <v>3371</v>
      </c>
      <c r="BF301" s="9"/>
      <c r="BG301" s="9"/>
      <c r="BH301" s="9"/>
      <c r="BI301" s="9"/>
      <c r="BJ301" s="9"/>
      <c r="BK301" s="9"/>
      <c r="BL301" s="9"/>
      <c r="BM301" s="9"/>
      <c r="BN301" s="9"/>
      <c r="BO301" s="9"/>
      <c r="BP301" s="9"/>
      <c r="BQ301" s="9"/>
      <c r="BR301" s="9"/>
      <c r="BS301" s="9"/>
      <c r="BT301" s="9"/>
      <c r="BU301" s="9"/>
      <c r="BV301" s="9"/>
      <c r="BW301" s="9"/>
      <c r="BX301" s="9"/>
      <c r="BY301" s="9"/>
      <c r="BZ301" s="9"/>
      <c r="CA301" s="9"/>
      <c r="CB301" s="8" t="s">
        <v>3372</v>
      </c>
      <c r="CC301" s="9"/>
      <c r="CD301" s="9"/>
      <c r="CE301" s="8" t="s">
        <v>115</v>
      </c>
      <c r="CF301" s="8" t="s">
        <v>3373</v>
      </c>
      <c r="CG301" s="9"/>
      <c r="CH301" s="9"/>
      <c r="CI301" s="9"/>
      <c r="CJ301" s="9"/>
      <c r="CK301" s="9"/>
      <c r="CL301" s="9"/>
      <c r="CM301" s="9"/>
      <c r="CN301" s="9"/>
      <c r="CO301" s="9"/>
      <c r="CP301" s="9"/>
    </row>
    <row r="302">
      <c r="A302" s="4" t="s">
        <v>3374</v>
      </c>
      <c r="B302" s="5" t="s">
        <v>3375</v>
      </c>
      <c r="C302" s="5" t="s">
        <v>3376</v>
      </c>
      <c r="D302" s="5" t="s">
        <v>94</v>
      </c>
      <c r="E302" s="5" t="s">
        <v>95</v>
      </c>
      <c r="F302" s="6"/>
      <c r="G302" s="5" t="s">
        <v>3377</v>
      </c>
      <c r="H302" s="5" t="s">
        <v>97</v>
      </c>
      <c r="I302" s="5" t="s">
        <v>928</v>
      </c>
      <c r="J302" s="5"/>
      <c r="K302" s="5"/>
      <c r="L302" s="5"/>
      <c r="M302" s="5" t="s">
        <v>3378</v>
      </c>
      <c r="N302" s="5" t="s">
        <v>100</v>
      </c>
      <c r="O302" s="5" t="s">
        <v>100</v>
      </c>
      <c r="P302" s="5" t="s">
        <v>100</v>
      </c>
      <c r="Q302" s="5"/>
      <c r="R302" s="5"/>
      <c r="S302" s="5" t="s">
        <v>100</v>
      </c>
      <c r="T302" s="5" t="s">
        <v>100</v>
      </c>
      <c r="U302" s="5" t="s">
        <v>100</v>
      </c>
      <c r="V302" s="5" t="s">
        <v>100</v>
      </c>
      <c r="W302" s="5" t="s">
        <v>100</v>
      </c>
      <c r="X302" s="5" t="s">
        <v>100</v>
      </c>
      <c r="Y302" s="5" t="s">
        <v>3379</v>
      </c>
      <c r="Z302" s="5" t="s">
        <v>100</v>
      </c>
      <c r="AA302" s="5"/>
      <c r="AB302" s="5" t="s">
        <v>100</v>
      </c>
      <c r="AC302" s="5" t="s">
        <v>100</v>
      </c>
      <c r="AD302" s="5" t="s">
        <v>100</v>
      </c>
      <c r="AE302" s="5" t="s">
        <v>100</v>
      </c>
      <c r="AF302" s="5" t="s">
        <v>100</v>
      </c>
      <c r="AG302" s="5" t="s">
        <v>100</v>
      </c>
      <c r="AH302" s="5" t="s">
        <v>359</v>
      </c>
      <c r="AI302" s="5" t="s">
        <v>3380</v>
      </c>
      <c r="AJ302" s="5" t="s">
        <v>3381</v>
      </c>
      <c r="AK302" s="5" t="s">
        <v>103</v>
      </c>
      <c r="AL302" s="5" t="s">
        <v>124</v>
      </c>
      <c r="AM302" s="5" t="s">
        <v>105</v>
      </c>
      <c r="AN302" s="5" t="s">
        <v>3382</v>
      </c>
      <c r="AO302" s="6"/>
      <c r="AP302" s="5" t="s">
        <v>899</v>
      </c>
      <c r="AQ302" s="6"/>
      <c r="AR302" s="6"/>
      <c r="AS302" s="6"/>
      <c r="AT302" s="6"/>
      <c r="AU302" s="5" t="s">
        <v>3383</v>
      </c>
      <c r="AV302" s="5" t="s">
        <v>108</v>
      </c>
      <c r="AW302" s="6"/>
      <c r="AX302" s="6"/>
      <c r="AY302" s="5" t="s">
        <v>3362</v>
      </c>
      <c r="AZ302" s="5" t="b">
        <v>0</v>
      </c>
      <c r="BA302" s="5" t="s">
        <v>110</v>
      </c>
      <c r="BB302" s="5" t="s">
        <v>773</v>
      </c>
      <c r="BC302" s="6"/>
      <c r="BD302" s="6"/>
      <c r="BE302" s="5" t="s">
        <v>3384</v>
      </c>
      <c r="BF302" s="6"/>
      <c r="BG302" s="6"/>
      <c r="BH302" s="6"/>
      <c r="BI302" s="6"/>
      <c r="BJ302" s="6"/>
      <c r="BK302" s="6"/>
      <c r="BL302" s="6"/>
      <c r="BM302" s="6"/>
      <c r="BN302" s="6"/>
      <c r="BO302" s="6"/>
      <c r="BP302" s="6"/>
      <c r="BQ302" s="6"/>
      <c r="BR302" s="6"/>
      <c r="BS302" s="6"/>
      <c r="BT302" s="6"/>
      <c r="BU302" s="6"/>
      <c r="BV302" s="6"/>
      <c r="BW302" s="6"/>
      <c r="BX302" s="6"/>
      <c r="BY302" s="6"/>
      <c r="BZ302" s="6"/>
      <c r="CA302" s="6"/>
      <c r="CB302" s="5" t="s">
        <v>2363</v>
      </c>
      <c r="CC302" s="6"/>
      <c r="CD302" s="6"/>
      <c r="CE302" s="5" t="s">
        <v>115</v>
      </c>
      <c r="CF302" s="5" t="s">
        <v>3385</v>
      </c>
      <c r="CG302" s="6"/>
      <c r="CH302" s="6"/>
      <c r="CI302" s="6"/>
      <c r="CJ302" s="6"/>
      <c r="CK302" s="6"/>
      <c r="CL302" s="6"/>
      <c r="CM302" s="6"/>
      <c r="CN302" s="6"/>
      <c r="CO302" s="6"/>
      <c r="CP302" s="6"/>
    </row>
    <row r="303">
      <c r="A303" s="7" t="s">
        <v>3386</v>
      </c>
      <c r="B303" s="8" t="s">
        <v>3387</v>
      </c>
      <c r="C303" s="8" t="s">
        <v>3388</v>
      </c>
      <c r="D303" s="8" t="s">
        <v>94</v>
      </c>
      <c r="E303" s="8" t="s">
        <v>95</v>
      </c>
      <c r="F303" s="9"/>
      <c r="G303" s="8" t="s">
        <v>3389</v>
      </c>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t="str">
        <f t="shared" ref="AJ303:AJ317" si="31">CONCATENATE(J303,K303,L303,Q303,R303,X303,Y303,AA303,AG303)</f>
        <v/>
      </c>
      <c r="AK303" s="8"/>
      <c r="AL303" s="8"/>
      <c r="AM303" s="8" t="s">
        <v>105</v>
      </c>
      <c r="AN303" s="8" t="s">
        <v>3390</v>
      </c>
      <c r="AO303" s="9"/>
      <c r="AP303" s="9"/>
      <c r="AQ303" s="9"/>
      <c r="AR303" s="9"/>
      <c r="AS303" s="9"/>
      <c r="AT303" s="9"/>
      <c r="AU303" s="8" t="s">
        <v>3391</v>
      </c>
      <c r="AV303" s="8" t="s">
        <v>108</v>
      </c>
      <c r="AW303" s="9"/>
      <c r="AX303" s="9"/>
      <c r="AY303" s="8" t="s">
        <v>3362</v>
      </c>
      <c r="AZ303" s="8" t="b">
        <v>0</v>
      </c>
      <c r="BA303" s="8" t="s">
        <v>110</v>
      </c>
      <c r="BB303" s="8" t="s">
        <v>2774</v>
      </c>
      <c r="BC303" s="9"/>
      <c r="BD303" s="9"/>
      <c r="BE303" s="8" t="s">
        <v>3392</v>
      </c>
      <c r="BF303" s="9"/>
      <c r="BG303" s="9"/>
      <c r="BH303" s="9"/>
      <c r="BI303" s="9"/>
      <c r="BJ303" s="9"/>
      <c r="BK303" s="9"/>
      <c r="BL303" s="9"/>
      <c r="BM303" s="9"/>
      <c r="BN303" s="9"/>
      <c r="BO303" s="9"/>
      <c r="BP303" s="9"/>
      <c r="BQ303" s="9"/>
      <c r="BR303" s="9"/>
      <c r="BS303" s="9"/>
      <c r="BT303" s="9"/>
      <c r="BU303" s="9"/>
      <c r="BV303" s="9"/>
      <c r="BW303" s="9"/>
      <c r="BX303" s="9"/>
      <c r="BY303" s="9"/>
      <c r="BZ303" s="9"/>
      <c r="CA303" s="9"/>
      <c r="CB303" s="8" t="s">
        <v>3393</v>
      </c>
      <c r="CC303" s="9"/>
      <c r="CD303" s="9"/>
      <c r="CE303" s="8" t="s">
        <v>903</v>
      </c>
      <c r="CF303" s="8" t="s">
        <v>3394</v>
      </c>
      <c r="CG303" s="9"/>
      <c r="CH303" s="9"/>
      <c r="CI303" s="9"/>
      <c r="CJ303" s="9"/>
      <c r="CK303" s="9"/>
      <c r="CL303" s="9"/>
      <c r="CM303" s="9"/>
      <c r="CN303" s="9"/>
      <c r="CO303" s="9"/>
      <c r="CP303" s="9"/>
    </row>
    <row r="304">
      <c r="A304" s="7" t="s">
        <v>3395</v>
      </c>
      <c r="B304" s="8" t="s">
        <v>3396</v>
      </c>
      <c r="C304" s="8" t="s">
        <v>3397</v>
      </c>
      <c r="D304" s="8" t="s">
        <v>94</v>
      </c>
      <c r="E304" s="8" t="s">
        <v>95</v>
      </c>
      <c r="F304" s="9"/>
      <c r="G304" s="8" t="s">
        <v>3398</v>
      </c>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t="str">
        <f t="shared" si="31"/>
        <v/>
      </c>
      <c r="AK304" s="8"/>
      <c r="AL304" s="8"/>
      <c r="AM304" s="8" t="s">
        <v>105</v>
      </c>
      <c r="AN304" s="8" t="s">
        <v>3399</v>
      </c>
      <c r="AO304" s="9"/>
      <c r="AP304" s="8" t="s">
        <v>919</v>
      </c>
      <c r="AQ304" s="9"/>
      <c r="AR304" s="9"/>
      <c r="AS304" s="9"/>
      <c r="AT304" s="9"/>
      <c r="AU304" s="8" t="s">
        <v>3400</v>
      </c>
      <c r="AV304" s="8" t="s">
        <v>108</v>
      </c>
      <c r="AW304" s="9"/>
      <c r="AX304" s="9"/>
      <c r="AY304" s="8" t="s">
        <v>3362</v>
      </c>
      <c r="AZ304" s="8" t="b">
        <v>0</v>
      </c>
      <c r="BA304" s="8" t="s">
        <v>110</v>
      </c>
      <c r="BB304" s="8" t="s">
        <v>277</v>
      </c>
      <c r="BC304" s="9"/>
      <c r="BD304" s="9"/>
      <c r="BE304" s="8" t="s">
        <v>3401</v>
      </c>
      <c r="BF304" s="9"/>
      <c r="BG304" s="9"/>
      <c r="BH304" s="9"/>
      <c r="BI304" s="9"/>
      <c r="BJ304" s="9"/>
      <c r="BK304" s="9"/>
      <c r="BL304" s="9"/>
      <c r="BM304" s="9"/>
      <c r="BN304" s="9"/>
      <c r="BO304" s="9"/>
      <c r="BP304" s="9"/>
      <c r="BQ304" s="9"/>
      <c r="BR304" s="9"/>
      <c r="BS304" s="9"/>
      <c r="BT304" s="9"/>
      <c r="BU304" s="9"/>
      <c r="BV304" s="9"/>
      <c r="BW304" s="9"/>
      <c r="BX304" s="9"/>
      <c r="BY304" s="9"/>
      <c r="BZ304" s="9"/>
      <c r="CA304" s="9"/>
      <c r="CB304" s="8" t="s">
        <v>3402</v>
      </c>
      <c r="CC304" s="9"/>
      <c r="CD304" s="9"/>
      <c r="CE304" s="8" t="s">
        <v>115</v>
      </c>
      <c r="CF304" s="8" t="s">
        <v>3403</v>
      </c>
      <c r="CG304" s="9"/>
      <c r="CH304" s="9"/>
      <c r="CI304" s="9"/>
      <c r="CJ304" s="9"/>
      <c r="CK304" s="9"/>
      <c r="CL304" s="9"/>
      <c r="CM304" s="9"/>
      <c r="CN304" s="9"/>
      <c r="CO304" s="9"/>
      <c r="CP304" s="9"/>
    </row>
    <row r="305">
      <c r="A305" s="7" t="s">
        <v>3404</v>
      </c>
      <c r="B305" s="8" t="s">
        <v>3405</v>
      </c>
      <c r="C305" s="8" t="s">
        <v>3406</v>
      </c>
      <c r="D305" s="8" t="s">
        <v>94</v>
      </c>
      <c r="E305" s="8" t="s">
        <v>95</v>
      </c>
      <c r="F305" s="9"/>
      <c r="G305" s="8" t="s">
        <v>3407</v>
      </c>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t="str">
        <f t="shared" si="31"/>
        <v/>
      </c>
      <c r="AK305" s="8"/>
      <c r="AL305" s="8"/>
      <c r="AM305" s="8" t="s">
        <v>105</v>
      </c>
      <c r="AN305" s="8" t="s">
        <v>3382</v>
      </c>
      <c r="AO305" s="9"/>
      <c r="AP305" s="8" t="s">
        <v>713</v>
      </c>
      <c r="AQ305" s="9"/>
      <c r="AR305" s="9"/>
      <c r="AS305" s="9"/>
      <c r="AT305" s="9"/>
      <c r="AU305" s="8" t="s">
        <v>3408</v>
      </c>
      <c r="AV305" s="8" t="s">
        <v>108</v>
      </c>
      <c r="AW305" s="9"/>
      <c r="AX305" s="9"/>
      <c r="AY305" s="8" t="s">
        <v>3362</v>
      </c>
      <c r="AZ305" s="8" t="b">
        <v>0</v>
      </c>
      <c r="BA305" s="8" t="s">
        <v>110</v>
      </c>
      <c r="BB305" s="8" t="s">
        <v>773</v>
      </c>
      <c r="BC305" s="9"/>
      <c r="BD305" s="9"/>
      <c r="BE305" s="8" t="s">
        <v>3409</v>
      </c>
      <c r="BF305" s="9"/>
      <c r="BG305" s="9"/>
      <c r="BH305" s="9"/>
      <c r="BI305" s="9"/>
      <c r="BJ305" s="9"/>
      <c r="BK305" s="9"/>
      <c r="BL305" s="9"/>
      <c r="BM305" s="9"/>
      <c r="BN305" s="9"/>
      <c r="BO305" s="9"/>
      <c r="BP305" s="9"/>
      <c r="BQ305" s="9"/>
      <c r="BR305" s="9"/>
      <c r="BS305" s="9"/>
      <c r="BT305" s="9"/>
      <c r="BU305" s="9"/>
      <c r="BV305" s="9"/>
      <c r="BW305" s="9"/>
      <c r="BX305" s="9"/>
      <c r="BY305" s="9"/>
      <c r="BZ305" s="9"/>
      <c r="CA305" s="9"/>
      <c r="CB305" s="8" t="s">
        <v>3410</v>
      </c>
      <c r="CC305" s="9"/>
      <c r="CD305" s="9"/>
      <c r="CE305" s="8" t="s">
        <v>115</v>
      </c>
      <c r="CF305" s="8" t="s">
        <v>3411</v>
      </c>
      <c r="CG305" s="9"/>
      <c r="CH305" s="9"/>
      <c r="CI305" s="9"/>
      <c r="CJ305" s="9"/>
      <c r="CK305" s="9"/>
      <c r="CL305" s="9"/>
      <c r="CM305" s="9"/>
      <c r="CN305" s="9"/>
      <c r="CO305" s="9"/>
      <c r="CP305" s="9"/>
    </row>
    <row r="306">
      <c r="A306" s="7" t="s">
        <v>3412</v>
      </c>
      <c r="B306" s="8" t="s">
        <v>3413</v>
      </c>
      <c r="C306" s="8" t="s">
        <v>3414</v>
      </c>
      <c r="D306" s="8" t="s">
        <v>94</v>
      </c>
      <c r="E306" s="8" t="s">
        <v>95</v>
      </c>
      <c r="F306" s="9"/>
      <c r="G306" s="8" t="s">
        <v>3415</v>
      </c>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t="str">
        <f t="shared" si="31"/>
        <v/>
      </c>
      <c r="AK306" s="8"/>
      <c r="AL306" s="8"/>
      <c r="AM306" s="8" t="s">
        <v>1477</v>
      </c>
      <c r="AN306" s="8" t="s">
        <v>3416</v>
      </c>
      <c r="AO306" s="9"/>
      <c r="AP306" s="9"/>
      <c r="AQ306" s="9"/>
      <c r="AR306" s="8" t="s">
        <v>1479</v>
      </c>
      <c r="AS306" s="8" t="s">
        <v>1480</v>
      </c>
      <c r="AT306" s="9"/>
      <c r="AU306" s="8" t="s">
        <v>3417</v>
      </c>
      <c r="AV306" s="8" t="s">
        <v>108</v>
      </c>
      <c r="AW306" s="9"/>
      <c r="AX306" s="9"/>
      <c r="AY306" s="8" t="s">
        <v>3362</v>
      </c>
      <c r="AZ306" s="8" t="b">
        <v>0</v>
      </c>
      <c r="BA306" s="8" t="s">
        <v>110</v>
      </c>
      <c r="BB306" s="8" t="s">
        <v>3418</v>
      </c>
      <c r="BC306" s="9"/>
      <c r="BD306" s="9"/>
      <c r="BE306" s="8" t="s">
        <v>3419</v>
      </c>
      <c r="BF306" s="9"/>
      <c r="BG306" s="9"/>
      <c r="BH306" s="9"/>
      <c r="BI306" s="9"/>
      <c r="BJ306" s="9"/>
      <c r="BK306" s="9"/>
      <c r="BL306" s="9"/>
      <c r="BM306" s="9"/>
      <c r="BN306" s="9"/>
      <c r="BO306" s="9"/>
      <c r="BP306" s="9"/>
      <c r="BQ306" s="9"/>
      <c r="BR306" s="9"/>
      <c r="BS306" s="9"/>
      <c r="BT306" s="9"/>
      <c r="BU306" s="9"/>
      <c r="BV306" s="9"/>
      <c r="BW306" s="9"/>
      <c r="BX306" s="9"/>
      <c r="BY306" s="9"/>
      <c r="BZ306" s="9"/>
      <c r="CA306" s="9"/>
      <c r="CB306" s="8" t="s">
        <v>3420</v>
      </c>
      <c r="CC306" s="9"/>
      <c r="CD306" s="9"/>
      <c r="CE306" s="8" t="s">
        <v>366</v>
      </c>
      <c r="CF306" s="8" t="s">
        <v>3421</v>
      </c>
      <c r="CG306" s="9"/>
      <c r="CH306" s="9"/>
      <c r="CI306" s="9"/>
      <c r="CJ306" s="9"/>
      <c r="CK306" s="9"/>
      <c r="CL306" s="9"/>
      <c r="CM306" s="9"/>
      <c r="CN306" s="9"/>
      <c r="CO306" s="9"/>
      <c r="CP306" s="9"/>
    </row>
    <row r="307">
      <c r="A307" s="7" t="s">
        <v>3422</v>
      </c>
      <c r="B307" s="8" t="s">
        <v>3423</v>
      </c>
      <c r="C307" s="8" t="s">
        <v>3424</v>
      </c>
      <c r="D307" s="8" t="s">
        <v>94</v>
      </c>
      <c r="E307" s="8" t="s">
        <v>95</v>
      </c>
      <c r="F307" s="9"/>
      <c r="G307" s="8" t="s">
        <v>3425</v>
      </c>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t="str">
        <f t="shared" si="31"/>
        <v/>
      </c>
      <c r="AK307" s="8"/>
      <c r="AL307" s="8"/>
      <c r="AM307" s="8" t="s">
        <v>1477</v>
      </c>
      <c r="AN307" s="8" t="s">
        <v>3426</v>
      </c>
      <c r="AO307" s="9"/>
      <c r="AP307" s="9"/>
      <c r="AQ307" s="9"/>
      <c r="AR307" s="8" t="s">
        <v>1479</v>
      </c>
      <c r="AS307" s="8" t="s">
        <v>1480</v>
      </c>
      <c r="AT307" s="9"/>
      <c r="AU307" s="8" t="s">
        <v>3427</v>
      </c>
      <c r="AV307" s="9"/>
      <c r="AW307" s="9"/>
      <c r="AX307" s="9"/>
      <c r="AY307" s="8" t="s">
        <v>3362</v>
      </c>
      <c r="AZ307" s="8" t="b">
        <v>0</v>
      </c>
      <c r="BA307" s="8" t="s">
        <v>190</v>
      </c>
      <c r="BB307" s="8" t="s">
        <v>191</v>
      </c>
      <c r="BC307" s="9"/>
      <c r="BD307" s="9"/>
      <c r="BE307" s="8" t="s">
        <v>3428</v>
      </c>
      <c r="BF307" s="9"/>
      <c r="BG307" s="9"/>
      <c r="BH307" s="9"/>
      <c r="BI307" s="9"/>
      <c r="BJ307" s="9"/>
      <c r="BK307" s="8" t="s">
        <v>564</v>
      </c>
      <c r="BL307" s="9"/>
      <c r="BM307" s="9"/>
      <c r="BN307" s="9"/>
      <c r="BO307" s="9"/>
      <c r="BP307" s="9"/>
      <c r="BQ307" s="9"/>
      <c r="BR307" s="8" t="s">
        <v>193</v>
      </c>
      <c r="BS307" s="8" t="s">
        <v>194</v>
      </c>
      <c r="BT307" s="8" t="s">
        <v>1551</v>
      </c>
      <c r="BU307" s="9"/>
      <c r="BV307" s="9"/>
      <c r="BW307" s="9"/>
      <c r="BX307" s="9"/>
      <c r="BY307" s="9"/>
      <c r="BZ307" s="8" t="s">
        <v>100</v>
      </c>
      <c r="CA307" s="8" t="s">
        <v>100</v>
      </c>
      <c r="CB307" s="8" t="s">
        <v>2530</v>
      </c>
      <c r="CC307" s="9"/>
      <c r="CD307" s="9"/>
      <c r="CE307" s="8" t="s">
        <v>197</v>
      </c>
      <c r="CF307" s="8" t="s">
        <v>3429</v>
      </c>
      <c r="CG307" s="9"/>
      <c r="CH307" s="9"/>
      <c r="CI307" s="9"/>
      <c r="CJ307" s="9"/>
      <c r="CK307" s="9"/>
      <c r="CL307" s="9"/>
      <c r="CM307" s="9"/>
      <c r="CN307" s="9"/>
      <c r="CO307" s="9"/>
      <c r="CP307" s="9"/>
    </row>
    <row r="308">
      <c r="A308" s="7" t="s">
        <v>3430</v>
      </c>
      <c r="B308" s="8" t="s">
        <v>3431</v>
      </c>
      <c r="C308" s="8" t="s">
        <v>3432</v>
      </c>
      <c r="D308" s="8" t="s">
        <v>94</v>
      </c>
      <c r="E308" s="8" t="s">
        <v>95</v>
      </c>
      <c r="F308" s="9"/>
      <c r="G308" s="8" t="s">
        <v>3433</v>
      </c>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t="str">
        <f t="shared" si="31"/>
        <v/>
      </c>
      <c r="AK308" s="8"/>
      <c r="AL308" s="8"/>
      <c r="AM308" s="8" t="s">
        <v>1477</v>
      </c>
      <c r="AN308" s="8" t="s">
        <v>3434</v>
      </c>
      <c r="AO308" s="9"/>
      <c r="AP308" s="9"/>
      <c r="AQ308" s="9"/>
      <c r="AR308" s="8" t="s">
        <v>1479</v>
      </c>
      <c r="AS308" s="8" t="s">
        <v>1480</v>
      </c>
      <c r="AT308" s="9"/>
      <c r="AU308" s="8" t="s">
        <v>3435</v>
      </c>
      <c r="AV308" s="8" t="s">
        <v>108</v>
      </c>
      <c r="AW308" s="9"/>
      <c r="AX308" s="9"/>
      <c r="AY308" s="8" t="s">
        <v>3362</v>
      </c>
      <c r="AZ308" s="8" t="b">
        <v>0</v>
      </c>
      <c r="BA308" s="8" t="s">
        <v>110</v>
      </c>
      <c r="BB308" s="9"/>
      <c r="BC308" s="9"/>
      <c r="BD308" s="9"/>
      <c r="BE308" s="8" t="s">
        <v>3436</v>
      </c>
      <c r="BF308" s="9"/>
      <c r="BG308" s="9"/>
      <c r="BH308" s="9"/>
      <c r="BI308" s="9"/>
      <c r="BJ308" s="9"/>
      <c r="BK308" s="9"/>
      <c r="BL308" s="9"/>
      <c r="BM308" s="9"/>
      <c r="BN308" s="9"/>
      <c r="BO308" s="9"/>
      <c r="BP308" s="9"/>
      <c r="BQ308" s="9"/>
      <c r="BR308" s="9"/>
      <c r="BS308" s="9"/>
      <c r="BT308" s="9"/>
      <c r="BU308" s="9"/>
      <c r="BV308" s="9"/>
      <c r="BW308" s="9"/>
      <c r="BX308" s="9"/>
      <c r="BY308" s="9"/>
      <c r="BZ308" s="9"/>
      <c r="CA308" s="9"/>
      <c r="CB308" s="8" t="s">
        <v>3437</v>
      </c>
      <c r="CC308" s="9"/>
      <c r="CD308" s="9"/>
      <c r="CE308" s="8" t="s">
        <v>366</v>
      </c>
      <c r="CF308" s="8" t="s">
        <v>3438</v>
      </c>
      <c r="CG308" s="9"/>
      <c r="CH308" s="9"/>
      <c r="CI308" s="9"/>
      <c r="CJ308" s="9"/>
      <c r="CK308" s="9"/>
      <c r="CL308" s="9"/>
      <c r="CM308" s="9"/>
      <c r="CN308" s="9"/>
      <c r="CO308" s="9"/>
      <c r="CP308" s="9"/>
    </row>
    <row r="309">
      <c r="A309" s="7" t="s">
        <v>3439</v>
      </c>
      <c r="B309" s="8" t="s">
        <v>3440</v>
      </c>
      <c r="C309" s="8" t="s">
        <v>3441</v>
      </c>
      <c r="D309" s="8" t="s">
        <v>94</v>
      </c>
      <c r="E309" s="8" t="s">
        <v>95</v>
      </c>
      <c r="F309" s="9"/>
      <c r="G309" s="8" t="s">
        <v>3442</v>
      </c>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t="str">
        <f t="shared" si="31"/>
        <v/>
      </c>
      <c r="AK309" s="8"/>
      <c r="AL309" s="8"/>
      <c r="AM309" s="8" t="s">
        <v>1477</v>
      </c>
      <c r="AN309" s="8" t="s">
        <v>3443</v>
      </c>
      <c r="AO309" s="9"/>
      <c r="AP309" s="9"/>
      <c r="AQ309" s="9"/>
      <c r="AR309" s="8" t="s">
        <v>1479</v>
      </c>
      <c r="AS309" s="8" t="s">
        <v>1480</v>
      </c>
      <c r="AT309" s="9"/>
      <c r="AU309" s="8" t="s">
        <v>3444</v>
      </c>
      <c r="AV309" s="8" t="s">
        <v>108</v>
      </c>
      <c r="AW309" s="9"/>
      <c r="AX309" s="9"/>
      <c r="AY309" s="8" t="s">
        <v>3362</v>
      </c>
      <c r="AZ309" s="8" t="b">
        <v>0</v>
      </c>
      <c r="BA309" s="8" t="s">
        <v>110</v>
      </c>
      <c r="BB309" s="9"/>
      <c r="BC309" s="9"/>
      <c r="BD309" s="9"/>
      <c r="BE309" s="8" t="s">
        <v>401</v>
      </c>
      <c r="BF309" s="9"/>
      <c r="BG309" s="9"/>
      <c r="BH309" s="9"/>
      <c r="BI309" s="9"/>
      <c r="BJ309" s="9"/>
      <c r="BK309" s="9"/>
      <c r="BL309" s="9"/>
      <c r="BM309" s="9"/>
      <c r="BN309" s="9"/>
      <c r="BO309" s="9"/>
      <c r="BP309" s="9"/>
      <c r="BQ309" s="9"/>
      <c r="BR309" s="9"/>
      <c r="BS309" s="9"/>
      <c r="BT309" s="9"/>
      <c r="BU309" s="9"/>
      <c r="BV309" s="9"/>
      <c r="BW309" s="9"/>
      <c r="BX309" s="9"/>
      <c r="BY309" s="9"/>
      <c r="BZ309" s="9"/>
      <c r="CA309" s="9"/>
      <c r="CB309" s="8" t="s">
        <v>2995</v>
      </c>
      <c r="CC309" s="9"/>
      <c r="CD309" s="9"/>
      <c r="CE309" s="8" t="s">
        <v>197</v>
      </c>
      <c r="CF309" s="8" t="s">
        <v>3445</v>
      </c>
      <c r="CG309" s="9"/>
      <c r="CH309" s="9"/>
      <c r="CI309" s="9"/>
      <c r="CJ309" s="9"/>
      <c r="CK309" s="9"/>
      <c r="CL309" s="9"/>
      <c r="CM309" s="9"/>
      <c r="CN309" s="9"/>
      <c r="CO309" s="9"/>
      <c r="CP309" s="9"/>
    </row>
    <row r="310">
      <c r="A310" s="7" t="s">
        <v>3446</v>
      </c>
      <c r="B310" s="8" t="s">
        <v>3447</v>
      </c>
      <c r="C310" s="8" t="s">
        <v>3448</v>
      </c>
      <c r="D310" s="8" t="s">
        <v>94</v>
      </c>
      <c r="E310" s="8" t="s">
        <v>95</v>
      </c>
      <c r="F310" s="9"/>
      <c r="G310" s="8" t="s">
        <v>3449</v>
      </c>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t="str">
        <f t="shared" si="31"/>
        <v/>
      </c>
      <c r="AK310" s="8"/>
      <c r="AL310" s="8"/>
      <c r="AM310" s="8" t="s">
        <v>1477</v>
      </c>
      <c r="AN310" s="8" t="s">
        <v>3450</v>
      </c>
      <c r="AO310" s="9"/>
      <c r="AP310" s="9"/>
      <c r="AQ310" s="9"/>
      <c r="AR310" s="8" t="s">
        <v>1479</v>
      </c>
      <c r="AS310" s="8" t="s">
        <v>1480</v>
      </c>
      <c r="AT310" s="9"/>
      <c r="AU310" s="8" t="s">
        <v>3451</v>
      </c>
      <c r="AV310" s="8" t="s">
        <v>108</v>
      </c>
      <c r="AW310" s="9"/>
      <c r="AX310" s="9"/>
      <c r="AY310" s="8" t="s">
        <v>3362</v>
      </c>
      <c r="AZ310" s="8" t="b">
        <v>0</v>
      </c>
      <c r="BA310" s="8" t="s">
        <v>110</v>
      </c>
      <c r="BB310" s="9"/>
      <c r="BC310" s="9"/>
      <c r="BD310" s="9"/>
      <c r="BE310" s="8" t="s">
        <v>2255</v>
      </c>
      <c r="BF310" s="9"/>
      <c r="BG310" s="9"/>
      <c r="BH310" s="9"/>
      <c r="BI310" s="9"/>
      <c r="BJ310" s="9"/>
      <c r="BK310" s="9"/>
      <c r="BL310" s="9"/>
      <c r="BM310" s="9"/>
      <c r="BN310" s="9"/>
      <c r="BO310" s="9"/>
      <c r="BP310" s="9"/>
      <c r="BQ310" s="9"/>
      <c r="BR310" s="9"/>
      <c r="BS310" s="9"/>
      <c r="BT310" s="9"/>
      <c r="BU310" s="9"/>
      <c r="BV310" s="9"/>
      <c r="BW310" s="9"/>
      <c r="BX310" s="9"/>
      <c r="BY310" s="9"/>
      <c r="BZ310" s="9"/>
      <c r="CA310" s="9"/>
      <c r="CB310" s="8" t="s">
        <v>2995</v>
      </c>
      <c r="CC310" s="9"/>
      <c r="CD310" s="9"/>
      <c r="CE310" s="8" t="s">
        <v>366</v>
      </c>
      <c r="CF310" s="8" t="s">
        <v>3452</v>
      </c>
      <c r="CG310" s="9"/>
      <c r="CH310" s="9"/>
      <c r="CI310" s="9"/>
      <c r="CJ310" s="9"/>
      <c r="CK310" s="9"/>
      <c r="CL310" s="9"/>
      <c r="CM310" s="9"/>
      <c r="CN310" s="9"/>
      <c r="CO310" s="9"/>
      <c r="CP310" s="9"/>
    </row>
    <row r="311">
      <c r="A311" s="7" t="s">
        <v>3453</v>
      </c>
      <c r="B311" s="8" t="s">
        <v>3454</v>
      </c>
      <c r="C311" s="8" t="s">
        <v>3455</v>
      </c>
      <c r="D311" s="8" t="s">
        <v>94</v>
      </c>
      <c r="E311" s="8" t="s">
        <v>95</v>
      </c>
      <c r="F311" s="9"/>
      <c r="G311" s="8" t="s">
        <v>3456</v>
      </c>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t="str">
        <f t="shared" si="31"/>
        <v/>
      </c>
      <c r="AK311" s="8"/>
      <c r="AL311" s="8"/>
      <c r="AM311" s="8" t="s">
        <v>1477</v>
      </c>
      <c r="AN311" s="8" t="s">
        <v>3457</v>
      </c>
      <c r="AO311" s="9"/>
      <c r="AP311" s="9"/>
      <c r="AQ311" s="9"/>
      <c r="AR311" s="8" t="s">
        <v>1479</v>
      </c>
      <c r="AS311" s="8" t="s">
        <v>1480</v>
      </c>
      <c r="AT311" s="9"/>
      <c r="AU311" s="8" t="s">
        <v>3458</v>
      </c>
      <c r="AV311" s="8" t="s">
        <v>108</v>
      </c>
      <c r="AW311" s="9"/>
      <c r="AX311" s="9"/>
      <c r="AY311" s="8" t="s">
        <v>3362</v>
      </c>
      <c r="AZ311" s="8" t="b">
        <v>0</v>
      </c>
      <c r="BA311" s="8" t="s">
        <v>110</v>
      </c>
      <c r="BB311" s="9"/>
      <c r="BC311" s="9"/>
      <c r="BD311" s="9"/>
      <c r="BE311" s="8" t="s">
        <v>3459</v>
      </c>
      <c r="BF311" s="9"/>
      <c r="BG311" s="9"/>
      <c r="BH311" s="9"/>
      <c r="BI311" s="9"/>
      <c r="BJ311" s="9"/>
      <c r="BK311" s="9"/>
      <c r="BL311" s="9"/>
      <c r="BM311" s="9"/>
      <c r="BN311" s="9"/>
      <c r="BO311" s="9"/>
      <c r="BP311" s="9"/>
      <c r="BQ311" s="9"/>
      <c r="BR311" s="9"/>
      <c r="BS311" s="9"/>
      <c r="BT311" s="9"/>
      <c r="BU311" s="9"/>
      <c r="BV311" s="9"/>
      <c r="BW311" s="9"/>
      <c r="BX311" s="9"/>
      <c r="BY311" s="9"/>
      <c r="BZ311" s="9"/>
      <c r="CA311" s="9"/>
      <c r="CB311" s="8" t="s">
        <v>3347</v>
      </c>
      <c r="CC311" s="9"/>
      <c r="CD311" s="9"/>
      <c r="CE311" s="8" t="s">
        <v>197</v>
      </c>
      <c r="CF311" s="8" t="s">
        <v>3460</v>
      </c>
      <c r="CG311" s="9"/>
      <c r="CH311" s="9"/>
      <c r="CI311" s="9"/>
      <c r="CJ311" s="9"/>
      <c r="CK311" s="9"/>
      <c r="CL311" s="9"/>
      <c r="CM311" s="9"/>
      <c r="CN311" s="9"/>
      <c r="CO311" s="9"/>
      <c r="CP311" s="9"/>
    </row>
    <row r="312">
      <c r="A312" s="7" t="s">
        <v>3461</v>
      </c>
      <c r="B312" s="8" t="s">
        <v>3462</v>
      </c>
      <c r="C312" s="8" t="s">
        <v>3463</v>
      </c>
      <c r="D312" s="8" t="s">
        <v>94</v>
      </c>
      <c r="E312" s="8" t="s">
        <v>95</v>
      </c>
      <c r="F312" s="9"/>
      <c r="G312" s="8" t="s">
        <v>3464</v>
      </c>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t="str">
        <f t="shared" si="31"/>
        <v/>
      </c>
      <c r="AK312" s="8"/>
      <c r="AL312" s="8"/>
      <c r="AM312" s="8" t="s">
        <v>1477</v>
      </c>
      <c r="AN312" s="8" t="s">
        <v>3465</v>
      </c>
      <c r="AO312" s="9"/>
      <c r="AP312" s="9"/>
      <c r="AQ312" s="9"/>
      <c r="AR312" s="8" t="s">
        <v>1479</v>
      </c>
      <c r="AS312" s="8" t="s">
        <v>1480</v>
      </c>
      <c r="AT312" s="9"/>
      <c r="AU312" s="8" t="s">
        <v>3466</v>
      </c>
      <c r="AV312" s="9"/>
      <c r="AW312" s="9"/>
      <c r="AX312" s="9"/>
      <c r="AY312" s="8" t="s">
        <v>3362</v>
      </c>
      <c r="AZ312" s="8" t="b">
        <v>0</v>
      </c>
      <c r="BA312" s="8" t="s">
        <v>190</v>
      </c>
      <c r="BB312" s="8" t="s">
        <v>191</v>
      </c>
      <c r="BC312" s="8" t="s">
        <v>1767</v>
      </c>
      <c r="BD312" s="9"/>
      <c r="BE312" s="8" t="s">
        <v>3436</v>
      </c>
      <c r="BF312" s="9"/>
      <c r="BG312" s="9"/>
      <c r="BH312" s="9"/>
      <c r="BI312" s="9"/>
      <c r="BJ312" s="9"/>
      <c r="BK312" s="9"/>
      <c r="BL312" s="9"/>
      <c r="BM312" s="9"/>
      <c r="BN312" s="9"/>
      <c r="BO312" s="9"/>
      <c r="BP312" s="9"/>
      <c r="BQ312" s="9"/>
      <c r="BR312" s="9"/>
      <c r="BS312" s="9"/>
      <c r="BT312" s="9"/>
      <c r="BU312" s="9"/>
      <c r="BV312" s="9"/>
      <c r="BW312" s="9"/>
      <c r="BX312" s="9"/>
      <c r="BY312" s="9"/>
      <c r="BZ312" s="9"/>
      <c r="CA312" s="9"/>
      <c r="CB312" s="8" t="s">
        <v>3467</v>
      </c>
      <c r="CC312" s="9"/>
      <c r="CD312" s="9"/>
      <c r="CE312" s="8" t="s">
        <v>366</v>
      </c>
      <c r="CF312" s="8" t="s">
        <v>3468</v>
      </c>
      <c r="CG312" s="9"/>
      <c r="CH312" s="9"/>
      <c r="CI312" s="9"/>
      <c r="CJ312" s="9"/>
      <c r="CK312" s="9"/>
      <c r="CL312" s="9"/>
      <c r="CM312" s="9"/>
      <c r="CN312" s="9"/>
      <c r="CO312" s="9"/>
      <c r="CP312" s="9"/>
    </row>
    <row r="313">
      <c r="A313" s="7" t="s">
        <v>3469</v>
      </c>
      <c r="B313" s="8" t="s">
        <v>3470</v>
      </c>
      <c r="C313" s="8" t="s">
        <v>3471</v>
      </c>
      <c r="D313" s="8" t="s">
        <v>94</v>
      </c>
      <c r="E313" s="8" t="s">
        <v>95</v>
      </c>
      <c r="F313" s="9"/>
      <c r="G313" s="8" t="s">
        <v>3472</v>
      </c>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t="str">
        <f t="shared" si="31"/>
        <v/>
      </c>
      <c r="AK313" s="8"/>
      <c r="AL313" s="8"/>
      <c r="AM313" s="8" t="s">
        <v>1477</v>
      </c>
      <c r="AN313" s="8" t="s">
        <v>3473</v>
      </c>
      <c r="AO313" s="9"/>
      <c r="AP313" s="9"/>
      <c r="AQ313" s="9"/>
      <c r="AR313" s="8" t="s">
        <v>1479</v>
      </c>
      <c r="AS313" s="8" t="s">
        <v>1480</v>
      </c>
      <c r="AT313" s="9"/>
      <c r="AU313" s="8" t="s">
        <v>3474</v>
      </c>
      <c r="AV313" s="8" t="s">
        <v>108</v>
      </c>
      <c r="AW313" s="9"/>
      <c r="AX313" s="9"/>
      <c r="AY313" s="8" t="s">
        <v>3362</v>
      </c>
      <c r="AZ313" s="8" t="b">
        <v>0</v>
      </c>
      <c r="BA313" s="8" t="s">
        <v>110</v>
      </c>
      <c r="BB313" s="9"/>
      <c r="BC313" s="9"/>
      <c r="BD313" s="9"/>
      <c r="BE313" s="8" t="s">
        <v>3475</v>
      </c>
      <c r="BF313" s="9"/>
      <c r="BG313" s="9"/>
      <c r="BH313" s="9"/>
      <c r="BI313" s="9"/>
      <c r="BJ313" s="9"/>
      <c r="BK313" s="9"/>
      <c r="BL313" s="9"/>
      <c r="BM313" s="9"/>
      <c r="BN313" s="9"/>
      <c r="BO313" s="9"/>
      <c r="BP313" s="9"/>
      <c r="BQ313" s="9"/>
      <c r="BR313" s="9"/>
      <c r="BS313" s="9"/>
      <c r="BT313" s="9"/>
      <c r="BU313" s="9"/>
      <c r="BV313" s="9"/>
      <c r="BW313" s="9"/>
      <c r="BX313" s="9"/>
      <c r="BY313" s="9"/>
      <c r="BZ313" s="9"/>
      <c r="CA313" s="9"/>
      <c r="CB313" s="8" t="s">
        <v>3467</v>
      </c>
      <c r="CC313" s="9"/>
      <c r="CD313" s="9"/>
      <c r="CE313" s="8" t="s">
        <v>366</v>
      </c>
      <c r="CF313" s="8" t="s">
        <v>3476</v>
      </c>
      <c r="CG313" s="9"/>
      <c r="CH313" s="9"/>
      <c r="CI313" s="9"/>
      <c r="CJ313" s="9"/>
      <c r="CK313" s="9"/>
      <c r="CL313" s="9"/>
      <c r="CM313" s="9"/>
      <c r="CN313" s="9"/>
      <c r="CO313" s="9"/>
      <c r="CP313" s="9"/>
    </row>
    <row r="314">
      <c r="A314" s="7" t="s">
        <v>3477</v>
      </c>
      <c r="B314" s="8" t="s">
        <v>3478</v>
      </c>
      <c r="C314" s="8" t="s">
        <v>3479</v>
      </c>
      <c r="D314" s="8" t="s">
        <v>94</v>
      </c>
      <c r="E314" s="8" t="s">
        <v>95</v>
      </c>
      <c r="F314" s="9"/>
      <c r="G314" s="8" t="s">
        <v>3480</v>
      </c>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t="str">
        <f t="shared" si="31"/>
        <v/>
      </c>
      <c r="AK314" s="8"/>
      <c r="AL314" s="8"/>
      <c r="AM314" s="8" t="s">
        <v>1477</v>
      </c>
      <c r="AN314" s="8" t="s">
        <v>3481</v>
      </c>
      <c r="AO314" s="9"/>
      <c r="AP314" s="9"/>
      <c r="AQ314" s="9"/>
      <c r="AR314" s="8" t="s">
        <v>1479</v>
      </c>
      <c r="AS314" s="8" t="s">
        <v>1480</v>
      </c>
      <c r="AT314" s="9"/>
      <c r="AU314" s="8" t="s">
        <v>3482</v>
      </c>
      <c r="AV314" s="8" t="s">
        <v>108</v>
      </c>
      <c r="AW314" s="9"/>
      <c r="AX314" s="9"/>
      <c r="AY314" s="8" t="s">
        <v>3362</v>
      </c>
      <c r="AZ314" s="8" t="b">
        <v>0</v>
      </c>
      <c r="BA314" s="8" t="s">
        <v>110</v>
      </c>
      <c r="BB314" s="9"/>
      <c r="BC314" s="9"/>
      <c r="BD314" s="9"/>
      <c r="BE314" s="8" t="s">
        <v>1823</v>
      </c>
      <c r="BF314" s="9"/>
      <c r="BG314" s="9"/>
      <c r="BH314" s="9"/>
      <c r="BI314" s="9"/>
      <c r="BJ314" s="9"/>
      <c r="BK314" s="9"/>
      <c r="BL314" s="9"/>
      <c r="BM314" s="9"/>
      <c r="BN314" s="9"/>
      <c r="BO314" s="9"/>
      <c r="BP314" s="9"/>
      <c r="BQ314" s="9"/>
      <c r="BR314" s="9"/>
      <c r="BS314" s="9"/>
      <c r="BT314" s="9"/>
      <c r="BU314" s="9"/>
      <c r="BV314" s="9"/>
      <c r="BW314" s="9"/>
      <c r="BX314" s="9"/>
      <c r="BY314" s="9"/>
      <c r="BZ314" s="9"/>
      <c r="CA314" s="9"/>
      <c r="CB314" s="8" t="s">
        <v>3483</v>
      </c>
      <c r="CC314" s="9"/>
      <c r="CD314" s="9"/>
      <c r="CE314" s="8" t="s">
        <v>366</v>
      </c>
      <c r="CF314" s="8" t="s">
        <v>3484</v>
      </c>
      <c r="CG314" s="9"/>
      <c r="CH314" s="9"/>
      <c r="CI314" s="9"/>
      <c r="CJ314" s="9"/>
      <c r="CK314" s="9"/>
      <c r="CL314" s="9"/>
      <c r="CM314" s="9"/>
      <c r="CN314" s="9"/>
      <c r="CO314" s="9"/>
      <c r="CP314" s="9"/>
    </row>
    <row r="315">
      <c r="A315" s="7" t="s">
        <v>3485</v>
      </c>
      <c r="B315" s="8" t="s">
        <v>3486</v>
      </c>
      <c r="C315" s="8" t="s">
        <v>3486</v>
      </c>
      <c r="D315" s="8" t="s">
        <v>354</v>
      </c>
      <c r="E315" s="8" t="s">
        <v>355</v>
      </c>
      <c r="F315" s="9"/>
      <c r="G315" s="8" t="s">
        <v>3487</v>
      </c>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t="str">
        <f t="shared" si="31"/>
        <v/>
      </c>
      <c r="AK315" s="8"/>
      <c r="AL315" s="8"/>
      <c r="AM315" s="8" t="s">
        <v>3488</v>
      </c>
      <c r="AN315" s="9"/>
      <c r="AO315" s="9"/>
      <c r="AP315" s="9"/>
      <c r="AQ315" s="9"/>
      <c r="AR315" s="9"/>
      <c r="AS315" s="9"/>
      <c r="AT315" s="9"/>
      <c r="AU315" s="8" t="s">
        <v>3489</v>
      </c>
      <c r="AV315" s="9"/>
      <c r="AW315" s="8" t="s">
        <v>1460</v>
      </c>
      <c r="AX315" s="8" t="s">
        <v>3490</v>
      </c>
      <c r="AY315" s="8" t="s">
        <v>3362</v>
      </c>
      <c r="AZ315" s="8" t="b">
        <v>0</v>
      </c>
      <c r="BA315" s="8" t="s">
        <v>190</v>
      </c>
      <c r="BB315" s="8" t="s">
        <v>3491</v>
      </c>
      <c r="BC315" s="9"/>
      <c r="BD315" s="9"/>
      <c r="BE315" s="8" t="s">
        <v>2881</v>
      </c>
      <c r="BF315" s="9"/>
      <c r="BG315" s="9"/>
      <c r="BH315" s="9"/>
      <c r="BI315" s="8" t="s">
        <v>3492</v>
      </c>
      <c r="BJ315" s="8" t="s">
        <v>240</v>
      </c>
      <c r="BK315" s="9"/>
      <c r="BL315" s="9"/>
      <c r="BM315" s="9"/>
      <c r="BN315" s="9"/>
      <c r="BO315" s="9"/>
      <c r="BP315" s="9"/>
      <c r="BQ315" s="9"/>
      <c r="BR315" s="8" t="s">
        <v>193</v>
      </c>
      <c r="BS315" s="8" t="s">
        <v>194</v>
      </c>
      <c r="BT315" s="8" t="s">
        <v>1769</v>
      </c>
      <c r="BU315" s="9"/>
      <c r="BV315" s="8" t="s">
        <v>3493</v>
      </c>
      <c r="BW315" s="9"/>
      <c r="BX315" s="9"/>
      <c r="BY315" s="9"/>
      <c r="BZ315" s="9"/>
      <c r="CA315" s="9"/>
      <c r="CB315" s="8" t="s">
        <v>3494</v>
      </c>
      <c r="CC315" s="9"/>
      <c r="CD315" s="9"/>
      <c r="CE315" s="8" t="s">
        <v>366</v>
      </c>
      <c r="CF315" s="8" t="s">
        <v>3495</v>
      </c>
      <c r="CG315" s="9"/>
      <c r="CH315" s="9"/>
      <c r="CI315" s="9"/>
      <c r="CJ315" s="9"/>
      <c r="CK315" s="9"/>
      <c r="CL315" s="9"/>
      <c r="CM315" s="9"/>
      <c r="CN315" s="9"/>
      <c r="CO315" s="9"/>
      <c r="CP315" s="9"/>
    </row>
    <row r="316">
      <c r="A316" s="7" t="s">
        <v>3496</v>
      </c>
      <c r="B316" s="8" t="s">
        <v>3497</v>
      </c>
      <c r="C316" s="8" t="s">
        <v>3498</v>
      </c>
      <c r="D316" s="8" t="s">
        <v>94</v>
      </c>
      <c r="E316" s="8" t="s">
        <v>95</v>
      </c>
      <c r="F316" s="9"/>
      <c r="G316" s="8" t="s">
        <v>3499</v>
      </c>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t="str">
        <f t="shared" si="31"/>
        <v/>
      </c>
      <c r="AK316" s="8"/>
      <c r="AL316" s="8"/>
      <c r="AM316" s="8" t="s">
        <v>3500</v>
      </c>
      <c r="AN316" s="8" t="s">
        <v>3501</v>
      </c>
      <c r="AO316" s="9"/>
      <c r="AP316" s="9"/>
      <c r="AQ316" s="9"/>
      <c r="AR316" s="9"/>
      <c r="AS316" s="9"/>
      <c r="AT316" s="9"/>
      <c r="AU316" s="8" t="s">
        <v>3502</v>
      </c>
      <c r="AV316" s="9"/>
      <c r="AW316" s="9"/>
      <c r="AX316" s="9"/>
      <c r="AY316" s="8" t="s">
        <v>3362</v>
      </c>
      <c r="AZ316" s="8" t="b">
        <v>0</v>
      </c>
      <c r="BA316" s="8" t="s">
        <v>190</v>
      </c>
      <c r="BB316" s="8" t="s">
        <v>191</v>
      </c>
      <c r="BC316" s="8" t="s">
        <v>1767</v>
      </c>
      <c r="BD316" s="9"/>
      <c r="BE316" s="8" t="s">
        <v>3503</v>
      </c>
      <c r="BF316" s="9"/>
      <c r="BG316" s="9"/>
      <c r="BH316" s="9"/>
      <c r="BI316" s="9"/>
      <c r="BJ316" s="9"/>
      <c r="BK316" s="9"/>
      <c r="BL316" s="9"/>
      <c r="BM316" s="8" t="s">
        <v>3504</v>
      </c>
      <c r="BN316" s="8" t="s">
        <v>3505</v>
      </c>
      <c r="BO316" s="9"/>
      <c r="BP316" s="9"/>
      <c r="BQ316" s="9"/>
      <c r="BR316" s="8" t="s">
        <v>193</v>
      </c>
      <c r="BS316" s="8" t="s">
        <v>194</v>
      </c>
      <c r="BT316" s="9"/>
      <c r="BU316" s="9"/>
      <c r="BV316" s="8" t="s">
        <v>3506</v>
      </c>
      <c r="BW316" s="9"/>
      <c r="BX316" s="9"/>
      <c r="BY316" s="9"/>
      <c r="BZ316" s="9"/>
      <c r="CA316" s="9"/>
      <c r="CB316" s="9"/>
      <c r="CC316" s="9"/>
      <c r="CD316" s="9"/>
      <c r="CE316" s="8" t="s">
        <v>115</v>
      </c>
      <c r="CF316" s="8" t="s">
        <v>3507</v>
      </c>
      <c r="CG316" s="9"/>
      <c r="CH316" s="9"/>
      <c r="CI316" s="9"/>
      <c r="CJ316" s="9"/>
      <c r="CK316" s="9"/>
      <c r="CL316" s="9"/>
      <c r="CM316" s="9"/>
      <c r="CN316" s="9"/>
      <c r="CO316" s="9"/>
      <c r="CP316" s="9"/>
    </row>
    <row r="317">
      <c r="A317" s="7" t="s">
        <v>3508</v>
      </c>
      <c r="B317" s="8" t="s">
        <v>3509</v>
      </c>
      <c r="C317" s="8" t="s">
        <v>3509</v>
      </c>
      <c r="D317" s="8" t="s">
        <v>354</v>
      </c>
      <c r="E317" s="8" t="s">
        <v>355</v>
      </c>
      <c r="F317" s="9"/>
      <c r="G317" s="8" t="s">
        <v>3510</v>
      </c>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t="str">
        <f t="shared" si="31"/>
        <v/>
      </c>
      <c r="AK317" s="8"/>
      <c r="AL317" s="8"/>
      <c r="AM317" s="8" t="s">
        <v>3511</v>
      </c>
      <c r="AN317" s="9"/>
      <c r="AO317" s="9"/>
      <c r="AP317" s="9"/>
      <c r="AQ317" s="9"/>
      <c r="AR317" s="9"/>
      <c r="AS317" s="9"/>
      <c r="AT317" s="9"/>
      <c r="AU317" s="8" t="s">
        <v>3512</v>
      </c>
      <c r="AV317" s="9"/>
      <c r="AW317" s="8" t="s">
        <v>197</v>
      </c>
      <c r="AX317" s="8" t="s">
        <v>197</v>
      </c>
      <c r="AY317" s="8" t="s">
        <v>3362</v>
      </c>
      <c r="AZ317" s="8" t="b">
        <v>0</v>
      </c>
      <c r="BA317" s="8" t="s">
        <v>190</v>
      </c>
      <c r="BB317" s="8" t="s">
        <v>3513</v>
      </c>
      <c r="BC317" s="9"/>
      <c r="BD317" s="9"/>
      <c r="BE317" s="8" t="s">
        <v>1549</v>
      </c>
      <c r="BF317" s="9"/>
      <c r="BG317" s="9"/>
      <c r="BH317" s="9"/>
      <c r="BI317" s="8" t="s">
        <v>3514</v>
      </c>
      <c r="BJ317" s="8" t="s">
        <v>3515</v>
      </c>
      <c r="BK317" s="9"/>
      <c r="BL317" s="9"/>
      <c r="BM317" s="9"/>
      <c r="BN317" s="9"/>
      <c r="BO317" s="9"/>
      <c r="BP317" s="9"/>
      <c r="BQ317" s="9"/>
      <c r="BR317" s="8" t="s">
        <v>1226</v>
      </c>
      <c r="BS317" s="8" t="s">
        <v>194</v>
      </c>
      <c r="BT317" s="9"/>
      <c r="BU317" s="9"/>
      <c r="BV317" s="8" t="s">
        <v>3516</v>
      </c>
      <c r="BW317" s="9"/>
      <c r="BX317" s="9"/>
      <c r="BY317" s="9"/>
      <c r="BZ317" s="9"/>
      <c r="CA317" s="9"/>
      <c r="CB317" s="8" t="s">
        <v>3517</v>
      </c>
      <c r="CC317" s="9"/>
      <c r="CD317" s="9"/>
      <c r="CE317" s="8" t="s">
        <v>366</v>
      </c>
      <c r="CF317" s="9"/>
      <c r="CG317" s="9"/>
      <c r="CH317" s="9"/>
      <c r="CI317" s="9"/>
      <c r="CJ317" s="9"/>
      <c r="CK317" s="9"/>
      <c r="CL317" s="9"/>
      <c r="CM317" s="9"/>
      <c r="CN317" s="9"/>
      <c r="CO317" s="9"/>
      <c r="CP317" s="9"/>
    </row>
    <row r="318">
      <c r="A318" s="4" t="s">
        <v>3518</v>
      </c>
      <c r="B318" s="5" t="s">
        <v>3519</v>
      </c>
      <c r="C318" s="5" t="s">
        <v>3520</v>
      </c>
      <c r="D318" s="5" t="s">
        <v>94</v>
      </c>
      <c r="E318" s="5" t="s">
        <v>95</v>
      </c>
      <c r="F318" s="6"/>
      <c r="G318" s="5" t="s">
        <v>3521</v>
      </c>
      <c r="H318" s="5" t="s">
        <v>97</v>
      </c>
      <c r="I318" s="5" t="s">
        <v>3522</v>
      </c>
      <c r="J318" s="5"/>
      <c r="K318" s="5"/>
      <c r="L318" s="5"/>
      <c r="M318" s="5" t="s">
        <v>100</v>
      </c>
      <c r="N318" s="5" t="s">
        <v>100</v>
      </c>
      <c r="O318" s="5" t="s">
        <v>100</v>
      </c>
      <c r="P318" s="5" t="s">
        <v>100</v>
      </c>
      <c r="Q318" s="5"/>
      <c r="R318" s="5"/>
      <c r="S318" s="5" t="s">
        <v>100</v>
      </c>
      <c r="T318" s="5" t="s">
        <v>100</v>
      </c>
      <c r="U318" s="5" t="s">
        <v>100</v>
      </c>
      <c r="V318" s="5" t="s">
        <v>100</v>
      </c>
      <c r="W318" s="5" t="s">
        <v>100</v>
      </c>
      <c r="X318" s="5" t="s">
        <v>100</v>
      </c>
      <c r="Y318" s="5" t="s">
        <v>359</v>
      </c>
      <c r="Z318" s="5" t="s">
        <v>100</v>
      </c>
      <c r="AA318" s="5"/>
      <c r="AB318" s="5" t="s">
        <v>100</v>
      </c>
      <c r="AC318" s="5" t="s">
        <v>100</v>
      </c>
      <c r="AD318" s="5" t="s">
        <v>100</v>
      </c>
      <c r="AE318" s="5" t="s">
        <v>100</v>
      </c>
      <c r="AF318" s="5" t="s">
        <v>100</v>
      </c>
      <c r="AG318" s="5" t="s">
        <v>100</v>
      </c>
      <c r="AH318" s="5" t="s">
        <v>3523</v>
      </c>
      <c r="AI318" s="5" t="s">
        <v>2757</v>
      </c>
      <c r="AJ318" s="5" t="s">
        <v>3524</v>
      </c>
      <c r="AK318" s="5" t="s">
        <v>103</v>
      </c>
      <c r="AL318" s="5" t="s">
        <v>103</v>
      </c>
      <c r="AM318" s="5" t="s">
        <v>105</v>
      </c>
      <c r="AN318" s="5" t="s">
        <v>3525</v>
      </c>
      <c r="AO318" s="6"/>
      <c r="AP318" s="5" t="s">
        <v>703</v>
      </c>
      <c r="AQ318" s="6"/>
      <c r="AR318" s="6"/>
      <c r="AS318" s="6"/>
      <c r="AT318" s="6"/>
      <c r="AU318" s="5" t="s">
        <v>3526</v>
      </c>
      <c r="AV318" s="5" t="s">
        <v>108</v>
      </c>
      <c r="AW318" s="6"/>
      <c r="AX318" s="6"/>
      <c r="AY318" s="5" t="s">
        <v>3527</v>
      </c>
      <c r="AZ318" s="5" t="b">
        <v>0</v>
      </c>
      <c r="BA318" s="5" t="s">
        <v>110</v>
      </c>
      <c r="BB318" s="5" t="s">
        <v>191</v>
      </c>
      <c r="BC318" s="6"/>
      <c r="BD318" s="5" t="s">
        <v>191</v>
      </c>
      <c r="BE318" s="5" t="s">
        <v>3528</v>
      </c>
      <c r="BF318" s="5" t="s">
        <v>94</v>
      </c>
      <c r="BG318" s="5" t="s">
        <v>95</v>
      </c>
      <c r="BH318" s="5" t="s">
        <v>3529</v>
      </c>
      <c r="BI318" s="6"/>
      <c r="BJ318" s="6"/>
      <c r="BK318" s="6"/>
      <c r="BL318" s="6"/>
      <c r="BM318" s="6"/>
      <c r="BN318" s="6"/>
      <c r="BO318" s="6"/>
      <c r="BP318" s="6"/>
      <c r="BQ318" s="6"/>
      <c r="BR318" s="6"/>
      <c r="BS318" s="6"/>
      <c r="BT318" s="6"/>
      <c r="BU318" s="6"/>
      <c r="BV318" s="6"/>
      <c r="BW318" s="6"/>
      <c r="BX318" s="6"/>
      <c r="BY318" s="6"/>
      <c r="BZ318" s="6"/>
      <c r="CA318" s="6"/>
      <c r="CB318" s="5" t="s">
        <v>2995</v>
      </c>
      <c r="CC318" s="6"/>
      <c r="CD318" s="6"/>
      <c r="CE318" s="5" t="s">
        <v>450</v>
      </c>
      <c r="CF318" s="5" t="s">
        <v>3530</v>
      </c>
      <c r="CG318" s="6"/>
      <c r="CH318" s="6"/>
      <c r="CI318" s="6"/>
      <c r="CJ318" s="6"/>
      <c r="CK318" s="6"/>
      <c r="CL318" s="6"/>
      <c r="CM318" s="6"/>
      <c r="CN318" s="6"/>
      <c r="CO318" s="6"/>
      <c r="CP318" s="6"/>
    </row>
    <row r="319">
      <c r="A319" s="7" t="s">
        <v>3531</v>
      </c>
      <c r="B319" s="8" t="s">
        <v>3532</v>
      </c>
      <c r="C319" s="8" t="s">
        <v>3533</v>
      </c>
      <c r="D319" s="8" t="s">
        <v>94</v>
      </c>
      <c r="E319" s="8" t="s">
        <v>95</v>
      </c>
      <c r="F319" s="9"/>
      <c r="G319" s="8" t="s">
        <v>3425</v>
      </c>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t="str">
        <f t="shared" ref="AJ319:AJ333" si="32">CONCATENATE(J319,K319,L319,Q319,R319,X319,Y319,AA319,AG319)</f>
        <v/>
      </c>
      <c r="AK319" s="8"/>
      <c r="AL319" s="8"/>
      <c r="AM319" s="8" t="s">
        <v>105</v>
      </c>
      <c r="AN319" s="8" t="s">
        <v>3534</v>
      </c>
      <c r="AO319" s="9"/>
      <c r="AP319" s="8" t="s">
        <v>3535</v>
      </c>
      <c r="AQ319" s="9"/>
      <c r="AR319" s="9"/>
      <c r="AS319" s="9"/>
      <c r="AT319" s="9"/>
      <c r="AU319" s="8" t="s">
        <v>3536</v>
      </c>
      <c r="AV319" s="9"/>
      <c r="AW319" s="9"/>
      <c r="AX319" s="9"/>
      <c r="AY319" s="8" t="s">
        <v>3527</v>
      </c>
      <c r="AZ319" s="8" t="b">
        <v>0</v>
      </c>
      <c r="BA319" s="8" t="s">
        <v>190</v>
      </c>
      <c r="BB319" s="8" t="s">
        <v>191</v>
      </c>
      <c r="BC319" s="9"/>
      <c r="BD319" s="9"/>
      <c r="BE319" s="8" t="s">
        <v>3537</v>
      </c>
      <c r="BF319" s="9"/>
      <c r="BG319" s="9"/>
      <c r="BH319" s="9"/>
      <c r="BI319" s="9"/>
      <c r="BJ319" s="9"/>
      <c r="BK319" s="9"/>
      <c r="BL319" s="9"/>
      <c r="BM319" s="9"/>
      <c r="BN319" s="9"/>
      <c r="BO319" s="9"/>
      <c r="BP319" s="9"/>
      <c r="BQ319" s="9"/>
      <c r="BR319" s="8" t="s">
        <v>193</v>
      </c>
      <c r="BS319" s="8" t="s">
        <v>194</v>
      </c>
      <c r="BT319" s="8" t="s">
        <v>1551</v>
      </c>
      <c r="BU319" s="9"/>
      <c r="BV319" s="8" t="s">
        <v>1893</v>
      </c>
      <c r="BW319" s="9"/>
      <c r="BX319" s="9"/>
      <c r="BY319" s="9"/>
      <c r="BZ319" s="9"/>
      <c r="CA319" s="9"/>
      <c r="CB319" s="8" t="s">
        <v>2530</v>
      </c>
      <c r="CC319" s="9"/>
      <c r="CD319" s="9"/>
      <c r="CE319" s="8" t="s">
        <v>450</v>
      </c>
      <c r="CF319" s="8" t="s">
        <v>3538</v>
      </c>
      <c r="CG319" s="9"/>
      <c r="CH319" s="9"/>
      <c r="CI319" s="9"/>
      <c r="CJ319" s="9"/>
      <c r="CK319" s="9"/>
      <c r="CL319" s="9"/>
      <c r="CM319" s="9"/>
      <c r="CN319" s="9"/>
      <c r="CO319" s="9"/>
      <c r="CP319" s="9"/>
    </row>
    <row r="320">
      <c r="A320" s="7" t="s">
        <v>3539</v>
      </c>
      <c r="B320" s="8" t="s">
        <v>3540</v>
      </c>
      <c r="C320" s="8" t="s">
        <v>3541</v>
      </c>
      <c r="D320" s="8" t="s">
        <v>94</v>
      </c>
      <c r="E320" s="8" t="s">
        <v>95</v>
      </c>
      <c r="F320" s="9"/>
      <c r="G320" s="8" t="s">
        <v>3542</v>
      </c>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t="str">
        <f t="shared" si="32"/>
        <v/>
      </c>
      <c r="AK320" s="8"/>
      <c r="AL320" s="8"/>
      <c r="AM320" s="8" t="s">
        <v>1477</v>
      </c>
      <c r="AN320" s="8" t="s">
        <v>3543</v>
      </c>
      <c r="AO320" s="9"/>
      <c r="AP320" s="9"/>
      <c r="AQ320" s="9"/>
      <c r="AR320" s="8" t="s">
        <v>1479</v>
      </c>
      <c r="AS320" s="8" t="s">
        <v>1480</v>
      </c>
      <c r="AT320" s="9"/>
      <c r="AU320" s="8" t="s">
        <v>3544</v>
      </c>
      <c r="AV320" s="8" t="s">
        <v>108</v>
      </c>
      <c r="AW320" s="9"/>
      <c r="AX320" s="9"/>
      <c r="AY320" s="8" t="s">
        <v>3527</v>
      </c>
      <c r="AZ320" s="8" t="b">
        <v>0</v>
      </c>
      <c r="BA320" s="8" t="s">
        <v>110</v>
      </c>
      <c r="BB320" s="8" t="s">
        <v>3418</v>
      </c>
      <c r="BC320" s="9"/>
      <c r="BD320" s="9"/>
      <c r="BE320" s="8" t="s">
        <v>3545</v>
      </c>
      <c r="BF320" s="9"/>
      <c r="BG320" s="9"/>
      <c r="BH320" s="9"/>
      <c r="BI320" s="9"/>
      <c r="BJ320" s="9"/>
      <c r="BK320" s="9"/>
      <c r="BL320" s="9"/>
      <c r="BM320" s="9"/>
      <c r="BN320" s="9"/>
      <c r="BO320" s="9"/>
      <c r="BP320" s="9"/>
      <c r="BQ320" s="9"/>
      <c r="BR320" s="9"/>
      <c r="BS320" s="9"/>
      <c r="BT320" s="9"/>
      <c r="BU320" s="9"/>
      <c r="BV320" s="9"/>
      <c r="BW320" s="9"/>
      <c r="BX320" s="9"/>
      <c r="BY320" s="9"/>
      <c r="BZ320" s="9"/>
      <c r="CA320" s="9"/>
      <c r="CB320" s="8" t="s">
        <v>2487</v>
      </c>
      <c r="CC320" s="9"/>
      <c r="CD320" s="9"/>
      <c r="CE320" s="8" t="s">
        <v>366</v>
      </c>
      <c r="CF320" s="8" t="s">
        <v>3546</v>
      </c>
      <c r="CG320" s="9"/>
      <c r="CH320" s="9"/>
      <c r="CI320" s="9"/>
      <c r="CJ320" s="9"/>
      <c r="CK320" s="9"/>
      <c r="CL320" s="9"/>
      <c r="CM320" s="9"/>
      <c r="CN320" s="9"/>
      <c r="CO320" s="9"/>
      <c r="CP320" s="9"/>
    </row>
    <row r="321">
      <c r="A321" s="7" t="s">
        <v>3547</v>
      </c>
      <c r="B321" s="8" t="s">
        <v>3548</v>
      </c>
      <c r="C321" s="8" t="s">
        <v>3549</v>
      </c>
      <c r="D321" s="8" t="s">
        <v>94</v>
      </c>
      <c r="E321" s="8" t="s">
        <v>95</v>
      </c>
      <c r="F321" s="9"/>
      <c r="G321" s="8" t="s">
        <v>3550</v>
      </c>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t="str">
        <f t="shared" si="32"/>
        <v/>
      </c>
      <c r="AK321" s="8"/>
      <c r="AL321" s="8"/>
      <c r="AM321" s="8" t="s">
        <v>1477</v>
      </c>
      <c r="AN321" s="8" t="s">
        <v>3551</v>
      </c>
      <c r="AO321" s="9"/>
      <c r="AP321" s="9"/>
      <c r="AQ321" s="9"/>
      <c r="AR321" s="8" t="s">
        <v>1479</v>
      </c>
      <c r="AS321" s="8" t="s">
        <v>1480</v>
      </c>
      <c r="AT321" s="9"/>
      <c r="AU321" s="8" t="s">
        <v>3552</v>
      </c>
      <c r="AV321" s="8" t="s">
        <v>108</v>
      </c>
      <c r="AW321" s="9"/>
      <c r="AX321" s="9"/>
      <c r="AY321" s="8" t="s">
        <v>3527</v>
      </c>
      <c r="AZ321" s="8" t="b">
        <v>0</v>
      </c>
      <c r="BA321" s="8" t="s">
        <v>110</v>
      </c>
      <c r="BB321" s="8" t="s">
        <v>1136</v>
      </c>
      <c r="BC321" s="9"/>
      <c r="BD321" s="9"/>
      <c r="BE321" s="8" t="s">
        <v>3553</v>
      </c>
      <c r="BF321" s="9"/>
      <c r="BG321" s="9"/>
      <c r="BH321" s="9"/>
      <c r="BI321" s="9"/>
      <c r="BJ321" s="9"/>
      <c r="BK321" s="9"/>
      <c r="BL321" s="9"/>
      <c r="BM321" s="9"/>
      <c r="BN321" s="9"/>
      <c r="BO321" s="9"/>
      <c r="BP321" s="9"/>
      <c r="BQ321" s="9"/>
      <c r="BR321" s="9"/>
      <c r="BS321" s="9"/>
      <c r="BT321" s="9"/>
      <c r="BU321" s="9"/>
      <c r="BV321" s="9"/>
      <c r="BW321" s="9"/>
      <c r="BX321" s="9"/>
      <c r="BY321" s="9"/>
      <c r="BZ321" s="9"/>
      <c r="CA321" s="9"/>
      <c r="CB321" s="8" t="s">
        <v>3554</v>
      </c>
      <c r="CC321" s="9"/>
      <c r="CD321" s="9"/>
      <c r="CE321" s="8" t="s">
        <v>366</v>
      </c>
      <c r="CF321" s="8" t="s">
        <v>3555</v>
      </c>
      <c r="CG321" s="9"/>
      <c r="CH321" s="9"/>
      <c r="CI321" s="9"/>
      <c r="CJ321" s="9"/>
      <c r="CK321" s="9"/>
      <c r="CL321" s="9"/>
      <c r="CM321" s="9"/>
      <c r="CN321" s="9"/>
      <c r="CO321" s="9"/>
      <c r="CP321" s="9"/>
    </row>
    <row r="322">
      <c r="A322" s="7" t="s">
        <v>3556</v>
      </c>
      <c r="B322" s="8" t="s">
        <v>3557</v>
      </c>
      <c r="C322" s="8" t="s">
        <v>3558</v>
      </c>
      <c r="D322" s="8" t="s">
        <v>94</v>
      </c>
      <c r="E322" s="8" t="s">
        <v>95</v>
      </c>
      <c r="F322" s="9"/>
      <c r="G322" s="8" t="s">
        <v>3559</v>
      </c>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t="str">
        <f t="shared" si="32"/>
        <v/>
      </c>
      <c r="AK322" s="8"/>
      <c r="AL322" s="8"/>
      <c r="AM322" s="8" t="s">
        <v>1477</v>
      </c>
      <c r="AN322" s="8" t="s">
        <v>3560</v>
      </c>
      <c r="AO322" s="9"/>
      <c r="AP322" s="9"/>
      <c r="AQ322" s="9"/>
      <c r="AR322" s="8" t="s">
        <v>1479</v>
      </c>
      <c r="AS322" s="8" t="s">
        <v>1480</v>
      </c>
      <c r="AT322" s="9"/>
      <c r="AU322" s="8" t="s">
        <v>3561</v>
      </c>
      <c r="AV322" s="8" t="s">
        <v>108</v>
      </c>
      <c r="AW322" s="9"/>
      <c r="AX322" s="9"/>
      <c r="AY322" s="8" t="s">
        <v>3527</v>
      </c>
      <c r="AZ322" s="8" t="b">
        <v>0</v>
      </c>
      <c r="BA322" s="8" t="s">
        <v>110</v>
      </c>
      <c r="BB322" s="9"/>
      <c r="BC322" s="9"/>
      <c r="BD322" s="9"/>
      <c r="BE322" s="8" t="s">
        <v>2693</v>
      </c>
      <c r="BF322" s="9"/>
      <c r="BG322" s="9"/>
      <c r="BH322" s="9"/>
      <c r="BI322" s="9"/>
      <c r="BJ322" s="9"/>
      <c r="BK322" s="9"/>
      <c r="BL322" s="9"/>
      <c r="BM322" s="9"/>
      <c r="BN322" s="9"/>
      <c r="BO322" s="9"/>
      <c r="BP322" s="9"/>
      <c r="BQ322" s="9"/>
      <c r="BR322" s="9"/>
      <c r="BS322" s="9"/>
      <c r="BT322" s="9"/>
      <c r="BU322" s="9"/>
      <c r="BV322" s="9"/>
      <c r="BW322" s="9"/>
      <c r="BX322" s="9"/>
      <c r="BY322" s="9"/>
      <c r="BZ322" s="9"/>
      <c r="CA322" s="9"/>
      <c r="CB322" s="8" t="s">
        <v>3562</v>
      </c>
      <c r="CC322" s="9"/>
      <c r="CD322" s="9"/>
      <c r="CE322" s="8" t="s">
        <v>366</v>
      </c>
      <c r="CF322" s="8" t="s">
        <v>3563</v>
      </c>
      <c r="CG322" s="9"/>
      <c r="CH322" s="9"/>
      <c r="CI322" s="9"/>
      <c r="CJ322" s="9"/>
      <c r="CK322" s="9"/>
      <c r="CL322" s="9"/>
      <c r="CM322" s="9"/>
      <c r="CN322" s="9"/>
      <c r="CO322" s="9"/>
      <c r="CP322" s="9"/>
    </row>
    <row r="323">
      <c r="A323" s="7" t="s">
        <v>3564</v>
      </c>
      <c r="B323" s="8" t="s">
        <v>3565</v>
      </c>
      <c r="C323" s="8" t="s">
        <v>3566</v>
      </c>
      <c r="D323" s="8" t="s">
        <v>94</v>
      </c>
      <c r="E323" s="8" t="s">
        <v>95</v>
      </c>
      <c r="F323" s="9"/>
      <c r="G323" s="8" t="s">
        <v>3567</v>
      </c>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t="str">
        <f t="shared" si="32"/>
        <v/>
      </c>
      <c r="AK323" s="8"/>
      <c r="AL323" s="8"/>
      <c r="AM323" s="8" t="s">
        <v>1477</v>
      </c>
      <c r="AN323" s="8" t="s">
        <v>3568</v>
      </c>
      <c r="AO323" s="9"/>
      <c r="AP323" s="9"/>
      <c r="AQ323" s="9"/>
      <c r="AR323" s="8" t="s">
        <v>1479</v>
      </c>
      <c r="AS323" s="8" t="s">
        <v>1480</v>
      </c>
      <c r="AT323" s="9"/>
      <c r="AU323" s="8" t="s">
        <v>3569</v>
      </c>
      <c r="AV323" s="8" t="s">
        <v>108</v>
      </c>
      <c r="AW323" s="9"/>
      <c r="AX323" s="9"/>
      <c r="AY323" s="8" t="s">
        <v>3527</v>
      </c>
      <c r="AZ323" s="8" t="b">
        <v>0</v>
      </c>
      <c r="BA323" s="8" t="s">
        <v>110</v>
      </c>
      <c r="BB323" s="9"/>
      <c r="BC323" s="9"/>
      <c r="BD323" s="9"/>
      <c r="BE323" s="8" t="s">
        <v>2693</v>
      </c>
      <c r="BF323" s="9"/>
      <c r="BG323" s="9"/>
      <c r="BH323" s="9"/>
      <c r="BI323" s="9"/>
      <c r="BJ323" s="9"/>
      <c r="BK323" s="9"/>
      <c r="BL323" s="9"/>
      <c r="BM323" s="9"/>
      <c r="BN323" s="9"/>
      <c r="BO323" s="9"/>
      <c r="BP323" s="9"/>
      <c r="BQ323" s="9"/>
      <c r="BR323" s="9"/>
      <c r="BS323" s="9"/>
      <c r="BT323" s="9"/>
      <c r="BU323" s="9"/>
      <c r="BV323" s="9"/>
      <c r="BW323" s="9"/>
      <c r="BX323" s="9"/>
      <c r="BY323" s="9"/>
      <c r="BZ323" s="9"/>
      <c r="CA323" s="9"/>
      <c r="CB323" s="8" t="s">
        <v>3562</v>
      </c>
      <c r="CC323" s="9"/>
      <c r="CD323" s="9"/>
      <c r="CE323" s="8" t="s">
        <v>366</v>
      </c>
      <c r="CF323" s="8" t="s">
        <v>3570</v>
      </c>
      <c r="CG323" s="9"/>
      <c r="CH323" s="9"/>
      <c r="CI323" s="9"/>
      <c r="CJ323" s="9"/>
      <c r="CK323" s="9"/>
      <c r="CL323" s="9"/>
      <c r="CM323" s="9"/>
      <c r="CN323" s="9"/>
      <c r="CO323" s="9"/>
      <c r="CP323" s="9"/>
    </row>
    <row r="324">
      <c r="A324" s="7" t="s">
        <v>3571</v>
      </c>
      <c r="B324" s="8" t="s">
        <v>3572</v>
      </c>
      <c r="C324" s="8" t="s">
        <v>3573</v>
      </c>
      <c r="D324" s="8" t="s">
        <v>94</v>
      </c>
      <c r="E324" s="8" t="s">
        <v>95</v>
      </c>
      <c r="F324" s="9"/>
      <c r="G324" s="8" t="s">
        <v>3574</v>
      </c>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t="str">
        <f t="shared" si="32"/>
        <v/>
      </c>
      <c r="AK324" s="8"/>
      <c r="AL324" s="8"/>
      <c r="AM324" s="8" t="s">
        <v>1477</v>
      </c>
      <c r="AN324" s="8" t="s">
        <v>3575</v>
      </c>
      <c r="AO324" s="9"/>
      <c r="AP324" s="9"/>
      <c r="AQ324" s="9"/>
      <c r="AR324" s="8" t="s">
        <v>1479</v>
      </c>
      <c r="AS324" s="8" t="s">
        <v>1480</v>
      </c>
      <c r="AT324" s="9"/>
      <c r="AU324" s="8" t="s">
        <v>3576</v>
      </c>
      <c r="AV324" s="8" t="s">
        <v>108</v>
      </c>
      <c r="AW324" s="9"/>
      <c r="AX324" s="9"/>
      <c r="AY324" s="8" t="s">
        <v>3527</v>
      </c>
      <c r="AZ324" s="8" t="b">
        <v>0</v>
      </c>
      <c r="BA324" s="8" t="s">
        <v>110</v>
      </c>
      <c r="BB324" s="9"/>
      <c r="BC324" s="9"/>
      <c r="BD324" s="9"/>
      <c r="BE324" s="8" t="s">
        <v>2567</v>
      </c>
      <c r="BF324" s="9"/>
      <c r="BG324" s="9"/>
      <c r="BH324" s="9"/>
      <c r="BI324" s="9"/>
      <c r="BJ324" s="9"/>
      <c r="BK324" s="9"/>
      <c r="BL324" s="9"/>
      <c r="BM324" s="9"/>
      <c r="BN324" s="9"/>
      <c r="BO324" s="9"/>
      <c r="BP324" s="9"/>
      <c r="BQ324" s="9"/>
      <c r="BR324" s="9"/>
      <c r="BS324" s="9"/>
      <c r="BT324" s="9"/>
      <c r="BU324" s="9"/>
      <c r="BV324" s="9"/>
      <c r="BW324" s="9"/>
      <c r="BX324" s="9"/>
      <c r="BY324" s="9"/>
      <c r="BZ324" s="9"/>
      <c r="CA324" s="9"/>
      <c r="CB324" s="8" t="s">
        <v>2995</v>
      </c>
      <c r="CC324" s="9"/>
      <c r="CD324" s="9"/>
      <c r="CE324" s="8" t="s">
        <v>366</v>
      </c>
      <c r="CF324" s="8" t="s">
        <v>3577</v>
      </c>
      <c r="CG324" s="9"/>
      <c r="CH324" s="9"/>
      <c r="CI324" s="9"/>
      <c r="CJ324" s="9"/>
      <c r="CK324" s="9"/>
      <c r="CL324" s="9"/>
      <c r="CM324" s="9"/>
      <c r="CN324" s="9"/>
      <c r="CO324" s="9"/>
      <c r="CP324" s="9"/>
    </row>
    <row r="325">
      <c r="A325" s="7" t="s">
        <v>3578</v>
      </c>
      <c r="B325" s="8" t="s">
        <v>3579</v>
      </c>
      <c r="C325" s="8" t="s">
        <v>3580</v>
      </c>
      <c r="D325" s="8" t="s">
        <v>94</v>
      </c>
      <c r="E325" s="8" t="s">
        <v>95</v>
      </c>
      <c r="F325" s="9"/>
      <c r="G325" s="8" t="s">
        <v>3581</v>
      </c>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t="str">
        <f t="shared" si="32"/>
        <v/>
      </c>
      <c r="AK325" s="8"/>
      <c r="AL325" s="8"/>
      <c r="AM325" s="8" t="s">
        <v>1477</v>
      </c>
      <c r="AN325" s="8" t="s">
        <v>3582</v>
      </c>
      <c r="AO325" s="9"/>
      <c r="AP325" s="9"/>
      <c r="AQ325" s="9"/>
      <c r="AR325" s="8" t="s">
        <v>1479</v>
      </c>
      <c r="AS325" s="8" t="s">
        <v>1480</v>
      </c>
      <c r="AT325" s="9"/>
      <c r="AU325" s="8" t="s">
        <v>3583</v>
      </c>
      <c r="AV325" s="8" t="s">
        <v>108</v>
      </c>
      <c r="AW325" s="9"/>
      <c r="AX325" s="9"/>
      <c r="AY325" s="8" t="s">
        <v>3527</v>
      </c>
      <c r="AZ325" s="8" t="b">
        <v>0</v>
      </c>
      <c r="BA325" s="8" t="s">
        <v>110</v>
      </c>
      <c r="BB325" s="9"/>
      <c r="BC325" s="9"/>
      <c r="BD325" s="9"/>
      <c r="BE325" s="8" t="s">
        <v>3584</v>
      </c>
      <c r="BF325" s="9"/>
      <c r="BG325" s="9"/>
      <c r="BH325" s="9"/>
      <c r="BI325" s="9"/>
      <c r="BJ325" s="9"/>
      <c r="BK325" s="9"/>
      <c r="BL325" s="9"/>
      <c r="BM325" s="9"/>
      <c r="BN325" s="9"/>
      <c r="BO325" s="9"/>
      <c r="BP325" s="9"/>
      <c r="BQ325" s="9"/>
      <c r="BR325" s="9"/>
      <c r="BS325" s="9"/>
      <c r="BT325" s="9"/>
      <c r="BU325" s="9"/>
      <c r="BV325" s="9"/>
      <c r="BW325" s="9"/>
      <c r="BX325" s="9"/>
      <c r="BY325" s="9"/>
      <c r="BZ325" s="9"/>
      <c r="CA325" s="9"/>
      <c r="CB325" s="8" t="s">
        <v>3585</v>
      </c>
      <c r="CC325" s="9"/>
      <c r="CD325" s="9"/>
      <c r="CE325" s="8" t="s">
        <v>366</v>
      </c>
      <c r="CF325" s="8" t="s">
        <v>3586</v>
      </c>
      <c r="CG325" s="9"/>
      <c r="CH325" s="9"/>
      <c r="CI325" s="9"/>
      <c r="CJ325" s="9"/>
      <c r="CK325" s="9"/>
      <c r="CL325" s="9"/>
      <c r="CM325" s="9"/>
      <c r="CN325" s="9"/>
      <c r="CO325" s="9"/>
      <c r="CP325" s="9"/>
    </row>
    <row r="326">
      <c r="A326" s="7" t="s">
        <v>3587</v>
      </c>
      <c r="B326" s="8" t="s">
        <v>3588</v>
      </c>
      <c r="C326" s="8" t="s">
        <v>3589</v>
      </c>
      <c r="D326" s="8" t="s">
        <v>94</v>
      </c>
      <c r="E326" s="8" t="s">
        <v>95</v>
      </c>
      <c r="F326" s="9"/>
      <c r="G326" s="8" t="s">
        <v>3590</v>
      </c>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t="str">
        <f t="shared" si="32"/>
        <v/>
      </c>
      <c r="AK326" s="8"/>
      <c r="AL326" s="8"/>
      <c r="AM326" s="8" t="s">
        <v>1477</v>
      </c>
      <c r="AN326" s="8" t="s">
        <v>3591</v>
      </c>
      <c r="AO326" s="9"/>
      <c r="AP326" s="9"/>
      <c r="AQ326" s="9"/>
      <c r="AR326" s="8" t="s">
        <v>1479</v>
      </c>
      <c r="AS326" s="8" t="s">
        <v>1480</v>
      </c>
      <c r="AT326" s="9"/>
      <c r="AU326" s="8" t="s">
        <v>3592</v>
      </c>
      <c r="AV326" s="8" t="s">
        <v>108</v>
      </c>
      <c r="AW326" s="9"/>
      <c r="AX326" s="9"/>
      <c r="AY326" s="8" t="s">
        <v>3527</v>
      </c>
      <c r="AZ326" s="8" t="b">
        <v>0</v>
      </c>
      <c r="BA326" s="8" t="s">
        <v>110</v>
      </c>
      <c r="BB326" s="9"/>
      <c r="BC326" s="9"/>
      <c r="BD326" s="9"/>
      <c r="BE326" s="8" t="s">
        <v>3593</v>
      </c>
      <c r="BF326" s="9"/>
      <c r="BG326" s="9"/>
      <c r="BH326" s="9"/>
      <c r="BI326" s="9"/>
      <c r="BJ326" s="9"/>
      <c r="BK326" s="9"/>
      <c r="BL326" s="9"/>
      <c r="BM326" s="9"/>
      <c r="BN326" s="9"/>
      <c r="BO326" s="9"/>
      <c r="BP326" s="9"/>
      <c r="BQ326" s="9"/>
      <c r="BR326" s="9"/>
      <c r="BS326" s="9"/>
      <c r="BT326" s="9"/>
      <c r="BU326" s="9"/>
      <c r="BV326" s="9"/>
      <c r="BW326" s="9"/>
      <c r="BX326" s="9"/>
      <c r="BY326" s="9"/>
      <c r="BZ326" s="9"/>
      <c r="CA326" s="9"/>
      <c r="CB326" s="8" t="s">
        <v>3594</v>
      </c>
      <c r="CC326" s="9"/>
      <c r="CD326" s="9"/>
      <c r="CE326" s="8" t="s">
        <v>366</v>
      </c>
      <c r="CF326" s="8" t="s">
        <v>3595</v>
      </c>
      <c r="CG326" s="9"/>
      <c r="CH326" s="9"/>
      <c r="CI326" s="9"/>
      <c r="CJ326" s="9"/>
      <c r="CK326" s="9"/>
      <c r="CL326" s="9"/>
      <c r="CM326" s="9"/>
      <c r="CN326" s="9"/>
      <c r="CO326" s="9"/>
      <c r="CP326" s="9"/>
    </row>
    <row r="327">
      <c r="A327" s="7" t="s">
        <v>3596</v>
      </c>
      <c r="B327" s="8" t="s">
        <v>3597</v>
      </c>
      <c r="C327" s="8" t="s">
        <v>3598</v>
      </c>
      <c r="D327" s="8" t="s">
        <v>94</v>
      </c>
      <c r="E327" s="8" t="s">
        <v>95</v>
      </c>
      <c r="F327" s="9"/>
      <c r="G327" s="8" t="s">
        <v>3599</v>
      </c>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t="str">
        <f t="shared" si="32"/>
        <v/>
      </c>
      <c r="AK327" s="8"/>
      <c r="AL327" s="8"/>
      <c r="AM327" s="8" t="s">
        <v>1477</v>
      </c>
      <c r="AN327" s="8" t="s">
        <v>3600</v>
      </c>
      <c r="AO327" s="9"/>
      <c r="AP327" s="9"/>
      <c r="AQ327" s="9"/>
      <c r="AR327" s="8" t="s">
        <v>1479</v>
      </c>
      <c r="AS327" s="8" t="s">
        <v>1480</v>
      </c>
      <c r="AT327" s="9"/>
      <c r="AU327" s="8" t="s">
        <v>3601</v>
      </c>
      <c r="AV327" s="8" t="s">
        <v>108</v>
      </c>
      <c r="AW327" s="9"/>
      <c r="AX327" s="9"/>
      <c r="AY327" s="8" t="s">
        <v>3527</v>
      </c>
      <c r="AZ327" s="8" t="b">
        <v>0</v>
      </c>
      <c r="BA327" s="8" t="s">
        <v>110</v>
      </c>
      <c r="BB327" s="9"/>
      <c r="BC327" s="9"/>
      <c r="BD327" s="9"/>
      <c r="BE327" s="8" t="s">
        <v>2728</v>
      </c>
      <c r="BF327" s="9"/>
      <c r="BG327" s="9"/>
      <c r="BH327" s="9"/>
      <c r="BI327" s="9"/>
      <c r="BJ327" s="9"/>
      <c r="BK327" s="9"/>
      <c r="BL327" s="9"/>
      <c r="BM327" s="9"/>
      <c r="BN327" s="9"/>
      <c r="BO327" s="9"/>
      <c r="BP327" s="9"/>
      <c r="BQ327" s="9"/>
      <c r="BR327" s="9"/>
      <c r="BS327" s="9"/>
      <c r="BT327" s="9"/>
      <c r="BU327" s="9"/>
      <c r="BV327" s="9"/>
      <c r="BW327" s="9"/>
      <c r="BX327" s="9"/>
      <c r="BY327" s="9"/>
      <c r="BZ327" s="9"/>
      <c r="CA327" s="9"/>
      <c r="CB327" s="8" t="s">
        <v>3602</v>
      </c>
      <c r="CC327" s="9"/>
      <c r="CD327" s="9"/>
      <c r="CE327" s="8" t="s">
        <v>197</v>
      </c>
      <c r="CF327" s="8" t="s">
        <v>3603</v>
      </c>
      <c r="CG327" s="9"/>
      <c r="CH327" s="9"/>
      <c r="CI327" s="9"/>
      <c r="CJ327" s="9"/>
      <c r="CK327" s="9"/>
      <c r="CL327" s="9"/>
      <c r="CM327" s="9"/>
      <c r="CN327" s="9"/>
      <c r="CO327" s="9"/>
      <c r="CP327" s="9"/>
    </row>
    <row r="328">
      <c r="A328" s="7" t="s">
        <v>3604</v>
      </c>
      <c r="B328" s="8" t="s">
        <v>3605</v>
      </c>
      <c r="C328" s="8" t="s">
        <v>3606</v>
      </c>
      <c r="D328" s="8" t="s">
        <v>94</v>
      </c>
      <c r="E328" s="8" t="s">
        <v>95</v>
      </c>
      <c r="F328" s="9"/>
      <c r="G328" s="8" t="s">
        <v>3607</v>
      </c>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t="str">
        <f t="shared" si="32"/>
        <v/>
      </c>
      <c r="AK328" s="8"/>
      <c r="AL328" s="8"/>
      <c r="AM328" s="8" t="s">
        <v>1477</v>
      </c>
      <c r="AN328" s="8" t="s">
        <v>3608</v>
      </c>
      <c r="AO328" s="9"/>
      <c r="AP328" s="9"/>
      <c r="AQ328" s="9"/>
      <c r="AR328" s="8" t="s">
        <v>1479</v>
      </c>
      <c r="AS328" s="8" t="s">
        <v>1480</v>
      </c>
      <c r="AT328" s="9"/>
      <c r="AU328" s="8" t="s">
        <v>3609</v>
      </c>
      <c r="AV328" s="8" t="s">
        <v>108</v>
      </c>
      <c r="AW328" s="9"/>
      <c r="AX328" s="9"/>
      <c r="AY328" s="8" t="s">
        <v>3527</v>
      </c>
      <c r="AZ328" s="8" t="b">
        <v>0</v>
      </c>
      <c r="BA328" s="8" t="s">
        <v>110</v>
      </c>
      <c r="BB328" s="9"/>
      <c r="BC328" s="9"/>
      <c r="BD328" s="9"/>
      <c r="BE328" s="8" t="s">
        <v>3610</v>
      </c>
      <c r="BF328" s="9"/>
      <c r="BG328" s="9"/>
      <c r="BH328" s="9"/>
      <c r="BI328" s="9"/>
      <c r="BJ328" s="9"/>
      <c r="BK328" s="9"/>
      <c r="BL328" s="9"/>
      <c r="BM328" s="9"/>
      <c r="BN328" s="9"/>
      <c r="BO328" s="9"/>
      <c r="BP328" s="9"/>
      <c r="BQ328" s="9"/>
      <c r="BR328" s="9"/>
      <c r="BS328" s="9"/>
      <c r="BT328" s="9"/>
      <c r="BU328" s="9"/>
      <c r="BV328" s="9"/>
      <c r="BW328" s="9"/>
      <c r="BX328" s="9"/>
      <c r="BY328" s="9"/>
      <c r="BZ328" s="9"/>
      <c r="CA328" s="9"/>
      <c r="CB328" s="8" t="s">
        <v>3602</v>
      </c>
      <c r="CC328" s="9"/>
      <c r="CD328" s="9"/>
      <c r="CE328" s="8" t="s">
        <v>450</v>
      </c>
      <c r="CF328" s="8" t="s">
        <v>3611</v>
      </c>
      <c r="CG328" s="9"/>
      <c r="CH328" s="9"/>
      <c r="CI328" s="9"/>
      <c r="CJ328" s="9"/>
      <c r="CK328" s="9"/>
      <c r="CL328" s="9"/>
      <c r="CM328" s="9"/>
      <c r="CN328" s="9"/>
      <c r="CO328" s="9"/>
      <c r="CP328" s="9"/>
    </row>
    <row r="329">
      <c r="A329" s="7" t="s">
        <v>3612</v>
      </c>
      <c r="B329" s="8" t="s">
        <v>3613</v>
      </c>
      <c r="C329" s="8" t="s">
        <v>3614</v>
      </c>
      <c r="D329" s="8" t="s">
        <v>94</v>
      </c>
      <c r="E329" s="8" t="s">
        <v>95</v>
      </c>
      <c r="F329" s="9"/>
      <c r="G329" s="8" t="s">
        <v>3615</v>
      </c>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t="str">
        <f t="shared" si="32"/>
        <v/>
      </c>
      <c r="AK329" s="8"/>
      <c r="AL329" s="8"/>
      <c r="AM329" s="8" t="s">
        <v>1477</v>
      </c>
      <c r="AN329" s="8" t="s">
        <v>3616</v>
      </c>
      <c r="AO329" s="9"/>
      <c r="AP329" s="9"/>
      <c r="AQ329" s="9"/>
      <c r="AR329" s="8" t="s">
        <v>1479</v>
      </c>
      <c r="AS329" s="8" t="s">
        <v>1480</v>
      </c>
      <c r="AT329" s="9"/>
      <c r="AU329" s="8" t="s">
        <v>3617</v>
      </c>
      <c r="AV329" s="8" t="s">
        <v>108</v>
      </c>
      <c r="AW329" s="9"/>
      <c r="AX329" s="9"/>
      <c r="AY329" s="8" t="s">
        <v>3527</v>
      </c>
      <c r="AZ329" s="8" t="b">
        <v>0</v>
      </c>
      <c r="BA329" s="8" t="s">
        <v>110</v>
      </c>
      <c r="BB329" s="9"/>
      <c r="BC329" s="9"/>
      <c r="BD329" s="9"/>
      <c r="BE329" s="8" t="s">
        <v>3618</v>
      </c>
      <c r="BF329" s="9"/>
      <c r="BG329" s="9"/>
      <c r="BH329" s="9"/>
      <c r="BI329" s="9"/>
      <c r="BJ329" s="9"/>
      <c r="BK329" s="9"/>
      <c r="BL329" s="9"/>
      <c r="BM329" s="9"/>
      <c r="BN329" s="9"/>
      <c r="BO329" s="9"/>
      <c r="BP329" s="9"/>
      <c r="BQ329" s="9"/>
      <c r="BR329" s="9"/>
      <c r="BS329" s="9"/>
      <c r="BT329" s="9"/>
      <c r="BU329" s="9"/>
      <c r="BV329" s="9"/>
      <c r="BW329" s="9"/>
      <c r="BX329" s="9"/>
      <c r="BY329" s="9"/>
      <c r="BZ329" s="9"/>
      <c r="CA329" s="9"/>
      <c r="CB329" s="8" t="s">
        <v>3602</v>
      </c>
      <c r="CC329" s="9"/>
      <c r="CD329" s="9"/>
      <c r="CE329" s="8" t="s">
        <v>366</v>
      </c>
      <c r="CF329" s="8" t="s">
        <v>3619</v>
      </c>
      <c r="CG329" s="9"/>
      <c r="CH329" s="9"/>
      <c r="CI329" s="9"/>
      <c r="CJ329" s="9"/>
      <c r="CK329" s="9"/>
      <c r="CL329" s="9"/>
      <c r="CM329" s="9"/>
      <c r="CN329" s="9"/>
      <c r="CO329" s="9"/>
      <c r="CP329" s="9"/>
    </row>
    <row r="330">
      <c r="A330" s="7" t="s">
        <v>3620</v>
      </c>
      <c r="B330" s="8" t="s">
        <v>3621</v>
      </c>
      <c r="C330" s="8" t="s">
        <v>3622</v>
      </c>
      <c r="D330" s="8" t="s">
        <v>94</v>
      </c>
      <c r="E330" s="8" t="s">
        <v>95</v>
      </c>
      <c r="F330" s="9"/>
      <c r="G330" s="8" t="s">
        <v>3623</v>
      </c>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t="str">
        <f t="shared" si="32"/>
        <v/>
      </c>
      <c r="AK330" s="8"/>
      <c r="AL330" s="8"/>
      <c r="AM330" s="8" t="s">
        <v>3624</v>
      </c>
      <c r="AN330" s="8" t="s">
        <v>1140</v>
      </c>
      <c r="AO330" s="9"/>
      <c r="AP330" s="9"/>
      <c r="AQ330" s="9"/>
      <c r="AR330" s="9"/>
      <c r="AS330" s="9"/>
      <c r="AT330" s="9"/>
      <c r="AU330" s="8" t="s">
        <v>3625</v>
      </c>
      <c r="AV330" s="9"/>
      <c r="AW330" s="9"/>
      <c r="AX330" s="9"/>
      <c r="AY330" s="8" t="s">
        <v>3527</v>
      </c>
      <c r="AZ330" s="8" t="b">
        <v>0</v>
      </c>
      <c r="BA330" s="8" t="s">
        <v>190</v>
      </c>
      <c r="BB330" s="8" t="s">
        <v>191</v>
      </c>
      <c r="BC330" s="9"/>
      <c r="BD330" s="9"/>
      <c r="BE330" s="8" t="s">
        <v>3626</v>
      </c>
      <c r="BF330" s="9"/>
      <c r="BG330" s="9"/>
      <c r="BH330" s="9"/>
      <c r="BI330" s="9"/>
      <c r="BJ330" s="9"/>
      <c r="BK330" s="9"/>
      <c r="BL330" s="9"/>
      <c r="BM330" s="9"/>
      <c r="BN330" s="9"/>
      <c r="BO330" s="9"/>
      <c r="BP330" s="9"/>
      <c r="BQ330" s="9"/>
      <c r="BR330" s="8" t="s">
        <v>193</v>
      </c>
      <c r="BS330" s="8" t="s">
        <v>194</v>
      </c>
      <c r="BT330" s="9"/>
      <c r="BU330" s="9"/>
      <c r="BV330" s="8" t="s">
        <v>3627</v>
      </c>
      <c r="BW330" s="9"/>
      <c r="BX330" s="9"/>
      <c r="BY330" s="8" t="s">
        <v>3628</v>
      </c>
      <c r="BZ330" s="9"/>
      <c r="CA330" s="9"/>
      <c r="CB330" s="8" t="s">
        <v>2667</v>
      </c>
      <c r="CC330" s="9"/>
      <c r="CD330" s="9"/>
      <c r="CE330" s="8" t="s">
        <v>197</v>
      </c>
      <c r="CF330" s="8" t="s">
        <v>3629</v>
      </c>
      <c r="CG330" s="9"/>
      <c r="CH330" s="9"/>
      <c r="CI330" s="9"/>
      <c r="CJ330" s="9"/>
      <c r="CK330" s="9"/>
      <c r="CL330" s="9"/>
      <c r="CM330" s="9"/>
      <c r="CN330" s="9"/>
      <c r="CO330" s="9"/>
      <c r="CP330" s="9"/>
    </row>
    <row r="331">
      <c r="A331" s="7" t="s">
        <v>3630</v>
      </c>
      <c r="B331" s="8" t="s">
        <v>3631</v>
      </c>
      <c r="C331" s="8" t="s">
        <v>3632</v>
      </c>
      <c r="D331" s="8" t="s">
        <v>94</v>
      </c>
      <c r="E331" s="8" t="s">
        <v>95</v>
      </c>
      <c r="F331" s="9"/>
      <c r="G331" s="8" t="s">
        <v>3633</v>
      </c>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t="str">
        <f t="shared" si="32"/>
        <v/>
      </c>
      <c r="AK331" s="8"/>
      <c r="AL331" s="8"/>
      <c r="AM331" s="8" t="s">
        <v>3500</v>
      </c>
      <c r="AN331" s="8" t="s">
        <v>3634</v>
      </c>
      <c r="AO331" s="9"/>
      <c r="AP331" s="9"/>
      <c r="AQ331" s="9"/>
      <c r="AR331" s="9"/>
      <c r="AS331" s="9"/>
      <c r="AT331" s="9"/>
      <c r="AU331" s="8" t="s">
        <v>3635</v>
      </c>
      <c r="AV331" s="9"/>
      <c r="AW331" s="9"/>
      <c r="AX331" s="9"/>
      <c r="AY331" s="8" t="s">
        <v>3527</v>
      </c>
      <c r="AZ331" s="8" t="b">
        <v>0</v>
      </c>
      <c r="BA331" s="8" t="s">
        <v>190</v>
      </c>
      <c r="BB331" s="8" t="s">
        <v>191</v>
      </c>
      <c r="BC331" s="8" t="s">
        <v>1767</v>
      </c>
      <c r="BD331" s="9"/>
      <c r="BE331" s="8" t="s">
        <v>3636</v>
      </c>
      <c r="BF331" s="9"/>
      <c r="BG331" s="9"/>
      <c r="BH331" s="9"/>
      <c r="BI331" s="8" t="s">
        <v>861</v>
      </c>
      <c r="BJ331" s="8" t="s">
        <v>3637</v>
      </c>
      <c r="BK331" s="9"/>
      <c r="BL331" s="9"/>
      <c r="BM331" s="8" t="s">
        <v>3638</v>
      </c>
      <c r="BN331" s="8" t="s">
        <v>3639</v>
      </c>
      <c r="BO331" s="9"/>
      <c r="BP331" s="9"/>
      <c r="BQ331" s="9"/>
      <c r="BR331" s="8" t="s">
        <v>193</v>
      </c>
      <c r="BS331" s="8" t="s">
        <v>194</v>
      </c>
      <c r="BT331" s="9"/>
      <c r="BU331" s="9"/>
      <c r="BV331" s="8" t="s">
        <v>3640</v>
      </c>
      <c r="BW331" s="9"/>
      <c r="BX331" s="9"/>
      <c r="BY331" s="9"/>
      <c r="BZ331" s="9"/>
      <c r="CA331" s="9"/>
      <c r="CB331" s="9"/>
      <c r="CC331" s="9"/>
      <c r="CD331" s="9"/>
      <c r="CE331" s="8" t="s">
        <v>115</v>
      </c>
      <c r="CF331" s="8" t="s">
        <v>3641</v>
      </c>
      <c r="CG331" s="9"/>
      <c r="CH331" s="9"/>
      <c r="CI331" s="9"/>
      <c r="CJ331" s="9"/>
      <c r="CK331" s="9"/>
      <c r="CL331" s="9"/>
      <c r="CM331" s="9"/>
      <c r="CN331" s="9"/>
      <c r="CO331" s="9"/>
      <c r="CP331" s="9"/>
    </row>
    <row r="332">
      <c r="A332" s="7" t="s">
        <v>3642</v>
      </c>
      <c r="B332" s="8" t="s">
        <v>3643</v>
      </c>
      <c r="C332" s="8" t="s">
        <v>3643</v>
      </c>
      <c r="D332" s="8" t="s">
        <v>94</v>
      </c>
      <c r="E332" s="8" t="s">
        <v>1546</v>
      </c>
      <c r="F332" s="9"/>
      <c r="G332" s="8" t="s">
        <v>3644</v>
      </c>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t="str">
        <f t="shared" si="32"/>
        <v/>
      </c>
      <c r="AK332" s="8"/>
      <c r="AL332" s="8"/>
      <c r="AM332" s="8" t="s">
        <v>3645</v>
      </c>
      <c r="AN332" s="8" t="s">
        <v>903</v>
      </c>
      <c r="AO332" s="9"/>
      <c r="AP332" s="9"/>
      <c r="AQ332" s="9"/>
      <c r="AR332" s="9"/>
      <c r="AS332" s="9"/>
      <c r="AT332" s="9"/>
      <c r="AU332" s="8" t="s">
        <v>3646</v>
      </c>
      <c r="AV332" s="9"/>
      <c r="AW332" s="9"/>
      <c r="AX332" s="9"/>
      <c r="AY332" s="8" t="s">
        <v>3527</v>
      </c>
      <c r="AZ332" s="8" t="b">
        <v>0</v>
      </c>
      <c r="BA332" s="8" t="s">
        <v>190</v>
      </c>
      <c r="BB332" s="8" t="s">
        <v>191</v>
      </c>
      <c r="BC332" s="8" t="s">
        <v>1767</v>
      </c>
      <c r="BD332" s="8" t="s">
        <v>3647</v>
      </c>
      <c r="BE332" s="8" t="s">
        <v>1356</v>
      </c>
      <c r="BF332" s="9"/>
      <c r="BG332" s="9"/>
      <c r="BH332" s="9"/>
      <c r="BI332" s="8" t="s">
        <v>115</v>
      </c>
      <c r="BJ332" s="8" t="s">
        <v>393</v>
      </c>
      <c r="BK332" s="8" t="s">
        <v>1221</v>
      </c>
      <c r="BL332" s="9"/>
      <c r="BM332" s="9"/>
      <c r="BN332" s="9"/>
      <c r="BO332" s="9"/>
      <c r="BP332" s="9"/>
      <c r="BQ332" s="9"/>
      <c r="BR332" s="8" t="s">
        <v>193</v>
      </c>
      <c r="BS332" s="8" t="s">
        <v>3648</v>
      </c>
      <c r="BT332" s="9"/>
      <c r="BU332" s="9"/>
      <c r="BV332" s="9"/>
      <c r="BW332" s="9"/>
      <c r="BX332" s="9"/>
      <c r="BY332" s="9"/>
      <c r="BZ332" s="8" t="s">
        <v>97</v>
      </c>
      <c r="CA332" s="8" t="s">
        <v>100</v>
      </c>
      <c r="CB332" s="8" t="s">
        <v>3649</v>
      </c>
      <c r="CC332" s="9"/>
      <c r="CD332" s="9"/>
      <c r="CE332" s="8" t="s">
        <v>197</v>
      </c>
      <c r="CF332" s="8" t="s">
        <v>3650</v>
      </c>
      <c r="CG332" s="9"/>
      <c r="CH332" s="9"/>
      <c r="CI332" s="9"/>
      <c r="CJ332" s="9"/>
      <c r="CK332" s="9"/>
      <c r="CL332" s="9"/>
      <c r="CM332" s="9"/>
      <c r="CN332" s="9"/>
      <c r="CO332" s="9"/>
      <c r="CP332" s="9"/>
    </row>
    <row r="333">
      <c r="A333" s="7" t="s">
        <v>3651</v>
      </c>
      <c r="B333" s="8" t="s">
        <v>3652</v>
      </c>
      <c r="C333" s="8" t="s">
        <v>3652</v>
      </c>
      <c r="D333" s="8" t="s">
        <v>94</v>
      </c>
      <c r="E333" s="8" t="s">
        <v>2557</v>
      </c>
      <c r="F333" s="9"/>
      <c r="G333" s="8" t="s">
        <v>3653</v>
      </c>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t="str">
        <f t="shared" si="32"/>
        <v/>
      </c>
      <c r="AK333" s="8"/>
      <c r="AL333" s="8"/>
      <c r="AM333" s="8" t="s">
        <v>133</v>
      </c>
      <c r="AN333" s="8" t="s">
        <v>3654</v>
      </c>
      <c r="AO333" s="9"/>
      <c r="AP333" s="9"/>
      <c r="AQ333" s="9"/>
      <c r="AR333" s="9"/>
      <c r="AS333" s="9"/>
      <c r="AT333" s="9"/>
      <c r="AU333" s="9"/>
      <c r="AV333" s="9"/>
      <c r="AW333" s="9"/>
      <c r="AX333" s="9"/>
      <c r="AY333" s="8" t="s">
        <v>3527</v>
      </c>
      <c r="AZ333" s="8" t="b">
        <v>0</v>
      </c>
      <c r="BA333" s="8" t="s">
        <v>190</v>
      </c>
      <c r="BB333" s="8" t="s">
        <v>3655</v>
      </c>
      <c r="BC333" s="8" t="s">
        <v>2845</v>
      </c>
      <c r="BD333" s="9"/>
      <c r="BE333" s="8" t="s">
        <v>3656</v>
      </c>
      <c r="BF333" s="9"/>
      <c r="BG333" s="9"/>
      <c r="BH333" s="9"/>
      <c r="BI333" s="9"/>
      <c r="BJ333" s="9"/>
      <c r="BK333" s="8" t="s">
        <v>679</v>
      </c>
      <c r="BL333" s="9"/>
      <c r="BM333" s="9"/>
      <c r="BN333" s="9"/>
      <c r="BO333" s="9"/>
      <c r="BP333" s="9"/>
      <c r="BQ333" s="9"/>
      <c r="BR333" s="8" t="s">
        <v>193</v>
      </c>
      <c r="BS333" s="8" t="s">
        <v>194</v>
      </c>
      <c r="BT333" s="9"/>
      <c r="BU333" s="9"/>
      <c r="BV333" s="8" t="s">
        <v>3657</v>
      </c>
      <c r="BW333" s="9"/>
      <c r="BX333" s="9"/>
      <c r="BY333" s="9"/>
      <c r="BZ333" s="9"/>
      <c r="CA333" s="9"/>
      <c r="CB333" s="8" t="s">
        <v>3658</v>
      </c>
      <c r="CC333" s="9"/>
      <c r="CD333" s="9"/>
      <c r="CE333" s="8" t="s">
        <v>115</v>
      </c>
      <c r="CF333" s="8" t="s">
        <v>3659</v>
      </c>
      <c r="CG333" s="9"/>
      <c r="CH333" s="9"/>
      <c r="CI333" s="9"/>
      <c r="CJ333" s="9"/>
      <c r="CK333" s="9"/>
      <c r="CL333" s="9"/>
      <c r="CM333" s="9"/>
      <c r="CN333" s="9"/>
      <c r="CO333" s="9"/>
      <c r="CP333" s="9"/>
    </row>
    <row r="334">
      <c r="A334" s="4" t="s">
        <v>3660</v>
      </c>
      <c r="B334" s="5" t="s">
        <v>1729</v>
      </c>
      <c r="C334" s="5" t="s">
        <v>3661</v>
      </c>
      <c r="D334" s="5" t="s">
        <v>94</v>
      </c>
      <c r="E334" s="5" t="s">
        <v>95</v>
      </c>
      <c r="F334" s="6"/>
      <c r="G334" s="5" t="s">
        <v>3662</v>
      </c>
      <c r="H334" s="5" t="s">
        <v>97</v>
      </c>
      <c r="I334" s="5" t="s">
        <v>928</v>
      </c>
      <c r="J334" s="5"/>
      <c r="K334" s="5"/>
      <c r="L334" s="5"/>
      <c r="M334" s="5" t="s">
        <v>3663</v>
      </c>
      <c r="N334" s="5" t="s">
        <v>100</v>
      </c>
      <c r="O334" s="5" t="s">
        <v>100</v>
      </c>
      <c r="P334" s="5" t="s">
        <v>100</v>
      </c>
      <c r="Q334" s="5"/>
      <c r="R334" s="5"/>
      <c r="S334" s="5" t="s">
        <v>100</v>
      </c>
      <c r="T334" s="5" t="s">
        <v>100</v>
      </c>
      <c r="U334" s="5" t="s">
        <v>100</v>
      </c>
      <c r="V334" s="5" t="s">
        <v>100</v>
      </c>
      <c r="W334" s="5"/>
      <c r="X334" s="5" t="s">
        <v>125</v>
      </c>
      <c r="Y334" s="5" t="s">
        <v>3664</v>
      </c>
      <c r="Z334" s="5" t="s">
        <v>100</v>
      </c>
      <c r="AA334" s="5"/>
      <c r="AB334" s="5" t="s">
        <v>100</v>
      </c>
      <c r="AC334" s="5" t="s">
        <v>100</v>
      </c>
      <c r="AD334" s="5" t="s">
        <v>100</v>
      </c>
      <c r="AE334" s="5" t="s">
        <v>100</v>
      </c>
      <c r="AF334" s="5" t="s">
        <v>100</v>
      </c>
      <c r="AG334" s="5" t="s">
        <v>100</v>
      </c>
      <c r="AH334" s="5" t="s">
        <v>3665</v>
      </c>
      <c r="AI334" s="5" t="s">
        <v>2757</v>
      </c>
      <c r="AJ334" s="5" t="s">
        <v>3666</v>
      </c>
      <c r="AK334" s="5" t="s">
        <v>103</v>
      </c>
      <c r="AL334" s="5" t="s">
        <v>103</v>
      </c>
      <c r="AM334" s="5" t="s">
        <v>105</v>
      </c>
      <c r="AN334" s="5" t="s">
        <v>3534</v>
      </c>
      <c r="AO334" s="6"/>
      <c r="AP334" s="5" t="s">
        <v>3667</v>
      </c>
      <c r="AQ334" s="6"/>
      <c r="AR334" s="6"/>
      <c r="AS334" s="6"/>
      <c r="AT334" s="6"/>
      <c r="AU334" s="5" t="s">
        <v>3668</v>
      </c>
      <c r="AV334" s="5" t="s">
        <v>108</v>
      </c>
      <c r="AW334" s="6"/>
      <c r="AX334" s="6"/>
      <c r="AY334" s="5" t="s">
        <v>3669</v>
      </c>
      <c r="AZ334" s="5" t="b">
        <v>0</v>
      </c>
      <c r="BA334" s="5" t="s">
        <v>110</v>
      </c>
      <c r="BB334" s="5" t="s">
        <v>277</v>
      </c>
      <c r="BC334" s="6"/>
      <c r="BD334" s="6"/>
      <c r="BE334" s="5" t="s">
        <v>3670</v>
      </c>
      <c r="BF334" s="6"/>
      <c r="BG334" s="6"/>
      <c r="BH334" s="6"/>
      <c r="BI334" s="6"/>
      <c r="BJ334" s="6"/>
      <c r="BK334" s="6"/>
      <c r="BL334" s="6"/>
      <c r="BM334" s="6"/>
      <c r="BN334" s="6"/>
      <c r="BO334" s="6"/>
      <c r="BP334" s="6"/>
      <c r="BQ334" s="6"/>
      <c r="BR334" s="6"/>
      <c r="BS334" s="6"/>
      <c r="BT334" s="6"/>
      <c r="BU334" s="6"/>
      <c r="BV334" s="6"/>
      <c r="BW334" s="6"/>
      <c r="BX334" s="6"/>
      <c r="BY334" s="6"/>
      <c r="BZ334" s="6"/>
      <c r="CA334" s="6"/>
      <c r="CB334" s="5" t="s">
        <v>2711</v>
      </c>
      <c r="CC334" s="6"/>
      <c r="CD334" s="6"/>
      <c r="CE334" s="5" t="s">
        <v>412</v>
      </c>
      <c r="CF334" s="5" t="s">
        <v>3671</v>
      </c>
      <c r="CG334" s="6"/>
      <c r="CH334" s="6"/>
      <c r="CI334" s="6"/>
      <c r="CJ334" s="6"/>
      <c r="CK334" s="6"/>
      <c r="CL334" s="6"/>
      <c r="CM334" s="6"/>
      <c r="CN334" s="6"/>
      <c r="CO334" s="6"/>
      <c r="CP334" s="6"/>
    </row>
    <row r="335">
      <c r="A335" s="4" t="s">
        <v>3672</v>
      </c>
      <c r="B335" s="5" t="s">
        <v>3673</v>
      </c>
      <c r="C335" s="5" t="s">
        <v>3674</v>
      </c>
      <c r="D335" s="5" t="s">
        <v>94</v>
      </c>
      <c r="E335" s="5" t="s">
        <v>95</v>
      </c>
      <c r="F335" s="6"/>
      <c r="G335" s="5" t="s">
        <v>3675</v>
      </c>
      <c r="H335" s="5" t="s">
        <v>97</v>
      </c>
      <c r="I335" s="5" t="s">
        <v>2751</v>
      </c>
      <c r="J335" s="5"/>
      <c r="K335" s="5"/>
      <c r="L335" s="5"/>
      <c r="M335" s="5" t="s">
        <v>100</v>
      </c>
      <c r="N335" s="5" t="s">
        <v>100</v>
      </c>
      <c r="O335" s="5" t="s">
        <v>100</v>
      </c>
      <c r="P335" s="5" t="s">
        <v>100</v>
      </c>
      <c r="Q335" s="5"/>
      <c r="R335" s="5"/>
      <c r="S335" s="5" t="s">
        <v>100</v>
      </c>
      <c r="T335" s="5" t="s">
        <v>3676</v>
      </c>
      <c r="U335" s="5" t="s">
        <v>100</v>
      </c>
      <c r="V335" s="5" t="s">
        <v>3677</v>
      </c>
      <c r="W335" s="5" t="s">
        <v>100</v>
      </c>
      <c r="X335" s="5" t="s">
        <v>2766</v>
      </c>
      <c r="Y335" s="5" t="s">
        <v>100</v>
      </c>
      <c r="Z335" s="5" t="s">
        <v>3678</v>
      </c>
      <c r="AA335" s="5"/>
      <c r="AB335" s="5" t="s">
        <v>100</v>
      </c>
      <c r="AC335" s="5" t="s">
        <v>100</v>
      </c>
      <c r="AD335" s="5" t="s">
        <v>100</v>
      </c>
      <c r="AE335" s="5" t="s">
        <v>100</v>
      </c>
      <c r="AF335" s="5" t="s">
        <v>100</v>
      </c>
      <c r="AG335" s="5" t="s">
        <v>100</v>
      </c>
      <c r="AH335" s="5" t="s">
        <v>3679</v>
      </c>
      <c r="AI335" s="5" t="s">
        <v>3680</v>
      </c>
      <c r="AJ335" s="5" t="s">
        <v>3681</v>
      </c>
      <c r="AK335" s="5" t="s">
        <v>103</v>
      </c>
      <c r="AL335" s="5" t="s">
        <v>124</v>
      </c>
      <c r="AM335" s="5" t="s">
        <v>105</v>
      </c>
      <c r="AN335" s="5" t="s">
        <v>3682</v>
      </c>
      <c r="AO335" s="6"/>
      <c r="AP335" s="6"/>
      <c r="AQ335" s="6"/>
      <c r="AR335" s="6"/>
      <c r="AS335" s="6"/>
      <c r="AT335" s="6"/>
      <c r="AU335" s="5" t="s">
        <v>3683</v>
      </c>
      <c r="AV335" s="6"/>
      <c r="AW335" s="6"/>
      <c r="AX335" s="6"/>
      <c r="AY335" s="5" t="s">
        <v>3669</v>
      </c>
      <c r="AZ335" s="5" t="b">
        <v>0</v>
      </c>
      <c r="BA335" s="5" t="s">
        <v>190</v>
      </c>
      <c r="BB335" s="5" t="s">
        <v>191</v>
      </c>
      <c r="BC335" s="6"/>
      <c r="BD335" s="6"/>
      <c r="BE335" s="5" t="s">
        <v>3684</v>
      </c>
      <c r="BF335" s="6"/>
      <c r="BG335" s="6"/>
      <c r="BH335" s="6"/>
      <c r="BI335" s="6"/>
      <c r="BJ335" s="6"/>
      <c r="BK335" s="6"/>
      <c r="BL335" s="6"/>
      <c r="BM335" s="6"/>
      <c r="BN335" s="6"/>
      <c r="BO335" s="6"/>
      <c r="BP335" s="6"/>
      <c r="BQ335" s="6"/>
      <c r="BR335" s="5" t="s">
        <v>193</v>
      </c>
      <c r="BS335" s="5" t="s">
        <v>194</v>
      </c>
      <c r="BT335" s="6"/>
      <c r="BU335" s="6"/>
      <c r="BV335" s="5" t="s">
        <v>3685</v>
      </c>
      <c r="BW335" s="6"/>
      <c r="BX335" s="6"/>
      <c r="BY335" s="6"/>
      <c r="BZ335" s="6"/>
      <c r="CA335" s="6"/>
      <c r="CB335" s="5" t="s">
        <v>3686</v>
      </c>
      <c r="CC335" s="6"/>
      <c r="CD335" s="6"/>
      <c r="CE335" s="5" t="s">
        <v>1605</v>
      </c>
      <c r="CF335" s="5" t="s">
        <v>3687</v>
      </c>
      <c r="CG335" s="6"/>
      <c r="CH335" s="6"/>
      <c r="CI335" s="6"/>
      <c r="CJ335" s="6"/>
      <c r="CK335" s="6"/>
      <c r="CL335" s="6"/>
      <c r="CM335" s="6"/>
      <c r="CN335" s="6"/>
      <c r="CO335" s="6"/>
      <c r="CP335" s="6"/>
    </row>
    <row r="336">
      <c r="A336" s="4" t="s">
        <v>3688</v>
      </c>
      <c r="B336" s="5" t="s">
        <v>3689</v>
      </c>
      <c r="C336" s="5" t="s">
        <v>3690</v>
      </c>
      <c r="D336" s="5" t="s">
        <v>94</v>
      </c>
      <c r="E336" s="5" t="s">
        <v>95</v>
      </c>
      <c r="F336" s="6"/>
      <c r="G336" s="5" t="s">
        <v>3691</v>
      </c>
      <c r="H336" s="5" t="s">
        <v>97</v>
      </c>
      <c r="I336" s="5" t="s">
        <v>3692</v>
      </c>
      <c r="J336" s="5"/>
      <c r="K336" s="5"/>
      <c r="L336" s="5"/>
      <c r="M336" s="5" t="s">
        <v>100</v>
      </c>
      <c r="N336" s="5" t="s">
        <v>100</v>
      </c>
      <c r="O336" s="5" t="s">
        <v>100</v>
      </c>
      <c r="P336" s="5" t="s">
        <v>100</v>
      </c>
      <c r="Q336" s="5"/>
      <c r="R336" s="5"/>
      <c r="S336" s="5" t="s">
        <v>100</v>
      </c>
      <c r="T336" s="5" t="s">
        <v>3693</v>
      </c>
      <c r="U336" s="5" t="s">
        <v>100</v>
      </c>
      <c r="V336" s="5" t="s">
        <v>99</v>
      </c>
      <c r="W336" s="5" t="s">
        <v>100</v>
      </c>
      <c r="X336" s="5" t="s">
        <v>100</v>
      </c>
      <c r="Y336" s="5" t="s">
        <v>3694</v>
      </c>
      <c r="Z336" s="5" t="s">
        <v>100</v>
      </c>
      <c r="AA336" s="5"/>
      <c r="AB336" s="5" t="s">
        <v>100</v>
      </c>
      <c r="AC336" s="5" t="s">
        <v>100</v>
      </c>
      <c r="AD336" s="5" t="s">
        <v>100</v>
      </c>
      <c r="AE336" s="5" t="s">
        <v>330</v>
      </c>
      <c r="AF336" s="5" t="s">
        <v>100</v>
      </c>
      <c r="AG336" s="5" t="s">
        <v>100</v>
      </c>
      <c r="AH336" s="5" t="s">
        <v>3695</v>
      </c>
      <c r="AI336" s="5" t="s">
        <v>3696</v>
      </c>
      <c r="AJ336" s="5" t="s">
        <v>3697</v>
      </c>
      <c r="AK336" s="5" t="s">
        <v>103</v>
      </c>
      <c r="AL336" s="5" t="s">
        <v>124</v>
      </c>
      <c r="AM336" s="5" t="s">
        <v>105</v>
      </c>
      <c r="AN336" s="5" t="s">
        <v>3698</v>
      </c>
      <c r="AO336" s="6"/>
      <c r="AP336" s="6"/>
      <c r="AQ336" s="6"/>
      <c r="AR336" s="6"/>
      <c r="AS336" s="6"/>
      <c r="AT336" s="6"/>
      <c r="AU336" s="5" t="s">
        <v>3699</v>
      </c>
      <c r="AV336" s="6"/>
      <c r="AW336" s="6"/>
      <c r="AX336" s="6"/>
      <c r="AY336" s="5" t="s">
        <v>3669</v>
      </c>
      <c r="AZ336" s="5" t="b">
        <v>0</v>
      </c>
      <c r="BA336" s="5" t="s">
        <v>190</v>
      </c>
      <c r="BB336" s="5" t="s">
        <v>191</v>
      </c>
      <c r="BC336" s="6"/>
      <c r="BD336" s="6"/>
      <c r="BE336" s="5" t="s">
        <v>3700</v>
      </c>
      <c r="BF336" s="6"/>
      <c r="BG336" s="6"/>
      <c r="BH336" s="6"/>
      <c r="BI336" s="6"/>
      <c r="BJ336" s="6"/>
      <c r="BK336" s="6"/>
      <c r="BL336" s="6"/>
      <c r="BM336" s="6"/>
      <c r="BN336" s="6"/>
      <c r="BO336" s="6"/>
      <c r="BP336" s="6"/>
      <c r="BQ336" s="6"/>
      <c r="BR336" s="5" t="s">
        <v>193</v>
      </c>
      <c r="BS336" s="5" t="s">
        <v>194</v>
      </c>
      <c r="BT336" s="6"/>
      <c r="BU336" s="5" t="s">
        <v>2316</v>
      </c>
      <c r="BV336" s="5" t="s">
        <v>2317</v>
      </c>
      <c r="BW336" s="6"/>
      <c r="BX336" s="6"/>
      <c r="BY336" s="6"/>
      <c r="BZ336" s="6"/>
      <c r="CA336" s="6"/>
      <c r="CB336" s="5" t="s">
        <v>3701</v>
      </c>
      <c r="CC336" s="6"/>
      <c r="CD336" s="6"/>
      <c r="CE336" s="5" t="s">
        <v>412</v>
      </c>
      <c r="CF336" s="5" t="s">
        <v>3702</v>
      </c>
      <c r="CG336" s="6"/>
      <c r="CH336" s="6"/>
      <c r="CI336" s="6"/>
      <c r="CJ336" s="6"/>
      <c r="CK336" s="6"/>
      <c r="CL336" s="6"/>
      <c r="CM336" s="6"/>
      <c r="CN336" s="6"/>
      <c r="CO336" s="6"/>
      <c r="CP336" s="6"/>
    </row>
    <row r="337">
      <c r="A337" s="4" t="s">
        <v>3703</v>
      </c>
      <c r="B337" s="5" t="s">
        <v>3704</v>
      </c>
      <c r="C337" s="5" t="s">
        <v>3705</v>
      </c>
      <c r="D337" s="5" t="s">
        <v>94</v>
      </c>
      <c r="E337" s="5" t="s">
        <v>95</v>
      </c>
      <c r="F337" s="6"/>
      <c r="G337" s="5" t="s">
        <v>3706</v>
      </c>
      <c r="H337" s="5" t="s">
        <v>97</v>
      </c>
      <c r="I337" s="5" t="s">
        <v>928</v>
      </c>
      <c r="J337" s="5"/>
      <c r="K337" s="5"/>
      <c r="L337" s="5"/>
      <c r="M337" s="5" t="s">
        <v>100</v>
      </c>
      <c r="N337" s="5" t="s">
        <v>100</v>
      </c>
      <c r="O337" s="5" t="s">
        <v>100</v>
      </c>
      <c r="P337" s="5" t="s">
        <v>100</v>
      </c>
      <c r="Q337" s="5"/>
      <c r="R337" s="5"/>
      <c r="S337" s="5" t="s">
        <v>100</v>
      </c>
      <c r="T337" s="5" t="s">
        <v>2766</v>
      </c>
      <c r="U337" s="5" t="s">
        <v>100</v>
      </c>
      <c r="V337" s="5" t="s">
        <v>2766</v>
      </c>
      <c r="W337" s="5" t="s">
        <v>100</v>
      </c>
      <c r="X337" s="5" t="s">
        <v>393</v>
      </c>
      <c r="Y337" s="5" t="s">
        <v>3707</v>
      </c>
      <c r="Z337" s="5" t="s">
        <v>100</v>
      </c>
      <c r="AA337" s="5"/>
      <c r="AB337" s="5" t="s">
        <v>100</v>
      </c>
      <c r="AC337" s="5" t="s">
        <v>100</v>
      </c>
      <c r="AD337" s="5" t="s">
        <v>100</v>
      </c>
      <c r="AE337" s="5" t="s">
        <v>100</v>
      </c>
      <c r="AF337" s="5" t="s">
        <v>100</v>
      </c>
      <c r="AG337" s="5" t="s">
        <v>100</v>
      </c>
      <c r="AH337" s="5" t="s">
        <v>3708</v>
      </c>
      <c r="AI337" s="5" t="s">
        <v>3709</v>
      </c>
      <c r="AJ337" s="5" t="s">
        <v>3710</v>
      </c>
      <c r="AK337" s="5" t="s">
        <v>103</v>
      </c>
      <c r="AL337" s="5" t="s">
        <v>124</v>
      </c>
      <c r="AM337" s="5" t="s">
        <v>105</v>
      </c>
      <c r="AN337" s="5" t="s">
        <v>3534</v>
      </c>
      <c r="AO337" s="6"/>
      <c r="AP337" s="5" t="s">
        <v>3303</v>
      </c>
      <c r="AQ337" s="6"/>
      <c r="AR337" s="6"/>
      <c r="AS337" s="6"/>
      <c r="AT337" s="6"/>
      <c r="AU337" s="5" t="s">
        <v>3711</v>
      </c>
      <c r="AV337" s="5" t="s">
        <v>108</v>
      </c>
      <c r="AW337" s="6"/>
      <c r="AX337" s="6"/>
      <c r="AY337" s="5" t="s">
        <v>3669</v>
      </c>
      <c r="AZ337" s="5" t="b">
        <v>0</v>
      </c>
      <c r="BA337" s="5" t="s">
        <v>110</v>
      </c>
      <c r="BB337" s="5" t="s">
        <v>277</v>
      </c>
      <c r="BC337" s="6"/>
      <c r="BD337" s="6"/>
      <c r="BE337" s="5" t="s">
        <v>3712</v>
      </c>
      <c r="BF337" s="6"/>
      <c r="BG337" s="6"/>
      <c r="BH337" s="6"/>
      <c r="BI337" s="6"/>
      <c r="BJ337" s="6"/>
      <c r="BK337" s="6"/>
      <c r="BL337" s="6"/>
      <c r="BM337" s="6"/>
      <c r="BN337" s="6"/>
      <c r="BO337" s="6"/>
      <c r="BP337" s="6"/>
      <c r="BQ337" s="6"/>
      <c r="BR337" s="6"/>
      <c r="BS337" s="6"/>
      <c r="BT337" s="6"/>
      <c r="BU337" s="6"/>
      <c r="BV337" s="6"/>
      <c r="BW337" s="6"/>
      <c r="BX337" s="6"/>
      <c r="BY337" s="6"/>
      <c r="BZ337" s="6"/>
      <c r="CA337" s="6"/>
      <c r="CB337" s="5" t="s">
        <v>3713</v>
      </c>
      <c r="CC337" s="6"/>
      <c r="CD337" s="6"/>
      <c r="CE337" s="5" t="s">
        <v>450</v>
      </c>
      <c r="CF337" s="5" t="s">
        <v>3714</v>
      </c>
      <c r="CG337" s="6"/>
      <c r="CH337" s="6"/>
      <c r="CI337" s="6"/>
      <c r="CJ337" s="6"/>
      <c r="CK337" s="6"/>
      <c r="CL337" s="6"/>
      <c r="CM337" s="6"/>
      <c r="CN337" s="6"/>
      <c r="CO337" s="6"/>
      <c r="CP337" s="6"/>
    </row>
    <row r="338">
      <c r="A338" s="4" t="s">
        <v>3715</v>
      </c>
      <c r="B338" s="5" t="s">
        <v>3716</v>
      </c>
      <c r="C338" s="5" t="s">
        <v>3717</v>
      </c>
      <c r="D338" s="5" t="s">
        <v>94</v>
      </c>
      <c r="E338" s="5" t="s">
        <v>95</v>
      </c>
      <c r="F338" s="6"/>
      <c r="G338" s="5" t="s">
        <v>3718</v>
      </c>
      <c r="H338" s="5" t="s">
        <v>97</v>
      </c>
      <c r="I338" s="5" t="s">
        <v>98</v>
      </c>
      <c r="J338" s="5"/>
      <c r="K338" s="5" t="s">
        <v>100</v>
      </c>
      <c r="L338" s="5" t="s">
        <v>100</v>
      </c>
      <c r="M338" s="5"/>
      <c r="N338" s="5"/>
      <c r="O338" s="5"/>
      <c r="P338" s="5"/>
      <c r="Q338" s="5" t="s">
        <v>100</v>
      </c>
      <c r="R338" s="5" t="s">
        <v>100</v>
      </c>
      <c r="S338" s="5"/>
      <c r="T338" s="5"/>
      <c r="U338" s="5"/>
      <c r="V338" s="5"/>
      <c r="W338" s="5"/>
      <c r="X338" s="5" t="s">
        <v>100</v>
      </c>
      <c r="Y338" s="5" t="s">
        <v>1221</v>
      </c>
      <c r="Z338" s="5"/>
      <c r="AA338" s="5" t="s">
        <v>100</v>
      </c>
      <c r="AB338" s="5"/>
      <c r="AC338" s="5"/>
      <c r="AD338" s="5"/>
      <c r="AE338" s="5"/>
      <c r="AF338" s="5"/>
      <c r="AG338" s="5" t="s">
        <v>100</v>
      </c>
      <c r="AH338" s="5" t="s">
        <v>100</v>
      </c>
      <c r="AI338" s="5"/>
      <c r="AJ338" s="5" t="s">
        <v>1221</v>
      </c>
      <c r="AK338" s="5" t="s">
        <v>103</v>
      </c>
      <c r="AL338" s="5" t="s">
        <v>103</v>
      </c>
      <c r="AM338" s="5" t="s">
        <v>105</v>
      </c>
      <c r="AN338" s="5" t="s">
        <v>3534</v>
      </c>
      <c r="AO338" s="6"/>
      <c r="AP338" s="5" t="s">
        <v>3719</v>
      </c>
      <c r="AQ338" s="6"/>
      <c r="AR338" s="6"/>
      <c r="AS338" s="6"/>
      <c r="AT338" s="6"/>
      <c r="AU338" s="5" t="s">
        <v>3720</v>
      </c>
      <c r="AV338" s="6"/>
      <c r="AW338" s="6"/>
      <c r="AX338" s="6"/>
      <c r="AY338" s="5" t="s">
        <v>3669</v>
      </c>
      <c r="AZ338" s="5" t="b">
        <v>0</v>
      </c>
      <c r="BA338" s="5" t="s">
        <v>190</v>
      </c>
      <c r="BB338" s="5" t="s">
        <v>191</v>
      </c>
      <c r="BC338" s="6"/>
      <c r="BD338" s="6"/>
      <c r="BE338" s="5" t="s">
        <v>3721</v>
      </c>
      <c r="BF338" s="5" t="s">
        <v>94</v>
      </c>
      <c r="BG338" s="5" t="s">
        <v>95</v>
      </c>
      <c r="BH338" s="5" t="s">
        <v>3722</v>
      </c>
      <c r="BI338" s="6"/>
      <c r="BJ338" s="6"/>
      <c r="BK338" s="6"/>
      <c r="BL338" s="6"/>
      <c r="BM338" s="6"/>
      <c r="BN338" s="6"/>
      <c r="BO338" s="6"/>
      <c r="BP338" s="6"/>
      <c r="BQ338" s="6"/>
      <c r="BR338" s="5" t="s">
        <v>193</v>
      </c>
      <c r="BS338" s="5" t="s">
        <v>194</v>
      </c>
      <c r="BT338" s="5" t="s">
        <v>3723</v>
      </c>
      <c r="BU338" s="6"/>
      <c r="BV338" s="5" t="s">
        <v>3724</v>
      </c>
      <c r="BW338" s="6"/>
      <c r="BX338" s="6"/>
      <c r="BY338" s="6"/>
      <c r="BZ338" s="6"/>
      <c r="CA338" s="6"/>
      <c r="CB338" s="5" t="s">
        <v>3725</v>
      </c>
      <c r="CC338" s="6"/>
      <c r="CD338" s="6"/>
      <c r="CE338" s="5" t="s">
        <v>412</v>
      </c>
      <c r="CF338" s="5" t="s">
        <v>3726</v>
      </c>
      <c r="CG338" s="6"/>
      <c r="CH338" s="6"/>
      <c r="CI338" s="6"/>
      <c r="CJ338" s="6"/>
      <c r="CK338" s="6"/>
      <c r="CL338" s="6"/>
      <c r="CM338" s="6"/>
      <c r="CN338" s="6"/>
      <c r="CO338" s="6"/>
      <c r="CP338" s="6"/>
    </row>
    <row r="339">
      <c r="A339" s="4" t="s">
        <v>3727</v>
      </c>
      <c r="B339" s="5" t="s">
        <v>3728</v>
      </c>
      <c r="C339" s="5" t="s">
        <v>3729</v>
      </c>
      <c r="D339" s="5" t="s">
        <v>94</v>
      </c>
      <c r="E339" s="5" t="s">
        <v>95</v>
      </c>
      <c r="F339" s="5" t="s">
        <v>3730</v>
      </c>
      <c r="G339" s="5" t="s">
        <v>3731</v>
      </c>
      <c r="H339" s="5" t="s">
        <v>97</v>
      </c>
      <c r="I339" s="5" t="s">
        <v>3732</v>
      </c>
      <c r="J339" s="5" t="s">
        <v>100</v>
      </c>
      <c r="K339" s="5" t="s">
        <v>100</v>
      </c>
      <c r="L339" s="5" t="s">
        <v>100</v>
      </c>
      <c r="M339" s="5"/>
      <c r="N339" s="5"/>
      <c r="O339" s="5"/>
      <c r="P339" s="5"/>
      <c r="Q339" s="5" t="s">
        <v>100</v>
      </c>
      <c r="R339" s="5" t="s">
        <v>3733</v>
      </c>
      <c r="S339" s="5"/>
      <c r="T339" s="5"/>
      <c r="U339" s="5"/>
      <c r="V339" s="5"/>
      <c r="W339" s="5"/>
      <c r="X339" s="5" t="s">
        <v>100</v>
      </c>
      <c r="Y339" s="5" t="s">
        <v>106</v>
      </c>
      <c r="Z339" s="5"/>
      <c r="AA339" s="5" t="s">
        <v>100</v>
      </c>
      <c r="AB339" s="5"/>
      <c r="AC339" s="5"/>
      <c r="AD339" s="5"/>
      <c r="AE339" s="5"/>
      <c r="AF339" s="5"/>
      <c r="AG339" s="5" t="s">
        <v>100</v>
      </c>
      <c r="AH339" s="5" t="s">
        <v>100</v>
      </c>
      <c r="AI339" s="5"/>
      <c r="AJ339" s="5" t="str">
        <f>CONCATENATE(Y339, ", ", R339)</f>
        <v>17, 12, 15, 20, 27</v>
      </c>
      <c r="AK339" s="5" t="s">
        <v>103</v>
      </c>
      <c r="AL339" s="5" t="s">
        <v>124</v>
      </c>
      <c r="AM339" s="5" t="s">
        <v>105</v>
      </c>
      <c r="AN339" s="5" t="s">
        <v>3525</v>
      </c>
      <c r="AO339" s="6"/>
      <c r="AP339" s="5" t="s">
        <v>3734</v>
      </c>
      <c r="AQ339" s="6"/>
      <c r="AR339" s="6"/>
      <c r="AS339" s="6"/>
      <c r="AT339" s="6"/>
      <c r="AU339" s="5" t="s">
        <v>3735</v>
      </c>
      <c r="AV339" s="6"/>
      <c r="AW339" s="6"/>
      <c r="AX339" s="6"/>
      <c r="AY339" s="5" t="s">
        <v>3669</v>
      </c>
      <c r="AZ339" s="5" t="b">
        <v>0</v>
      </c>
      <c r="BA339" s="5" t="s">
        <v>190</v>
      </c>
      <c r="BB339" s="5" t="s">
        <v>191</v>
      </c>
      <c r="BC339" s="6"/>
      <c r="BD339" s="5" t="s">
        <v>191</v>
      </c>
      <c r="BE339" s="5" t="s">
        <v>3736</v>
      </c>
      <c r="BF339" s="5" t="s">
        <v>94</v>
      </c>
      <c r="BG339" s="5" t="s">
        <v>95</v>
      </c>
      <c r="BH339" s="5" t="s">
        <v>3529</v>
      </c>
      <c r="BI339" s="5" t="s">
        <v>3737</v>
      </c>
      <c r="BJ339" s="5" t="s">
        <v>3738</v>
      </c>
      <c r="BK339" s="6"/>
      <c r="BL339" s="6"/>
      <c r="BM339" s="6"/>
      <c r="BN339" s="6"/>
      <c r="BO339" s="6"/>
      <c r="BP339" s="6"/>
      <c r="BQ339" s="6"/>
      <c r="BR339" s="5" t="s">
        <v>193</v>
      </c>
      <c r="BS339" s="5" t="s">
        <v>194</v>
      </c>
      <c r="BT339" s="5" t="s">
        <v>3739</v>
      </c>
      <c r="BU339" s="6"/>
      <c r="BV339" s="6"/>
      <c r="BW339" s="6"/>
      <c r="BX339" s="6"/>
      <c r="BY339" s="5" t="s">
        <v>3740</v>
      </c>
      <c r="BZ339" s="6"/>
      <c r="CA339" s="6"/>
      <c r="CB339" s="5" t="s">
        <v>2667</v>
      </c>
      <c r="CC339" s="6"/>
      <c r="CD339" s="6"/>
      <c r="CE339" s="5" t="s">
        <v>197</v>
      </c>
      <c r="CF339" s="5" t="s">
        <v>3741</v>
      </c>
      <c r="CG339" s="6"/>
      <c r="CH339" s="6"/>
      <c r="CI339" s="6"/>
      <c r="CJ339" s="6"/>
      <c r="CK339" s="6"/>
      <c r="CL339" s="6"/>
      <c r="CM339" s="6"/>
      <c r="CN339" s="6"/>
      <c r="CO339" s="6"/>
      <c r="CP339" s="6"/>
    </row>
    <row r="340">
      <c r="A340" s="7" t="s">
        <v>3742</v>
      </c>
      <c r="B340" s="8" t="s">
        <v>3743</v>
      </c>
      <c r="C340" s="8" t="s">
        <v>3744</v>
      </c>
      <c r="D340" s="8" t="s">
        <v>94</v>
      </c>
      <c r="E340" s="8" t="s">
        <v>95</v>
      </c>
      <c r="F340" s="9"/>
      <c r="G340" s="8" t="s">
        <v>3745</v>
      </c>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t="str">
        <f t="shared" ref="AJ340:AJ354" si="33">CONCATENATE(J340,K340,L340,Q340,R340,X340,Y340,AA340,AG340)</f>
        <v/>
      </c>
      <c r="AK340" s="8"/>
      <c r="AL340" s="8"/>
      <c r="AM340" s="8" t="s">
        <v>105</v>
      </c>
      <c r="AN340" s="8" t="s">
        <v>3534</v>
      </c>
      <c r="AO340" s="9"/>
      <c r="AP340" s="8" t="s">
        <v>103</v>
      </c>
      <c r="AQ340" s="9"/>
      <c r="AR340" s="9"/>
      <c r="AS340" s="9"/>
      <c r="AT340" s="9"/>
      <c r="AU340" s="8" t="s">
        <v>3746</v>
      </c>
      <c r="AV340" s="8" t="s">
        <v>108</v>
      </c>
      <c r="AW340" s="9"/>
      <c r="AX340" s="9"/>
      <c r="AY340" s="8" t="s">
        <v>3669</v>
      </c>
      <c r="AZ340" s="8" t="b">
        <v>0</v>
      </c>
      <c r="BA340" s="8" t="s">
        <v>110</v>
      </c>
      <c r="BB340" s="8" t="s">
        <v>277</v>
      </c>
      <c r="BC340" s="9"/>
      <c r="BD340" s="9"/>
      <c r="BE340" s="8" t="s">
        <v>3747</v>
      </c>
      <c r="BF340" s="9"/>
      <c r="BG340" s="9"/>
      <c r="BH340" s="9"/>
      <c r="BI340" s="9"/>
      <c r="BJ340" s="9"/>
      <c r="BK340" s="9"/>
      <c r="BL340" s="9"/>
      <c r="BM340" s="9"/>
      <c r="BN340" s="9"/>
      <c r="BO340" s="9"/>
      <c r="BP340" s="9"/>
      <c r="BQ340" s="9"/>
      <c r="BR340" s="9"/>
      <c r="BS340" s="9"/>
      <c r="BT340" s="9"/>
      <c r="BU340" s="9"/>
      <c r="BV340" s="9"/>
      <c r="BW340" s="9"/>
      <c r="BX340" s="9"/>
      <c r="BY340" s="9"/>
      <c r="BZ340" s="9"/>
      <c r="CA340" s="9"/>
      <c r="CB340" s="8" t="s">
        <v>3467</v>
      </c>
      <c r="CC340" s="9"/>
      <c r="CD340" s="9"/>
      <c r="CE340" s="8" t="s">
        <v>302</v>
      </c>
      <c r="CF340" s="8" t="s">
        <v>3748</v>
      </c>
      <c r="CG340" s="9"/>
      <c r="CH340" s="9"/>
      <c r="CI340" s="9"/>
      <c r="CJ340" s="9"/>
      <c r="CK340" s="9"/>
      <c r="CL340" s="9"/>
      <c r="CM340" s="9"/>
      <c r="CN340" s="9"/>
      <c r="CO340" s="9"/>
      <c r="CP340" s="9"/>
    </row>
    <row r="341">
      <c r="A341" s="7" t="s">
        <v>3749</v>
      </c>
      <c r="B341" s="8" t="s">
        <v>3750</v>
      </c>
      <c r="C341" s="8" t="s">
        <v>3751</v>
      </c>
      <c r="D341" s="8" t="s">
        <v>94</v>
      </c>
      <c r="E341" s="8" t="s">
        <v>95</v>
      </c>
      <c r="F341" s="9"/>
      <c r="G341" s="8" t="s">
        <v>3752</v>
      </c>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t="str">
        <f t="shared" si="33"/>
        <v/>
      </c>
      <c r="AK341" s="8"/>
      <c r="AL341" s="8"/>
      <c r="AM341" s="8" t="s">
        <v>1477</v>
      </c>
      <c r="AN341" s="8" t="s">
        <v>3753</v>
      </c>
      <c r="AO341" s="9"/>
      <c r="AP341" s="9"/>
      <c r="AQ341" s="9"/>
      <c r="AR341" s="8" t="s">
        <v>1479</v>
      </c>
      <c r="AS341" s="8" t="s">
        <v>1480</v>
      </c>
      <c r="AT341" s="9"/>
      <c r="AU341" s="8" t="s">
        <v>3754</v>
      </c>
      <c r="AV341" s="8" t="s">
        <v>108</v>
      </c>
      <c r="AW341" s="9"/>
      <c r="AX341" s="9"/>
      <c r="AY341" s="8" t="s">
        <v>3669</v>
      </c>
      <c r="AZ341" s="8" t="b">
        <v>0</v>
      </c>
      <c r="BA341" s="8" t="s">
        <v>110</v>
      </c>
      <c r="BB341" s="8" t="s">
        <v>2352</v>
      </c>
      <c r="BC341" s="9"/>
      <c r="BD341" s="9"/>
      <c r="BE341" s="8" t="s">
        <v>3755</v>
      </c>
      <c r="BF341" s="9"/>
      <c r="BG341" s="9"/>
      <c r="BH341" s="9"/>
      <c r="BI341" s="9"/>
      <c r="BJ341" s="9"/>
      <c r="BK341" s="9"/>
      <c r="BL341" s="9"/>
      <c r="BM341" s="9"/>
      <c r="BN341" s="9"/>
      <c r="BO341" s="9"/>
      <c r="BP341" s="9"/>
      <c r="BQ341" s="9"/>
      <c r="BR341" s="9"/>
      <c r="BS341" s="9"/>
      <c r="BT341" s="9"/>
      <c r="BU341" s="9"/>
      <c r="BV341" s="9"/>
      <c r="BW341" s="9"/>
      <c r="BX341" s="9"/>
      <c r="BY341" s="9"/>
      <c r="BZ341" s="9"/>
      <c r="CA341" s="9"/>
      <c r="CB341" s="8" t="s">
        <v>2487</v>
      </c>
      <c r="CC341" s="9"/>
      <c r="CD341" s="9"/>
      <c r="CE341" s="8" t="s">
        <v>366</v>
      </c>
      <c r="CF341" s="8" t="s">
        <v>3756</v>
      </c>
      <c r="CG341" s="9"/>
      <c r="CH341" s="9"/>
      <c r="CI341" s="9"/>
      <c r="CJ341" s="9"/>
      <c r="CK341" s="9"/>
      <c r="CL341" s="9"/>
      <c r="CM341" s="9"/>
      <c r="CN341" s="9"/>
      <c r="CO341" s="9"/>
      <c r="CP341" s="9"/>
    </row>
    <row r="342">
      <c r="A342" s="7" t="s">
        <v>3757</v>
      </c>
      <c r="B342" s="8" t="s">
        <v>3758</v>
      </c>
      <c r="C342" s="8" t="s">
        <v>3759</v>
      </c>
      <c r="D342" s="8" t="s">
        <v>94</v>
      </c>
      <c r="E342" s="8" t="s">
        <v>95</v>
      </c>
      <c r="F342" s="9"/>
      <c r="G342" s="8" t="s">
        <v>3760</v>
      </c>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t="str">
        <f t="shared" si="33"/>
        <v/>
      </c>
      <c r="AK342" s="8"/>
      <c r="AL342" s="8"/>
      <c r="AM342" s="8" t="s">
        <v>591</v>
      </c>
      <c r="AN342" s="8" t="s">
        <v>3761</v>
      </c>
      <c r="AO342" s="9"/>
      <c r="AP342" s="8" t="s">
        <v>3303</v>
      </c>
      <c r="AQ342" s="9"/>
      <c r="AR342" s="8" t="s">
        <v>592</v>
      </c>
      <c r="AS342" s="8" t="s">
        <v>593</v>
      </c>
      <c r="AT342" s="9"/>
      <c r="AU342" s="8" t="s">
        <v>3762</v>
      </c>
      <c r="AV342" s="9"/>
      <c r="AW342" s="9"/>
      <c r="AX342" s="9"/>
      <c r="AY342" s="8" t="s">
        <v>3669</v>
      </c>
      <c r="AZ342" s="8" t="b">
        <v>0</v>
      </c>
      <c r="BA342" s="8" t="s">
        <v>190</v>
      </c>
      <c r="BB342" s="8" t="s">
        <v>628</v>
      </c>
      <c r="BC342" s="8" t="s">
        <v>629</v>
      </c>
      <c r="BD342" s="8" t="s">
        <v>3763</v>
      </c>
      <c r="BE342" s="8" t="s">
        <v>3764</v>
      </c>
      <c r="BF342" s="8" t="s">
        <v>94</v>
      </c>
      <c r="BG342" s="8" t="s">
        <v>95</v>
      </c>
      <c r="BH342" s="8" t="s">
        <v>3765</v>
      </c>
      <c r="BI342" s="9"/>
      <c r="BJ342" s="9"/>
      <c r="BK342" s="8" t="s">
        <v>226</v>
      </c>
      <c r="BL342" s="9"/>
      <c r="BM342" s="9"/>
      <c r="BN342" s="9"/>
      <c r="BO342" s="9"/>
      <c r="BP342" s="9"/>
      <c r="BQ342" s="9"/>
      <c r="BR342" s="8" t="s">
        <v>193</v>
      </c>
      <c r="BS342" s="8" t="s">
        <v>3766</v>
      </c>
      <c r="BT342" s="9"/>
      <c r="BU342" s="9"/>
      <c r="BV342" s="8" t="s">
        <v>1568</v>
      </c>
      <c r="BW342" s="9"/>
      <c r="BX342" s="9"/>
      <c r="BY342" s="9"/>
      <c r="BZ342" s="9"/>
      <c r="CA342" s="9"/>
      <c r="CB342" s="8" t="s">
        <v>3767</v>
      </c>
      <c r="CC342" s="9"/>
      <c r="CD342" s="9"/>
      <c r="CE342" s="8" t="s">
        <v>393</v>
      </c>
      <c r="CF342" s="8" t="s">
        <v>3768</v>
      </c>
      <c r="CG342" s="9"/>
      <c r="CH342" s="9"/>
      <c r="CI342" s="9"/>
      <c r="CJ342" s="9"/>
      <c r="CK342" s="9"/>
      <c r="CL342" s="9"/>
      <c r="CM342" s="9"/>
      <c r="CN342" s="9"/>
      <c r="CO342" s="9"/>
      <c r="CP342" s="9"/>
    </row>
    <row r="343">
      <c r="A343" s="7" t="s">
        <v>3769</v>
      </c>
      <c r="B343" s="8" t="s">
        <v>3770</v>
      </c>
      <c r="C343" s="8" t="s">
        <v>3771</v>
      </c>
      <c r="D343" s="8" t="s">
        <v>94</v>
      </c>
      <c r="E343" s="8" t="s">
        <v>95</v>
      </c>
      <c r="F343" s="9"/>
      <c r="G343" s="8" t="s">
        <v>3772</v>
      </c>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t="str">
        <f t="shared" si="33"/>
        <v/>
      </c>
      <c r="AK343" s="8"/>
      <c r="AL343" s="8"/>
      <c r="AM343" s="8" t="s">
        <v>133</v>
      </c>
      <c r="AN343" s="8" t="s">
        <v>3773</v>
      </c>
      <c r="AO343" s="9"/>
      <c r="AP343" s="8" t="s">
        <v>919</v>
      </c>
      <c r="AQ343" s="9"/>
      <c r="AR343" s="9"/>
      <c r="AS343" s="9"/>
      <c r="AT343" s="9"/>
      <c r="AU343" s="8" t="s">
        <v>3774</v>
      </c>
      <c r="AV343" s="8" t="s">
        <v>108</v>
      </c>
      <c r="AW343" s="9"/>
      <c r="AX343" s="9"/>
      <c r="AY343" s="8" t="s">
        <v>3669</v>
      </c>
      <c r="AZ343" s="8" t="b">
        <v>0</v>
      </c>
      <c r="BA343" s="8" t="s">
        <v>110</v>
      </c>
      <c r="BB343" s="8" t="s">
        <v>773</v>
      </c>
      <c r="BC343" s="9"/>
      <c r="BD343" s="9"/>
      <c r="BE343" s="8" t="s">
        <v>3775</v>
      </c>
      <c r="BF343" s="9"/>
      <c r="BG343" s="9"/>
      <c r="BH343" s="9"/>
      <c r="BI343" s="9"/>
      <c r="BJ343" s="9"/>
      <c r="BK343" s="9"/>
      <c r="BL343" s="9"/>
      <c r="BM343" s="9"/>
      <c r="BN343" s="9"/>
      <c r="BO343" s="9"/>
      <c r="BP343" s="9"/>
      <c r="BQ343" s="9"/>
      <c r="BR343" s="9"/>
      <c r="BS343" s="9"/>
      <c r="BT343" s="9"/>
      <c r="BU343" s="9"/>
      <c r="BV343" s="9"/>
      <c r="BW343" s="9"/>
      <c r="BX343" s="9"/>
      <c r="BY343" s="9"/>
      <c r="BZ343" s="9"/>
      <c r="CA343" s="9"/>
      <c r="CB343" s="8" t="s">
        <v>3776</v>
      </c>
      <c r="CC343" s="9"/>
      <c r="CD343" s="9"/>
      <c r="CE343" s="8" t="s">
        <v>412</v>
      </c>
      <c r="CF343" s="8" t="s">
        <v>3777</v>
      </c>
      <c r="CG343" s="9"/>
      <c r="CH343" s="9"/>
      <c r="CI343" s="9"/>
      <c r="CJ343" s="9"/>
      <c r="CK343" s="9"/>
      <c r="CL343" s="9"/>
      <c r="CM343" s="9"/>
      <c r="CN343" s="9"/>
      <c r="CO343" s="9"/>
      <c r="CP343" s="9"/>
    </row>
    <row r="344">
      <c r="A344" s="7" t="s">
        <v>3778</v>
      </c>
      <c r="B344" s="8" t="s">
        <v>3779</v>
      </c>
      <c r="C344" s="8" t="s">
        <v>3780</v>
      </c>
      <c r="D344" s="8" t="s">
        <v>94</v>
      </c>
      <c r="E344" s="8" t="s">
        <v>95</v>
      </c>
      <c r="F344" s="9"/>
      <c r="G344" s="8" t="s">
        <v>3781</v>
      </c>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t="str">
        <f t="shared" si="33"/>
        <v/>
      </c>
      <c r="AK344" s="8"/>
      <c r="AL344" s="8"/>
      <c r="AM344" s="8" t="s">
        <v>591</v>
      </c>
      <c r="AN344" s="8" t="s">
        <v>3761</v>
      </c>
      <c r="AO344" s="9"/>
      <c r="AP344" s="8" t="s">
        <v>734</v>
      </c>
      <c r="AQ344" s="9"/>
      <c r="AR344" s="8" t="s">
        <v>592</v>
      </c>
      <c r="AS344" s="8" t="s">
        <v>593</v>
      </c>
      <c r="AT344" s="9"/>
      <c r="AU344" s="8" t="s">
        <v>3782</v>
      </c>
      <c r="AV344" s="9"/>
      <c r="AW344" s="9"/>
      <c r="AX344" s="9"/>
      <c r="AY344" s="8" t="s">
        <v>3669</v>
      </c>
      <c r="AZ344" s="8" t="b">
        <v>0</v>
      </c>
      <c r="BA344" s="8" t="s">
        <v>190</v>
      </c>
      <c r="BB344" s="8" t="s">
        <v>628</v>
      </c>
      <c r="BC344" s="8" t="s">
        <v>629</v>
      </c>
      <c r="BD344" s="9"/>
      <c r="BE344" s="8" t="s">
        <v>3783</v>
      </c>
      <c r="BF344" s="8" t="s">
        <v>94</v>
      </c>
      <c r="BG344" s="8" t="s">
        <v>95</v>
      </c>
      <c r="BH344" s="8" t="s">
        <v>3765</v>
      </c>
      <c r="BI344" s="9"/>
      <c r="BJ344" s="9"/>
      <c r="BK344" s="8" t="s">
        <v>3784</v>
      </c>
      <c r="BL344" s="9"/>
      <c r="BM344" s="9"/>
      <c r="BN344" s="9"/>
      <c r="BO344" s="9"/>
      <c r="BP344" s="9"/>
      <c r="BQ344" s="9"/>
      <c r="BR344" s="8" t="s">
        <v>193</v>
      </c>
      <c r="BS344" s="8" t="s">
        <v>3785</v>
      </c>
      <c r="BT344" s="9"/>
      <c r="BU344" s="9"/>
      <c r="BV344" s="9"/>
      <c r="BW344" s="9"/>
      <c r="BX344" s="9"/>
      <c r="BY344" s="9"/>
      <c r="BZ344" s="9"/>
      <c r="CA344" s="9"/>
      <c r="CB344" s="8" t="s">
        <v>3767</v>
      </c>
      <c r="CC344" s="9"/>
      <c r="CD344" s="9"/>
      <c r="CE344" s="8" t="s">
        <v>393</v>
      </c>
      <c r="CF344" s="8" t="s">
        <v>3786</v>
      </c>
      <c r="CG344" s="9"/>
      <c r="CH344" s="9"/>
      <c r="CI344" s="9"/>
      <c r="CJ344" s="9"/>
      <c r="CK344" s="9"/>
      <c r="CL344" s="9"/>
      <c r="CM344" s="9"/>
      <c r="CN344" s="9"/>
      <c r="CO344" s="9"/>
      <c r="CP344" s="9"/>
    </row>
    <row r="345">
      <c r="A345" s="7" t="s">
        <v>3787</v>
      </c>
      <c r="B345" s="8" t="s">
        <v>3788</v>
      </c>
      <c r="C345" s="8" t="s">
        <v>3789</v>
      </c>
      <c r="D345" s="8" t="s">
        <v>94</v>
      </c>
      <c r="E345" s="8" t="s">
        <v>95</v>
      </c>
      <c r="F345" s="9"/>
      <c r="G345" s="8" t="s">
        <v>3790</v>
      </c>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t="str">
        <f t="shared" si="33"/>
        <v/>
      </c>
      <c r="AK345" s="8"/>
      <c r="AL345" s="8"/>
      <c r="AM345" s="8" t="s">
        <v>1477</v>
      </c>
      <c r="AN345" s="8" t="s">
        <v>3791</v>
      </c>
      <c r="AO345" s="9"/>
      <c r="AP345" s="9"/>
      <c r="AQ345" s="9"/>
      <c r="AR345" s="8" t="s">
        <v>1479</v>
      </c>
      <c r="AS345" s="8" t="s">
        <v>1480</v>
      </c>
      <c r="AT345" s="9"/>
      <c r="AU345" s="8" t="s">
        <v>3792</v>
      </c>
      <c r="AV345" s="8" t="s">
        <v>108</v>
      </c>
      <c r="AW345" s="9"/>
      <c r="AX345" s="9"/>
      <c r="AY345" s="8" t="s">
        <v>3669</v>
      </c>
      <c r="AZ345" s="8" t="b">
        <v>0</v>
      </c>
      <c r="BA345" s="8" t="s">
        <v>110</v>
      </c>
      <c r="BB345" s="9"/>
      <c r="BC345" s="9"/>
      <c r="BD345" s="9"/>
      <c r="BE345" s="8" t="s">
        <v>361</v>
      </c>
      <c r="BF345" s="9"/>
      <c r="BG345" s="9"/>
      <c r="BH345" s="9"/>
      <c r="BI345" s="9"/>
      <c r="BJ345" s="9"/>
      <c r="BK345" s="9"/>
      <c r="BL345" s="9"/>
      <c r="BM345" s="9"/>
      <c r="BN345" s="9"/>
      <c r="BO345" s="9"/>
      <c r="BP345" s="9"/>
      <c r="BQ345" s="9"/>
      <c r="BR345" s="9"/>
      <c r="BS345" s="9"/>
      <c r="BT345" s="9"/>
      <c r="BU345" s="9"/>
      <c r="BV345" s="9"/>
      <c r="BW345" s="9"/>
      <c r="BX345" s="9"/>
      <c r="BY345" s="9"/>
      <c r="BZ345" s="9"/>
      <c r="CA345" s="9"/>
      <c r="CB345" s="8" t="s">
        <v>2667</v>
      </c>
      <c r="CC345" s="9"/>
      <c r="CD345" s="9"/>
      <c r="CE345" s="8" t="s">
        <v>366</v>
      </c>
      <c r="CF345" s="8" t="s">
        <v>3793</v>
      </c>
      <c r="CG345" s="9"/>
      <c r="CH345" s="9"/>
      <c r="CI345" s="9"/>
      <c r="CJ345" s="9"/>
      <c r="CK345" s="9"/>
      <c r="CL345" s="9"/>
      <c r="CM345" s="9"/>
      <c r="CN345" s="9"/>
      <c r="CO345" s="9"/>
      <c r="CP345" s="9"/>
    </row>
    <row r="346">
      <c r="A346" s="7" t="s">
        <v>3794</v>
      </c>
      <c r="B346" s="8" t="s">
        <v>3795</v>
      </c>
      <c r="C346" s="8" t="s">
        <v>3796</v>
      </c>
      <c r="D346" s="8" t="s">
        <v>94</v>
      </c>
      <c r="E346" s="8" t="s">
        <v>95</v>
      </c>
      <c r="F346" s="9"/>
      <c r="G346" s="8" t="s">
        <v>3797</v>
      </c>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t="str">
        <f t="shared" si="33"/>
        <v/>
      </c>
      <c r="AK346" s="8"/>
      <c r="AL346" s="8"/>
      <c r="AM346" s="8" t="s">
        <v>1477</v>
      </c>
      <c r="AN346" s="8" t="s">
        <v>3798</v>
      </c>
      <c r="AO346" s="9"/>
      <c r="AP346" s="9"/>
      <c r="AQ346" s="9"/>
      <c r="AR346" s="8" t="s">
        <v>1479</v>
      </c>
      <c r="AS346" s="8" t="s">
        <v>1480</v>
      </c>
      <c r="AT346" s="9"/>
      <c r="AU346" s="8" t="s">
        <v>3799</v>
      </c>
      <c r="AV346" s="8" t="s">
        <v>108</v>
      </c>
      <c r="AW346" s="9"/>
      <c r="AX346" s="9"/>
      <c r="AY346" s="8" t="s">
        <v>3669</v>
      </c>
      <c r="AZ346" s="8" t="b">
        <v>0</v>
      </c>
      <c r="BA346" s="8" t="s">
        <v>110</v>
      </c>
      <c r="BB346" s="8" t="s">
        <v>480</v>
      </c>
      <c r="BC346" s="9"/>
      <c r="BD346" s="8" t="s">
        <v>191</v>
      </c>
      <c r="BE346" s="8" t="s">
        <v>3800</v>
      </c>
      <c r="BF346" s="9"/>
      <c r="BG346" s="9"/>
      <c r="BH346" s="9"/>
      <c r="BI346" s="9"/>
      <c r="BJ346" s="9"/>
      <c r="BK346" s="9"/>
      <c r="BL346" s="9"/>
      <c r="BM346" s="9"/>
      <c r="BN346" s="9"/>
      <c r="BO346" s="9"/>
      <c r="BP346" s="9"/>
      <c r="BQ346" s="9"/>
      <c r="BR346" s="9"/>
      <c r="BS346" s="9"/>
      <c r="BT346" s="9"/>
      <c r="BU346" s="9"/>
      <c r="BV346" s="9"/>
      <c r="BW346" s="9"/>
      <c r="BX346" s="9"/>
      <c r="BY346" s="9"/>
      <c r="BZ346" s="9"/>
      <c r="CA346" s="9"/>
      <c r="CB346" s="8" t="s">
        <v>3801</v>
      </c>
      <c r="CC346" s="9"/>
      <c r="CD346" s="9"/>
      <c r="CE346" s="8" t="s">
        <v>393</v>
      </c>
      <c r="CF346" s="8" t="s">
        <v>3802</v>
      </c>
      <c r="CG346" s="9"/>
      <c r="CH346" s="9"/>
      <c r="CI346" s="9"/>
      <c r="CJ346" s="9"/>
      <c r="CK346" s="9"/>
      <c r="CL346" s="9"/>
      <c r="CM346" s="9"/>
      <c r="CN346" s="9"/>
      <c r="CO346" s="9"/>
      <c r="CP346" s="9"/>
    </row>
    <row r="347">
      <c r="A347" s="7" t="s">
        <v>3803</v>
      </c>
      <c r="B347" s="8" t="s">
        <v>3804</v>
      </c>
      <c r="C347" s="8" t="s">
        <v>3805</v>
      </c>
      <c r="D347" s="8" t="s">
        <v>94</v>
      </c>
      <c r="E347" s="8" t="s">
        <v>95</v>
      </c>
      <c r="F347" s="9"/>
      <c r="G347" s="8" t="s">
        <v>3806</v>
      </c>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t="str">
        <f t="shared" si="33"/>
        <v/>
      </c>
      <c r="AK347" s="8"/>
      <c r="AL347" s="8"/>
      <c r="AM347" s="8" t="s">
        <v>1477</v>
      </c>
      <c r="AN347" s="8" t="s">
        <v>3807</v>
      </c>
      <c r="AO347" s="9"/>
      <c r="AP347" s="9"/>
      <c r="AQ347" s="9"/>
      <c r="AR347" s="8" t="s">
        <v>1479</v>
      </c>
      <c r="AS347" s="8" t="s">
        <v>1480</v>
      </c>
      <c r="AT347" s="9"/>
      <c r="AU347" s="8" t="s">
        <v>3808</v>
      </c>
      <c r="AV347" s="8" t="s">
        <v>108</v>
      </c>
      <c r="AW347" s="9"/>
      <c r="AX347" s="9"/>
      <c r="AY347" s="8" t="s">
        <v>3669</v>
      </c>
      <c r="AZ347" s="8" t="b">
        <v>0</v>
      </c>
      <c r="BA347" s="8" t="s">
        <v>110</v>
      </c>
      <c r="BB347" s="9"/>
      <c r="BC347" s="9"/>
      <c r="BD347" s="9"/>
      <c r="BE347" s="8" t="s">
        <v>2710</v>
      </c>
      <c r="BF347" s="9"/>
      <c r="BG347" s="9"/>
      <c r="BH347" s="9"/>
      <c r="BI347" s="9"/>
      <c r="BJ347" s="9"/>
      <c r="BK347" s="9"/>
      <c r="BL347" s="9"/>
      <c r="BM347" s="9"/>
      <c r="BN347" s="9"/>
      <c r="BO347" s="9"/>
      <c r="BP347" s="9"/>
      <c r="BQ347" s="9"/>
      <c r="BR347" s="9"/>
      <c r="BS347" s="9"/>
      <c r="BT347" s="9"/>
      <c r="BU347" s="9"/>
      <c r="BV347" s="9"/>
      <c r="BW347" s="9"/>
      <c r="BX347" s="9"/>
      <c r="BY347" s="9"/>
      <c r="BZ347" s="9"/>
      <c r="CA347" s="9"/>
      <c r="CB347" s="8" t="s">
        <v>3809</v>
      </c>
      <c r="CC347" s="9"/>
      <c r="CD347" s="9"/>
      <c r="CE347" s="8" t="s">
        <v>366</v>
      </c>
      <c r="CF347" s="8" t="s">
        <v>3810</v>
      </c>
      <c r="CG347" s="9"/>
      <c r="CH347" s="9"/>
      <c r="CI347" s="9"/>
      <c r="CJ347" s="9"/>
      <c r="CK347" s="9"/>
      <c r="CL347" s="9"/>
      <c r="CM347" s="9"/>
      <c r="CN347" s="9"/>
      <c r="CO347" s="9"/>
      <c r="CP347" s="9"/>
    </row>
    <row r="348">
      <c r="A348" s="7" t="s">
        <v>3811</v>
      </c>
      <c r="B348" s="8" t="s">
        <v>3812</v>
      </c>
      <c r="C348" s="8" t="s">
        <v>3813</v>
      </c>
      <c r="D348" s="8" t="s">
        <v>94</v>
      </c>
      <c r="E348" s="8" t="s">
        <v>95</v>
      </c>
      <c r="F348" s="9"/>
      <c r="G348" s="8" t="s">
        <v>3814</v>
      </c>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t="str">
        <f t="shared" si="33"/>
        <v/>
      </c>
      <c r="AK348" s="8"/>
      <c r="AL348" s="8"/>
      <c r="AM348" s="8" t="s">
        <v>1477</v>
      </c>
      <c r="AN348" s="8" t="s">
        <v>3815</v>
      </c>
      <c r="AO348" s="9"/>
      <c r="AP348" s="9"/>
      <c r="AQ348" s="9"/>
      <c r="AR348" s="8" t="s">
        <v>1479</v>
      </c>
      <c r="AS348" s="8" t="s">
        <v>1480</v>
      </c>
      <c r="AT348" s="9"/>
      <c r="AU348" s="8" t="s">
        <v>3816</v>
      </c>
      <c r="AV348" s="8" t="s">
        <v>108</v>
      </c>
      <c r="AW348" s="9"/>
      <c r="AX348" s="9"/>
      <c r="AY348" s="8" t="s">
        <v>3669</v>
      </c>
      <c r="AZ348" s="8" t="b">
        <v>0</v>
      </c>
      <c r="BA348" s="8" t="s">
        <v>110</v>
      </c>
      <c r="BB348" s="9"/>
      <c r="BC348" s="9"/>
      <c r="BD348" s="9"/>
      <c r="BE348" s="8" t="s">
        <v>2811</v>
      </c>
      <c r="BF348" s="9"/>
      <c r="BG348" s="9"/>
      <c r="BH348" s="9"/>
      <c r="BI348" s="9"/>
      <c r="BJ348" s="9"/>
      <c r="BK348" s="9"/>
      <c r="BL348" s="9"/>
      <c r="BM348" s="9"/>
      <c r="BN348" s="9"/>
      <c r="BO348" s="9"/>
      <c r="BP348" s="9"/>
      <c r="BQ348" s="9"/>
      <c r="BR348" s="9"/>
      <c r="BS348" s="9"/>
      <c r="BT348" s="9"/>
      <c r="BU348" s="9"/>
      <c r="BV348" s="9"/>
      <c r="BW348" s="9"/>
      <c r="BX348" s="9"/>
      <c r="BY348" s="9"/>
      <c r="BZ348" s="9"/>
      <c r="CA348" s="9"/>
      <c r="CB348" s="8" t="s">
        <v>3004</v>
      </c>
      <c r="CC348" s="9"/>
      <c r="CD348" s="9"/>
      <c r="CE348" s="8" t="s">
        <v>366</v>
      </c>
      <c r="CF348" s="8" t="s">
        <v>3817</v>
      </c>
      <c r="CG348" s="9"/>
      <c r="CH348" s="9"/>
      <c r="CI348" s="9"/>
      <c r="CJ348" s="9"/>
      <c r="CK348" s="9"/>
      <c r="CL348" s="9"/>
      <c r="CM348" s="9"/>
      <c r="CN348" s="9"/>
      <c r="CO348" s="9"/>
      <c r="CP348" s="9"/>
    </row>
    <row r="349">
      <c r="A349" s="7" t="s">
        <v>3818</v>
      </c>
      <c r="B349" s="8" t="s">
        <v>3819</v>
      </c>
      <c r="C349" s="8" t="s">
        <v>3820</v>
      </c>
      <c r="D349" s="8" t="s">
        <v>94</v>
      </c>
      <c r="E349" s="8" t="s">
        <v>95</v>
      </c>
      <c r="F349" s="9"/>
      <c r="G349" s="8" t="s">
        <v>3821</v>
      </c>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t="str">
        <f t="shared" si="33"/>
        <v/>
      </c>
      <c r="AK349" s="8"/>
      <c r="AL349" s="8"/>
      <c r="AM349" s="8" t="s">
        <v>1477</v>
      </c>
      <c r="AN349" s="8" t="s">
        <v>3822</v>
      </c>
      <c r="AO349" s="9"/>
      <c r="AP349" s="9"/>
      <c r="AQ349" s="9"/>
      <c r="AR349" s="8" t="s">
        <v>1479</v>
      </c>
      <c r="AS349" s="8" t="s">
        <v>1480</v>
      </c>
      <c r="AT349" s="9"/>
      <c r="AU349" s="8" t="s">
        <v>3823</v>
      </c>
      <c r="AV349" s="8" t="s">
        <v>108</v>
      </c>
      <c r="AW349" s="9"/>
      <c r="AX349" s="9"/>
      <c r="AY349" s="8" t="s">
        <v>3669</v>
      </c>
      <c r="AZ349" s="8" t="b">
        <v>0</v>
      </c>
      <c r="BA349" s="8" t="s">
        <v>110</v>
      </c>
      <c r="BB349" s="9"/>
      <c r="BC349" s="9"/>
      <c r="BD349" s="9"/>
      <c r="BE349" s="8" t="s">
        <v>2728</v>
      </c>
      <c r="BF349" s="9"/>
      <c r="BG349" s="9"/>
      <c r="BH349" s="9"/>
      <c r="BI349" s="9"/>
      <c r="BJ349" s="9"/>
      <c r="BK349" s="9"/>
      <c r="BL349" s="9"/>
      <c r="BM349" s="9"/>
      <c r="BN349" s="9"/>
      <c r="BO349" s="9"/>
      <c r="BP349" s="9"/>
      <c r="BQ349" s="9"/>
      <c r="BR349" s="9"/>
      <c r="BS349" s="9"/>
      <c r="BT349" s="9"/>
      <c r="BU349" s="9"/>
      <c r="BV349" s="9"/>
      <c r="BW349" s="9"/>
      <c r="BX349" s="9"/>
      <c r="BY349" s="9"/>
      <c r="BZ349" s="9"/>
      <c r="CA349" s="9"/>
      <c r="CB349" s="8" t="s">
        <v>3602</v>
      </c>
      <c r="CC349" s="9"/>
      <c r="CD349" s="9"/>
      <c r="CE349" s="8" t="s">
        <v>197</v>
      </c>
      <c r="CF349" s="8" t="s">
        <v>3824</v>
      </c>
      <c r="CG349" s="9"/>
      <c r="CH349" s="9"/>
      <c r="CI349" s="9"/>
      <c r="CJ349" s="9"/>
      <c r="CK349" s="9"/>
      <c r="CL349" s="9"/>
      <c r="CM349" s="9"/>
      <c r="CN349" s="9"/>
      <c r="CO349" s="9"/>
      <c r="CP349" s="9"/>
    </row>
    <row r="350">
      <c r="A350" s="7" t="s">
        <v>3825</v>
      </c>
      <c r="B350" s="8" t="s">
        <v>3826</v>
      </c>
      <c r="C350" s="8" t="s">
        <v>3827</v>
      </c>
      <c r="D350" s="8" t="s">
        <v>94</v>
      </c>
      <c r="E350" s="8" t="s">
        <v>95</v>
      </c>
      <c r="F350" s="9"/>
      <c r="G350" s="8" t="s">
        <v>3828</v>
      </c>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t="str">
        <f t="shared" si="33"/>
        <v/>
      </c>
      <c r="AK350" s="8"/>
      <c r="AL350" s="8"/>
      <c r="AM350" s="8" t="s">
        <v>1477</v>
      </c>
      <c r="AN350" s="8" t="s">
        <v>3829</v>
      </c>
      <c r="AO350" s="9"/>
      <c r="AP350" s="9"/>
      <c r="AQ350" s="9"/>
      <c r="AR350" s="8" t="s">
        <v>1479</v>
      </c>
      <c r="AS350" s="8" t="s">
        <v>1480</v>
      </c>
      <c r="AT350" s="9"/>
      <c r="AU350" s="8" t="s">
        <v>3830</v>
      </c>
      <c r="AV350" s="8" t="s">
        <v>108</v>
      </c>
      <c r="AW350" s="9"/>
      <c r="AX350" s="9"/>
      <c r="AY350" s="8" t="s">
        <v>3669</v>
      </c>
      <c r="AZ350" s="8" t="b">
        <v>0</v>
      </c>
      <c r="BA350" s="8" t="s">
        <v>110</v>
      </c>
      <c r="BB350" s="9"/>
      <c r="BC350" s="9"/>
      <c r="BD350" s="9"/>
      <c r="BE350" s="8" t="s">
        <v>3831</v>
      </c>
      <c r="BF350" s="9"/>
      <c r="BG350" s="9"/>
      <c r="BH350" s="9"/>
      <c r="BI350" s="9"/>
      <c r="BJ350" s="9"/>
      <c r="BK350" s="9"/>
      <c r="BL350" s="9"/>
      <c r="BM350" s="9"/>
      <c r="BN350" s="9"/>
      <c r="BO350" s="9"/>
      <c r="BP350" s="9"/>
      <c r="BQ350" s="9"/>
      <c r="BR350" s="9"/>
      <c r="BS350" s="9"/>
      <c r="BT350" s="9"/>
      <c r="BU350" s="9"/>
      <c r="BV350" s="9"/>
      <c r="BW350" s="9"/>
      <c r="BX350" s="9"/>
      <c r="BY350" s="9"/>
      <c r="BZ350" s="9"/>
      <c r="CA350" s="9"/>
      <c r="CB350" s="8" t="s">
        <v>3832</v>
      </c>
      <c r="CC350" s="9"/>
      <c r="CD350" s="9"/>
      <c r="CE350" s="8" t="s">
        <v>450</v>
      </c>
      <c r="CF350" s="8" t="s">
        <v>3833</v>
      </c>
      <c r="CG350" s="9"/>
      <c r="CH350" s="9"/>
      <c r="CI350" s="9"/>
      <c r="CJ350" s="9"/>
      <c r="CK350" s="9"/>
      <c r="CL350" s="9"/>
      <c r="CM350" s="9"/>
      <c r="CN350" s="9"/>
      <c r="CO350" s="9"/>
      <c r="CP350" s="9"/>
    </row>
    <row r="351">
      <c r="A351" s="7" t="s">
        <v>3834</v>
      </c>
      <c r="B351" s="8" t="s">
        <v>3835</v>
      </c>
      <c r="C351" s="8" t="s">
        <v>3836</v>
      </c>
      <c r="D351" s="8" t="s">
        <v>94</v>
      </c>
      <c r="E351" s="8" t="s">
        <v>95</v>
      </c>
      <c r="F351" s="9"/>
      <c r="G351" s="8" t="s">
        <v>3837</v>
      </c>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t="str">
        <f t="shared" si="33"/>
        <v/>
      </c>
      <c r="AK351" s="8"/>
      <c r="AL351" s="8"/>
      <c r="AM351" s="8" t="s">
        <v>1477</v>
      </c>
      <c r="AN351" s="8" t="s">
        <v>3838</v>
      </c>
      <c r="AO351" s="9"/>
      <c r="AP351" s="9"/>
      <c r="AQ351" s="9"/>
      <c r="AR351" s="8" t="s">
        <v>1479</v>
      </c>
      <c r="AS351" s="8" t="s">
        <v>1480</v>
      </c>
      <c r="AT351" s="9"/>
      <c r="AU351" s="8" t="s">
        <v>3839</v>
      </c>
      <c r="AV351" s="8" t="s">
        <v>108</v>
      </c>
      <c r="AW351" s="9"/>
      <c r="AX351" s="9"/>
      <c r="AY351" s="8" t="s">
        <v>3669</v>
      </c>
      <c r="AZ351" s="8" t="b">
        <v>0</v>
      </c>
      <c r="BA351" s="8" t="s">
        <v>110</v>
      </c>
      <c r="BB351" s="9"/>
      <c r="BC351" s="9"/>
      <c r="BD351" s="9"/>
      <c r="BE351" s="8" t="s">
        <v>3840</v>
      </c>
      <c r="BF351" s="9"/>
      <c r="BG351" s="9"/>
      <c r="BH351" s="9"/>
      <c r="BI351" s="9"/>
      <c r="BJ351" s="9"/>
      <c r="BK351" s="9"/>
      <c r="BL351" s="9"/>
      <c r="BM351" s="9"/>
      <c r="BN351" s="9"/>
      <c r="BO351" s="9"/>
      <c r="BP351" s="9"/>
      <c r="BQ351" s="9"/>
      <c r="BR351" s="9"/>
      <c r="BS351" s="9"/>
      <c r="BT351" s="9"/>
      <c r="BU351" s="9"/>
      <c r="BV351" s="9"/>
      <c r="BW351" s="9"/>
      <c r="BX351" s="9"/>
      <c r="BY351" s="9"/>
      <c r="BZ351" s="9"/>
      <c r="CA351" s="9"/>
      <c r="CB351" s="8" t="s">
        <v>3841</v>
      </c>
      <c r="CC351" s="9"/>
      <c r="CD351" s="9"/>
      <c r="CE351" s="8" t="s">
        <v>1221</v>
      </c>
      <c r="CF351" s="8" t="s">
        <v>3842</v>
      </c>
      <c r="CG351" s="9"/>
      <c r="CH351" s="9"/>
      <c r="CI351" s="9"/>
      <c r="CJ351" s="9"/>
      <c r="CK351" s="9"/>
      <c r="CL351" s="9"/>
      <c r="CM351" s="9"/>
      <c r="CN351" s="9"/>
      <c r="CO351" s="9"/>
      <c r="CP351" s="9"/>
    </row>
    <row r="352">
      <c r="A352" s="7" t="s">
        <v>3843</v>
      </c>
      <c r="B352" s="8" t="s">
        <v>3844</v>
      </c>
      <c r="C352" s="8" t="s">
        <v>3845</v>
      </c>
      <c r="D352" s="8" t="s">
        <v>94</v>
      </c>
      <c r="E352" s="8" t="s">
        <v>95</v>
      </c>
      <c r="F352" s="9"/>
      <c r="G352" s="8" t="s">
        <v>3846</v>
      </c>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t="str">
        <f t="shared" si="33"/>
        <v/>
      </c>
      <c r="AK352" s="8"/>
      <c r="AL352" s="8"/>
      <c r="AM352" s="8" t="s">
        <v>3500</v>
      </c>
      <c r="AN352" s="8" t="s">
        <v>3847</v>
      </c>
      <c r="AO352" s="9"/>
      <c r="AP352" s="9"/>
      <c r="AQ352" s="9"/>
      <c r="AR352" s="9"/>
      <c r="AS352" s="9"/>
      <c r="AT352" s="9"/>
      <c r="AU352" s="8" t="s">
        <v>3848</v>
      </c>
      <c r="AV352" s="9"/>
      <c r="AW352" s="9"/>
      <c r="AX352" s="9"/>
      <c r="AY352" s="8" t="s">
        <v>3669</v>
      </c>
      <c r="AZ352" s="8" t="b">
        <v>0</v>
      </c>
      <c r="BA352" s="8" t="s">
        <v>190</v>
      </c>
      <c r="BB352" s="8" t="s">
        <v>191</v>
      </c>
      <c r="BC352" s="8" t="s">
        <v>1767</v>
      </c>
      <c r="BD352" s="9"/>
      <c r="BE352" s="8" t="s">
        <v>3849</v>
      </c>
      <c r="BF352" s="9"/>
      <c r="BG352" s="9"/>
      <c r="BH352" s="9"/>
      <c r="BI352" s="9"/>
      <c r="BJ352" s="9"/>
      <c r="BK352" s="9"/>
      <c r="BL352" s="9"/>
      <c r="BM352" s="8" t="s">
        <v>3638</v>
      </c>
      <c r="BN352" s="8" t="s">
        <v>3639</v>
      </c>
      <c r="BO352" s="9"/>
      <c r="BP352" s="9"/>
      <c r="BQ352" s="9"/>
      <c r="BR352" s="8" t="s">
        <v>193</v>
      </c>
      <c r="BS352" s="8" t="s">
        <v>194</v>
      </c>
      <c r="BT352" s="9"/>
      <c r="BU352" s="9"/>
      <c r="BV352" s="9"/>
      <c r="BW352" s="9"/>
      <c r="BX352" s="9"/>
      <c r="BY352" s="9"/>
      <c r="BZ352" s="9"/>
      <c r="CA352" s="9"/>
      <c r="CB352" s="9"/>
      <c r="CC352" s="9"/>
      <c r="CD352" s="9"/>
      <c r="CE352" s="8" t="s">
        <v>115</v>
      </c>
      <c r="CF352" s="8" t="s">
        <v>3850</v>
      </c>
      <c r="CG352" s="9"/>
      <c r="CH352" s="9"/>
      <c r="CI352" s="9"/>
      <c r="CJ352" s="9"/>
      <c r="CK352" s="9"/>
      <c r="CL352" s="9"/>
      <c r="CM352" s="9"/>
      <c r="CN352" s="9"/>
      <c r="CO352" s="9"/>
      <c r="CP352" s="9"/>
    </row>
    <row r="353">
      <c r="A353" s="8" t="s">
        <v>3851</v>
      </c>
      <c r="B353" s="8" t="s">
        <v>3852</v>
      </c>
      <c r="C353" s="8" t="s">
        <v>3853</v>
      </c>
      <c r="D353" s="8" t="s">
        <v>94</v>
      </c>
      <c r="E353" s="8" t="s">
        <v>95</v>
      </c>
      <c r="F353" s="9"/>
      <c r="G353" s="8" t="s">
        <v>3854</v>
      </c>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t="str">
        <f t="shared" si="33"/>
        <v/>
      </c>
      <c r="AK353" s="8"/>
      <c r="AL353" s="8"/>
      <c r="AM353" s="8" t="s">
        <v>3500</v>
      </c>
      <c r="AN353" s="8" t="s">
        <v>3855</v>
      </c>
      <c r="AO353" s="9"/>
      <c r="AP353" s="9"/>
      <c r="AQ353" s="9"/>
      <c r="AR353" s="9"/>
      <c r="AS353" s="9"/>
      <c r="AT353" s="9"/>
      <c r="AU353" s="8" t="s">
        <v>3856</v>
      </c>
      <c r="AV353" s="8" t="s">
        <v>3857</v>
      </c>
      <c r="AW353" s="9"/>
      <c r="AX353" s="9"/>
      <c r="AY353" s="8" t="s">
        <v>3669</v>
      </c>
      <c r="AZ353" s="8" t="b">
        <v>0</v>
      </c>
      <c r="BA353" s="8" t="s">
        <v>190</v>
      </c>
      <c r="BB353" s="8" t="s">
        <v>3858</v>
      </c>
      <c r="BC353" s="8" t="s">
        <v>2845</v>
      </c>
      <c r="BD353" s="8" t="s">
        <v>3859</v>
      </c>
      <c r="BE353" s="8" t="s">
        <v>3860</v>
      </c>
      <c r="BF353" s="9"/>
      <c r="BG353" s="9"/>
      <c r="BH353" s="9"/>
      <c r="BI353" s="9"/>
      <c r="BJ353" s="9"/>
      <c r="BK353" s="9"/>
      <c r="BL353" s="9"/>
      <c r="BM353" s="9"/>
      <c r="BN353" s="9"/>
      <c r="BO353" s="9"/>
      <c r="BP353" s="9"/>
      <c r="BQ353" s="9"/>
      <c r="BR353" s="8" t="s">
        <v>193</v>
      </c>
      <c r="BS353" s="8" t="s">
        <v>194</v>
      </c>
      <c r="BT353" s="9"/>
      <c r="BU353" s="9"/>
      <c r="BV353" s="9"/>
      <c r="BW353" s="9"/>
      <c r="BX353" s="9"/>
      <c r="BY353" s="9"/>
      <c r="BZ353" s="9"/>
      <c r="CA353" s="9"/>
      <c r="CB353" s="8" t="s">
        <v>665</v>
      </c>
      <c r="CC353" s="9"/>
      <c r="CD353" s="9"/>
      <c r="CE353" s="8" t="s">
        <v>115</v>
      </c>
      <c r="CF353" s="8" t="s">
        <v>3861</v>
      </c>
      <c r="CG353" s="9"/>
      <c r="CH353" s="9"/>
      <c r="CI353" s="9"/>
      <c r="CJ353" s="9"/>
      <c r="CK353" s="9"/>
      <c r="CL353" s="9"/>
      <c r="CM353" s="9"/>
      <c r="CN353" s="9"/>
      <c r="CO353" s="9"/>
      <c r="CP353" s="9"/>
    </row>
    <row r="354">
      <c r="A354" s="7" t="s">
        <v>3862</v>
      </c>
      <c r="B354" s="8" t="s">
        <v>3863</v>
      </c>
      <c r="C354" s="8" t="s">
        <v>3863</v>
      </c>
      <c r="D354" s="8" t="s">
        <v>354</v>
      </c>
      <c r="E354" s="8" t="s">
        <v>355</v>
      </c>
      <c r="F354" s="9"/>
      <c r="G354" s="8" t="s">
        <v>3864</v>
      </c>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t="str">
        <f t="shared" si="33"/>
        <v/>
      </c>
      <c r="AK354" s="8"/>
      <c r="AL354" s="8"/>
      <c r="AM354" s="8" t="s">
        <v>3865</v>
      </c>
      <c r="AN354" s="9"/>
      <c r="AO354" s="9"/>
      <c r="AP354" s="9"/>
      <c r="AQ354" s="9"/>
      <c r="AR354" s="9"/>
      <c r="AS354" s="9"/>
      <c r="AT354" s="9"/>
      <c r="AU354" s="8" t="s">
        <v>3866</v>
      </c>
      <c r="AV354" s="9"/>
      <c r="AW354" s="8" t="s">
        <v>197</v>
      </c>
      <c r="AX354" s="8" t="s">
        <v>450</v>
      </c>
      <c r="AY354" s="8" t="s">
        <v>3669</v>
      </c>
      <c r="AZ354" s="8" t="b">
        <v>0</v>
      </c>
      <c r="BA354" s="8" t="s">
        <v>190</v>
      </c>
      <c r="BB354" s="8" t="s">
        <v>3867</v>
      </c>
      <c r="BC354" s="9"/>
      <c r="BD354" s="9"/>
      <c r="BE354" s="8" t="s">
        <v>1356</v>
      </c>
      <c r="BF354" s="9"/>
      <c r="BG354" s="9"/>
      <c r="BH354" s="9"/>
      <c r="BI354" s="8" t="s">
        <v>3868</v>
      </c>
      <c r="BJ354" s="8" t="s">
        <v>3869</v>
      </c>
      <c r="BK354" s="9"/>
      <c r="BL354" s="9"/>
      <c r="BM354" s="9"/>
      <c r="BN354" s="9"/>
      <c r="BO354" s="9"/>
      <c r="BP354" s="9"/>
      <c r="BQ354" s="9"/>
      <c r="BR354" s="8" t="s">
        <v>1226</v>
      </c>
      <c r="BS354" s="8" t="s">
        <v>194</v>
      </c>
      <c r="BT354" s="9"/>
      <c r="BU354" s="9"/>
      <c r="BV354" s="8" t="s">
        <v>3870</v>
      </c>
      <c r="BW354" s="9"/>
      <c r="BX354" s="9"/>
      <c r="BY354" s="9"/>
      <c r="BZ354" s="9"/>
      <c r="CA354" s="9"/>
      <c r="CB354" s="8" t="s">
        <v>3871</v>
      </c>
      <c r="CC354" s="9"/>
      <c r="CD354" s="9"/>
      <c r="CE354" s="8" t="s">
        <v>366</v>
      </c>
      <c r="CF354" s="9"/>
      <c r="CG354" s="9"/>
      <c r="CH354" s="9"/>
      <c r="CI354" s="9"/>
      <c r="CJ354" s="9"/>
      <c r="CK354" s="9"/>
      <c r="CL354" s="9"/>
      <c r="CM354" s="9"/>
      <c r="CN354" s="9"/>
      <c r="CO354" s="9"/>
      <c r="CP354" s="9"/>
    </row>
    <row r="355">
      <c r="A355" s="4" t="s">
        <v>3872</v>
      </c>
      <c r="B355" s="5" t="s">
        <v>3873</v>
      </c>
      <c r="C355" s="5" t="s">
        <v>3874</v>
      </c>
      <c r="D355" s="5" t="s">
        <v>94</v>
      </c>
      <c r="E355" s="5" t="s">
        <v>95</v>
      </c>
      <c r="F355" s="6"/>
      <c r="G355" s="5" t="s">
        <v>3875</v>
      </c>
      <c r="H355" s="5" t="s">
        <v>97</v>
      </c>
      <c r="I355" s="5" t="s">
        <v>653</v>
      </c>
      <c r="J355" s="5"/>
      <c r="K355" s="5"/>
      <c r="L355" s="5"/>
      <c r="M355" s="5" t="s">
        <v>3876</v>
      </c>
      <c r="N355" s="5" t="s">
        <v>3877</v>
      </c>
      <c r="O355" s="5" t="s">
        <v>3878</v>
      </c>
      <c r="P355" s="5" t="s">
        <v>100</v>
      </c>
      <c r="Q355" s="5"/>
      <c r="R355" s="5"/>
      <c r="S355" s="5" t="s">
        <v>100</v>
      </c>
      <c r="T355" s="5" t="s">
        <v>100</v>
      </c>
      <c r="U355" s="5" t="s">
        <v>3879</v>
      </c>
      <c r="V355" s="5"/>
      <c r="W355" s="5" t="s">
        <v>100</v>
      </c>
      <c r="X355" s="5" t="s">
        <v>100</v>
      </c>
      <c r="Y355" s="5" t="s">
        <v>100</v>
      </c>
      <c r="Z355" s="5" t="s">
        <v>3880</v>
      </c>
      <c r="AA355" s="5"/>
      <c r="AB355" s="5" t="s">
        <v>100</v>
      </c>
      <c r="AC355" s="5" t="s">
        <v>3881</v>
      </c>
      <c r="AD355" s="5" t="s">
        <v>100</v>
      </c>
      <c r="AE355" s="5" t="s">
        <v>3882</v>
      </c>
      <c r="AF355" s="5" t="s">
        <v>3883</v>
      </c>
      <c r="AG355" s="5" t="s">
        <v>100</v>
      </c>
      <c r="AH355" s="5" t="s">
        <v>100</v>
      </c>
      <c r="AI355" s="5" t="s">
        <v>3884</v>
      </c>
      <c r="AJ355" s="5" t="s">
        <v>3885</v>
      </c>
      <c r="AK355" s="5" t="s">
        <v>103</v>
      </c>
      <c r="AL355" s="5" t="s">
        <v>103</v>
      </c>
      <c r="AM355" s="5" t="s">
        <v>105</v>
      </c>
      <c r="AN355" s="5" t="s">
        <v>3886</v>
      </c>
      <c r="AO355" s="6"/>
      <c r="AP355" s="6"/>
      <c r="AQ355" s="6"/>
      <c r="AR355" s="6"/>
      <c r="AS355" s="6"/>
      <c r="AT355" s="6"/>
      <c r="AU355" s="5" t="s">
        <v>3887</v>
      </c>
      <c r="AV355" s="5" t="s">
        <v>108</v>
      </c>
      <c r="AW355" s="6"/>
      <c r="AX355" s="6"/>
      <c r="AY355" s="5" t="s">
        <v>3888</v>
      </c>
      <c r="AZ355" s="5" t="b">
        <v>0</v>
      </c>
      <c r="BA355" s="5" t="s">
        <v>110</v>
      </c>
      <c r="BB355" s="5" t="s">
        <v>3889</v>
      </c>
      <c r="BC355" s="6"/>
      <c r="BD355" s="6"/>
      <c r="BE355" s="5" t="s">
        <v>3890</v>
      </c>
      <c r="BF355" s="6"/>
      <c r="BG355" s="6"/>
      <c r="BH355" s="6"/>
      <c r="BI355" s="6"/>
      <c r="BJ355" s="6"/>
      <c r="BK355" s="6"/>
      <c r="BL355" s="6"/>
      <c r="BM355" s="6"/>
      <c r="BN355" s="6"/>
      <c r="BO355" s="6"/>
      <c r="BP355" s="6"/>
      <c r="BQ355" s="6"/>
      <c r="BR355" s="6"/>
      <c r="BS355" s="6"/>
      <c r="BT355" s="6"/>
      <c r="BU355" s="6"/>
      <c r="BV355" s="6"/>
      <c r="BW355" s="6"/>
      <c r="BX355" s="6"/>
      <c r="BY355" s="6"/>
      <c r="BZ355" s="6"/>
      <c r="CA355" s="6"/>
      <c r="CB355" s="5" t="s">
        <v>3891</v>
      </c>
      <c r="CC355" s="6"/>
      <c r="CD355" s="6"/>
      <c r="CE355" s="5" t="s">
        <v>1221</v>
      </c>
      <c r="CF355" s="5" t="s">
        <v>3892</v>
      </c>
      <c r="CG355" s="6"/>
      <c r="CH355" s="6"/>
      <c r="CI355" s="6"/>
      <c r="CJ355" s="6"/>
      <c r="CK355" s="6"/>
      <c r="CL355" s="6"/>
      <c r="CM355" s="6"/>
      <c r="CN355" s="6"/>
      <c r="CO355" s="6"/>
      <c r="CP355" s="6"/>
    </row>
    <row r="356">
      <c r="A356" s="4" t="s">
        <v>3893</v>
      </c>
      <c r="B356" s="5" t="s">
        <v>3894</v>
      </c>
      <c r="C356" s="5" t="s">
        <v>3895</v>
      </c>
      <c r="D356" s="5" t="s">
        <v>94</v>
      </c>
      <c r="E356" s="5" t="s">
        <v>95</v>
      </c>
      <c r="F356" s="6"/>
      <c r="G356" s="5" t="s">
        <v>3896</v>
      </c>
      <c r="H356" s="5" t="s">
        <v>97</v>
      </c>
      <c r="I356" s="5" t="s">
        <v>98</v>
      </c>
      <c r="J356" s="5"/>
      <c r="K356" s="5"/>
      <c r="L356" s="5"/>
      <c r="M356" s="5" t="s">
        <v>100</v>
      </c>
      <c r="N356" s="5" t="s">
        <v>100</v>
      </c>
      <c r="O356" s="5" t="s">
        <v>100</v>
      </c>
      <c r="P356" s="5" t="s">
        <v>100</v>
      </c>
      <c r="Q356" s="5"/>
      <c r="R356" s="5"/>
      <c r="S356" s="5" t="s">
        <v>100</v>
      </c>
      <c r="T356" s="5" t="s">
        <v>100</v>
      </c>
      <c r="U356" s="5" t="s">
        <v>100</v>
      </c>
      <c r="V356" s="5" t="s">
        <v>100</v>
      </c>
      <c r="W356" s="5" t="s">
        <v>100</v>
      </c>
      <c r="X356" s="5" t="s">
        <v>100</v>
      </c>
      <c r="Y356" s="5" t="s">
        <v>3897</v>
      </c>
      <c r="Z356" s="5" t="s">
        <v>100</v>
      </c>
      <c r="AA356" s="5"/>
      <c r="AB356" s="5" t="s">
        <v>100</v>
      </c>
      <c r="AC356" s="5" t="s">
        <v>100</v>
      </c>
      <c r="AD356" s="5" t="s">
        <v>100</v>
      </c>
      <c r="AE356" s="5" t="s">
        <v>100</v>
      </c>
      <c r="AF356" s="5" t="s">
        <v>100</v>
      </c>
      <c r="AG356" s="5" t="s">
        <v>100</v>
      </c>
      <c r="AH356" s="5" t="s">
        <v>100</v>
      </c>
      <c r="AI356" s="5" t="s">
        <v>2757</v>
      </c>
      <c r="AJ356" s="10" t="s">
        <v>3897</v>
      </c>
      <c r="AK356" s="5" t="s">
        <v>103</v>
      </c>
      <c r="AL356" s="5" t="s">
        <v>103</v>
      </c>
      <c r="AM356" s="5" t="s">
        <v>105</v>
      </c>
      <c r="AN356" s="5" t="s">
        <v>3382</v>
      </c>
      <c r="AO356" s="6"/>
      <c r="AP356" s="5" t="s">
        <v>3898</v>
      </c>
      <c r="AQ356" s="6"/>
      <c r="AR356" s="6"/>
      <c r="AS356" s="6"/>
      <c r="AT356" s="6"/>
      <c r="AU356" s="5" t="s">
        <v>3899</v>
      </c>
      <c r="AV356" s="6"/>
      <c r="AW356" s="6"/>
      <c r="AX356" s="6"/>
      <c r="AY356" s="5" t="s">
        <v>3888</v>
      </c>
      <c r="AZ356" s="5" t="b">
        <v>0</v>
      </c>
      <c r="BA356" s="5" t="s">
        <v>190</v>
      </c>
      <c r="BB356" s="5" t="s">
        <v>628</v>
      </c>
      <c r="BC356" s="5" t="s">
        <v>629</v>
      </c>
      <c r="BD356" s="5" t="s">
        <v>3763</v>
      </c>
      <c r="BE356" s="5" t="s">
        <v>3900</v>
      </c>
      <c r="BF356" s="6"/>
      <c r="BG356" s="6"/>
      <c r="BH356" s="6"/>
      <c r="BI356" s="6"/>
      <c r="BJ356" s="6"/>
      <c r="BK356" s="5" t="s">
        <v>161</v>
      </c>
      <c r="BL356" s="6"/>
      <c r="BM356" s="6"/>
      <c r="BN356" s="6"/>
      <c r="BO356" s="6"/>
      <c r="BP356" s="6"/>
      <c r="BQ356" s="6"/>
      <c r="BR356" s="5" t="s">
        <v>193</v>
      </c>
      <c r="BS356" s="5" t="s">
        <v>3901</v>
      </c>
      <c r="BT356" s="6"/>
      <c r="BU356" s="5" t="s">
        <v>3902</v>
      </c>
      <c r="BV356" s="5" t="s">
        <v>3903</v>
      </c>
      <c r="BW356" s="6"/>
      <c r="BX356" s="6"/>
      <c r="BY356" s="6"/>
      <c r="BZ356" s="6"/>
      <c r="CA356" s="6"/>
      <c r="CB356" s="5" t="s">
        <v>3904</v>
      </c>
      <c r="CC356" s="6"/>
      <c r="CD356" s="6"/>
      <c r="CE356" s="5" t="s">
        <v>450</v>
      </c>
      <c r="CF356" s="5" t="s">
        <v>3905</v>
      </c>
      <c r="CG356" s="6"/>
      <c r="CH356" s="6"/>
      <c r="CI356" s="6"/>
      <c r="CJ356" s="6"/>
      <c r="CK356" s="6"/>
      <c r="CL356" s="6"/>
      <c r="CM356" s="6"/>
      <c r="CN356" s="6"/>
      <c r="CO356" s="6"/>
      <c r="CP356" s="6"/>
    </row>
    <row r="357">
      <c r="A357" s="4" t="s">
        <v>3906</v>
      </c>
      <c r="B357" s="5" t="s">
        <v>3907</v>
      </c>
      <c r="C357" s="5" t="s">
        <v>3908</v>
      </c>
      <c r="D357" s="5" t="s">
        <v>94</v>
      </c>
      <c r="E357" s="5" t="s">
        <v>95</v>
      </c>
      <c r="F357" s="6"/>
      <c r="G357" s="5" t="s">
        <v>3909</v>
      </c>
      <c r="H357" s="5" t="s">
        <v>97</v>
      </c>
      <c r="I357" s="5" t="s">
        <v>928</v>
      </c>
      <c r="J357" s="5"/>
      <c r="K357" s="5"/>
      <c r="L357" s="5"/>
      <c r="M357" s="5" t="s">
        <v>100</v>
      </c>
      <c r="N357" s="5" t="s">
        <v>100</v>
      </c>
      <c r="O357" s="5" t="s">
        <v>100</v>
      </c>
      <c r="P357" s="5" t="s">
        <v>100</v>
      </c>
      <c r="Q357" s="5"/>
      <c r="R357" s="5"/>
      <c r="S357" s="5" t="s">
        <v>100</v>
      </c>
      <c r="T357" s="5" t="s">
        <v>100</v>
      </c>
      <c r="U357" s="5" t="s">
        <v>100</v>
      </c>
      <c r="V357" s="5" t="s">
        <v>100</v>
      </c>
      <c r="W357" s="5" t="s">
        <v>100</v>
      </c>
      <c r="X357" s="5" t="s">
        <v>100</v>
      </c>
      <c r="Y357" s="5" t="s">
        <v>3910</v>
      </c>
      <c r="Z357" s="5" t="s">
        <v>100</v>
      </c>
      <c r="AA357" s="5"/>
      <c r="AB357" s="5" t="s">
        <v>100</v>
      </c>
      <c r="AC357" s="5" t="s">
        <v>100</v>
      </c>
      <c r="AD357" s="5" t="s">
        <v>100</v>
      </c>
      <c r="AE357" s="5" t="s">
        <v>100</v>
      </c>
      <c r="AF357" s="5" t="s">
        <v>100</v>
      </c>
      <c r="AG357" s="5" t="s">
        <v>100</v>
      </c>
      <c r="AH357" s="5" t="s">
        <v>100</v>
      </c>
      <c r="AI357" s="5" t="s">
        <v>2757</v>
      </c>
      <c r="AJ357" s="5" t="s">
        <v>3910</v>
      </c>
      <c r="AK357" s="5" t="s">
        <v>103</v>
      </c>
      <c r="AL357" s="5" t="s">
        <v>103</v>
      </c>
      <c r="AM357" s="5" t="s">
        <v>105</v>
      </c>
      <c r="AN357" s="5" t="s">
        <v>3382</v>
      </c>
      <c r="AO357" s="6"/>
      <c r="AP357" s="5" t="s">
        <v>626</v>
      </c>
      <c r="AQ357" s="6"/>
      <c r="AR357" s="6"/>
      <c r="AS357" s="6"/>
      <c r="AT357" s="6"/>
      <c r="AU357" s="5" t="s">
        <v>3911</v>
      </c>
      <c r="AV357" s="5" t="s">
        <v>108</v>
      </c>
      <c r="AW357" s="6"/>
      <c r="AX357" s="6"/>
      <c r="AY357" s="5" t="s">
        <v>3888</v>
      </c>
      <c r="AZ357" s="5" t="b">
        <v>0</v>
      </c>
      <c r="BA357" s="5" t="s">
        <v>110</v>
      </c>
      <c r="BB357" s="5" t="s">
        <v>2774</v>
      </c>
      <c r="BC357" s="6"/>
      <c r="BD357" s="6"/>
      <c r="BE357" s="5" t="s">
        <v>3912</v>
      </c>
      <c r="BF357" s="6"/>
      <c r="BG357" s="6"/>
      <c r="BH357" s="6"/>
      <c r="BI357" s="6"/>
      <c r="BJ357" s="6"/>
      <c r="BK357" s="6"/>
      <c r="BL357" s="6"/>
      <c r="BM357" s="6"/>
      <c r="BN357" s="6"/>
      <c r="BO357" s="6"/>
      <c r="BP357" s="6"/>
      <c r="BQ357" s="6"/>
      <c r="BR357" s="6"/>
      <c r="BS357" s="6"/>
      <c r="BT357" s="6"/>
      <c r="BU357" s="6"/>
      <c r="BV357" s="6"/>
      <c r="BW357" s="6"/>
      <c r="BX357" s="6"/>
      <c r="BY357" s="6"/>
      <c r="BZ357" s="6"/>
      <c r="CA357" s="6"/>
      <c r="CB357" s="5" t="s">
        <v>3913</v>
      </c>
      <c r="CC357" s="6"/>
      <c r="CD357" s="6"/>
      <c r="CE357" s="5" t="s">
        <v>450</v>
      </c>
      <c r="CF357" s="5" t="s">
        <v>3914</v>
      </c>
      <c r="CG357" s="6"/>
      <c r="CH357" s="6"/>
      <c r="CI357" s="6"/>
      <c r="CJ357" s="6"/>
      <c r="CK357" s="6"/>
      <c r="CL357" s="6"/>
      <c r="CM357" s="6"/>
      <c r="CN357" s="6"/>
      <c r="CO357" s="6"/>
      <c r="CP357" s="6"/>
    </row>
    <row r="358">
      <c r="A358" s="7" t="s">
        <v>3915</v>
      </c>
      <c r="B358" s="8" t="s">
        <v>3916</v>
      </c>
      <c r="C358" s="8" t="s">
        <v>3917</v>
      </c>
      <c r="D358" s="8" t="s">
        <v>94</v>
      </c>
      <c r="E358" s="8" t="s">
        <v>95</v>
      </c>
      <c r="F358" s="9"/>
      <c r="G358" s="8" t="s">
        <v>3918</v>
      </c>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t="str">
        <f t="shared" ref="AJ358:AJ377" si="34">CONCATENATE(J358,K358,L358,Q358,R358,X358,Y358,AA358,AG358)</f>
        <v/>
      </c>
      <c r="AK358" s="8"/>
      <c r="AL358" s="8"/>
      <c r="AM358" s="8" t="s">
        <v>105</v>
      </c>
      <c r="AN358" s="8" t="s">
        <v>3919</v>
      </c>
      <c r="AO358" s="9"/>
      <c r="AP358" s="9"/>
      <c r="AQ358" s="9"/>
      <c r="AR358" s="9"/>
      <c r="AS358" s="9"/>
      <c r="AT358" s="9"/>
      <c r="AU358" s="8" t="s">
        <v>3920</v>
      </c>
      <c r="AV358" s="8" t="s">
        <v>108</v>
      </c>
      <c r="AW358" s="9"/>
      <c r="AX358" s="9"/>
      <c r="AY358" s="8" t="s">
        <v>3888</v>
      </c>
      <c r="AZ358" s="8" t="b">
        <v>0</v>
      </c>
      <c r="BA358" s="8" t="s">
        <v>110</v>
      </c>
      <c r="BB358" s="8" t="s">
        <v>773</v>
      </c>
      <c r="BC358" s="9"/>
      <c r="BD358" s="9"/>
      <c r="BE358" s="8" t="s">
        <v>3921</v>
      </c>
      <c r="BF358" s="9"/>
      <c r="BG358" s="9"/>
      <c r="BH358" s="9"/>
      <c r="BI358" s="9"/>
      <c r="BJ358" s="9"/>
      <c r="BK358" s="9"/>
      <c r="BL358" s="9"/>
      <c r="BM358" s="9"/>
      <c r="BN358" s="9"/>
      <c r="BO358" s="9"/>
      <c r="BP358" s="9"/>
      <c r="BQ358" s="9"/>
      <c r="BR358" s="9"/>
      <c r="BS358" s="9"/>
      <c r="BT358" s="9"/>
      <c r="BU358" s="9"/>
      <c r="BV358" s="9"/>
      <c r="BW358" s="9"/>
      <c r="BX358" s="9"/>
      <c r="BY358" s="9"/>
      <c r="BZ358" s="9"/>
      <c r="CA358" s="9"/>
      <c r="CB358" s="8" t="s">
        <v>2487</v>
      </c>
      <c r="CC358" s="9"/>
      <c r="CD358" s="9"/>
      <c r="CE358" s="8" t="s">
        <v>302</v>
      </c>
      <c r="CF358" s="8" t="s">
        <v>3922</v>
      </c>
      <c r="CG358" s="9"/>
      <c r="CH358" s="9"/>
      <c r="CI358" s="9"/>
      <c r="CJ358" s="9"/>
      <c r="CK358" s="9"/>
      <c r="CL358" s="9"/>
      <c r="CM358" s="9"/>
      <c r="CN358" s="9"/>
      <c r="CO358" s="9"/>
      <c r="CP358" s="9"/>
    </row>
    <row r="359">
      <c r="A359" s="7" t="s">
        <v>3923</v>
      </c>
      <c r="B359" s="8" t="s">
        <v>3924</v>
      </c>
      <c r="C359" s="8" t="s">
        <v>3925</v>
      </c>
      <c r="D359" s="8" t="s">
        <v>94</v>
      </c>
      <c r="E359" s="8" t="s">
        <v>95</v>
      </c>
      <c r="F359" s="9"/>
      <c r="G359" s="8" t="s">
        <v>3814</v>
      </c>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t="str">
        <f t="shared" si="34"/>
        <v/>
      </c>
      <c r="AK359" s="8"/>
      <c r="AL359" s="8"/>
      <c r="AM359" s="8" t="s">
        <v>105</v>
      </c>
      <c r="AN359" s="8" t="s">
        <v>3926</v>
      </c>
      <c r="AO359" s="9"/>
      <c r="AP359" s="8" t="s">
        <v>97</v>
      </c>
      <c r="AQ359" s="9"/>
      <c r="AR359" s="9"/>
      <c r="AS359" s="9"/>
      <c r="AT359" s="9"/>
      <c r="AU359" s="8" t="s">
        <v>3927</v>
      </c>
      <c r="AV359" s="9"/>
      <c r="AW359" s="9"/>
      <c r="AX359" s="9"/>
      <c r="AY359" s="8" t="s">
        <v>3888</v>
      </c>
      <c r="AZ359" s="8" t="b">
        <v>0</v>
      </c>
      <c r="BA359" s="8" t="s">
        <v>190</v>
      </c>
      <c r="BB359" s="8" t="s">
        <v>191</v>
      </c>
      <c r="BC359" s="9"/>
      <c r="BD359" s="9"/>
      <c r="BE359" s="8" t="s">
        <v>3928</v>
      </c>
      <c r="BF359" s="9"/>
      <c r="BG359" s="9"/>
      <c r="BH359" s="9"/>
      <c r="BI359" s="9"/>
      <c r="BJ359" s="9"/>
      <c r="BK359" s="9"/>
      <c r="BL359" s="9"/>
      <c r="BM359" s="9"/>
      <c r="BN359" s="9"/>
      <c r="BO359" s="9"/>
      <c r="BP359" s="9"/>
      <c r="BQ359" s="9"/>
      <c r="BR359" s="8" t="s">
        <v>193</v>
      </c>
      <c r="BS359" s="8" t="s">
        <v>194</v>
      </c>
      <c r="BT359" s="9"/>
      <c r="BU359" s="9"/>
      <c r="BV359" s="8" t="s">
        <v>3929</v>
      </c>
      <c r="BW359" s="9"/>
      <c r="BX359" s="9"/>
      <c r="BY359" s="9"/>
      <c r="BZ359" s="9"/>
      <c r="CA359" s="9"/>
      <c r="CB359" s="8" t="s">
        <v>3930</v>
      </c>
      <c r="CC359" s="9"/>
      <c r="CD359" s="9"/>
      <c r="CE359" s="8" t="s">
        <v>450</v>
      </c>
      <c r="CF359" s="8" t="s">
        <v>3931</v>
      </c>
      <c r="CG359" s="9"/>
      <c r="CH359" s="9"/>
      <c r="CI359" s="9"/>
      <c r="CJ359" s="9"/>
      <c r="CK359" s="9"/>
      <c r="CL359" s="9"/>
      <c r="CM359" s="9"/>
      <c r="CN359" s="9"/>
      <c r="CO359" s="9"/>
      <c r="CP359" s="9"/>
    </row>
    <row r="360">
      <c r="A360" s="7" t="s">
        <v>3932</v>
      </c>
      <c r="B360" s="8" t="s">
        <v>3933</v>
      </c>
      <c r="C360" s="8" t="s">
        <v>3934</v>
      </c>
      <c r="D360" s="8" t="s">
        <v>94</v>
      </c>
      <c r="E360" s="8" t="s">
        <v>95</v>
      </c>
      <c r="F360" s="9"/>
      <c r="G360" s="8" t="s">
        <v>3935</v>
      </c>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t="str">
        <f t="shared" si="34"/>
        <v/>
      </c>
      <c r="AK360" s="8"/>
      <c r="AL360" s="8"/>
      <c r="AM360" s="8" t="s">
        <v>105</v>
      </c>
      <c r="AN360" s="8" t="s">
        <v>3926</v>
      </c>
      <c r="AO360" s="9"/>
      <c r="AP360" s="8" t="s">
        <v>3936</v>
      </c>
      <c r="AQ360" s="9"/>
      <c r="AR360" s="9"/>
      <c r="AS360" s="9"/>
      <c r="AT360" s="9"/>
      <c r="AU360" s="8" t="s">
        <v>3937</v>
      </c>
      <c r="AV360" s="8" t="s">
        <v>108</v>
      </c>
      <c r="AW360" s="9"/>
      <c r="AX360" s="9"/>
      <c r="AY360" s="8" t="s">
        <v>3888</v>
      </c>
      <c r="AZ360" s="8" t="b">
        <v>0</v>
      </c>
      <c r="BA360" s="8" t="s">
        <v>110</v>
      </c>
      <c r="BB360" s="8" t="s">
        <v>3938</v>
      </c>
      <c r="BC360" s="9"/>
      <c r="BD360" s="9"/>
      <c r="BE360" s="8" t="s">
        <v>3939</v>
      </c>
      <c r="BF360" s="9"/>
      <c r="BG360" s="9"/>
      <c r="BH360" s="9"/>
      <c r="BI360" s="9"/>
      <c r="BJ360" s="9"/>
      <c r="BK360" s="9"/>
      <c r="BL360" s="9"/>
      <c r="BM360" s="9"/>
      <c r="BN360" s="9"/>
      <c r="BO360" s="9"/>
      <c r="BP360" s="9"/>
      <c r="BQ360" s="9"/>
      <c r="BR360" s="9"/>
      <c r="BS360" s="9"/>
      <c r="BT360" s="9"/>
      <c r="BU360" s="9"/>
      <c r="BV360" s="9"/>
      <c r="BW360" s="9"/>
      <c r="BX360" s="9"/>
      <c r="BY360" s="9"/>
      <c r="BZ360" s="9"/>
      <c r="CA360" s="9"/>
      <c r="CB360" s="8" t="s">
        <v>2530</v>
      </c>
      <c r="CC360" s="9"/>
      <c r="CD360" s="9"/>
      <c r="CE360" s="8" t="s">
        <v>115</v>
      </c>
      <c r="CF360" s="8" t="s">
        <v>3940</v>
      </c>
      <c r="CG360" s="9"/>
      <c r="CH360" s="9"/>
      <c r="CI360" s="9"/>
      <c r="CJ360" s="9"/>
      <c r="CK360" s="9"/>
      <c r="CL360" s="9"/>
      <c r="CM360" s="9"/>
      <c r="CN360" s="9"/>
      <c r="CO360" s="9"/>
      <c r="CP360" s="9"/>
    </row>
    <row r="361">
      <c r="A361" s="7" t="s">
        <v>3941</v>
      </c>
      <c r="B361" s="8" t="s">
        <v>3942</v>
      </c>
      <c r="C361" s="8" t="s">
        <v>3943</v>
      </c>
      <c r="D361" s="8" t="s">
        <v>94</v>
      </c>
      <c r="E361" s="8" t="s">
        <v>95</v>
      </c>
      <c r="F361" s="9"/>
      <c r="G361" s="8" t="s">
        <v>3944</v>
      </c>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t="str">
        <f t="shared" si="34"/>
        <v/>
      </c>
      <c r="AK361" s="8"/>
      <c r="AL361" s="8"/>
      <c r="AM361" s="8" t="s">
        <v>105</v>
      </c>
      <c r="AN361" s="8" t="s">
        <v>3945</v>
      </c>
      <c r="AO361" s="9"/>
      <c r="AP361" s="9"/>
      <c r="AQ361" s="9"/>
      <c r="AR361" s="9"/>
      <c r="AS361" s="9"/>
      <c r="AT361" s="9"/>
      <c r="AU361" s="8" t="s">
        <v>3946</v>
      </c>
      <c r="AV361" s="8" t="s">
        <v>108</v>
      </c>
      <c r="AW361" s="9"/>
      <c r="AX361" s="9"/>
      <c r="AY361" s="8" t="s">
        <v>3888</v>
      </c>
      <c r="AZ361" s="8" t="b">
        <v>0</v>
      </c>
      <c r="BA361" s="8" t="s">
        <v>110</v>
      </c>
      <c r="BB361" s="8" t="s">
        <v>2774</v>
      </c>
      <c r="BC361" s="9"/>
      <c r="BD361" s="9"/>
      <c r="BE361" s="8" t="s">
        <v>3947</v>
      </c>
      <c r="BF361" s="9"/>
      <c r="BG361" s="9"/>
      <c r="BH361" s="9"/>
      <c r="BI361" s="9"/>
      <c r="BJ361" s="9"/>
      <c r="BK361" s="9"/>
      <c r="BL361" s="9"/>
      <c r="BM361" s="9"/>
      <c r="BN361" s="9"/>
      <c r="BO361" s="9"/>
      <c r="BP361" s="9"/>
      <c r="BQ361" s="9"/>
      <c r="BR361" s="9"/>
      <c r="BS361" s="9"/>
      <c r="BT361" s="9"/>
      <c r="BU361" s="9"/>
      <c r="BV361" s="9"/>
      <c r="BW361" s="9"/>
      <c r="BX361" s="9"/>
      <c r="BY361" s="9"/>
      <c r="BZ361" s="9"/>
      <c r="CA361" s="9"/>
      <c r="CB361" s="8" t="s">
        <v>2530</v>
      </c>
      <c r="CC361" s="9"/>
      <c r="CD361" s="9"/>
      <c r="CE361" s="8" t="s">
        <v>393</v>
      </c>
      <c r="CF361" s="8" t="s">
        <v>3948</v>
      </c>
      <c r="CG361" s="9"/>
      <c r="CH361" s="9"/>
      <c r="CI361" s="9"/>
      <c r="CJ361" s="9"/>
      <c r="CK361" s="9"/>
      <c r="CL361" s="9"/>
      <c r="CM361" s="9"/>
      <c r="CN361" s="9"/>
      <c r="CO361" s="9"/>
      <c r="CP361" s="9"/>
    </row>
    <row r="362">
      <c r="A362" s="7" t="s">
        <v>3949</v>
      </c>
      <c r="B362" s="8" t="s">
        <v>3950</v>
      </c>
      <c r="C362" s="8" t="s">
        <v>3951</v>
      </c>
      <c r="D362" s="8" t="s">
        <v>94</v>
      </c>
      <c r="E362" s="8" t="s">
        <v>95</v>
      </c>
      <c r="F362" s="9"/>
      <c r="G362" s="8" t="s">
        <v>3952</v>
      </c>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t="str">
        <f t="shared" si="34"/>
        <v/>
      </c>
      <c r="AK362" s="8"/>
      <c r="AL362" s="8"/>
      <c r="AM362" s="8" t="s">
        <v>105</v>
      </c>
      <c r="AN362" s="8" t="s">
        <v>3953</v>
      </c>
      <c r="AO362" s="9"/>
      <c r="AP362" s="9"/>
      <c r="AQ362" s="9"/>
      <c r="AR362" s="9"/>
      <c r="AS362" s="9"/>
      <c r="AT362" s="9"/>
      <c r="AU362" s="8" t="s">
        <v>3954</v>
      </c>
      <c r="AV362" s="9"/>
      <c r="AW362" s="9"/>
      <c r="AX362" s="9"/>
      <c r="AY362" s="8" t="s">
        <v>3888</v>
      </c>
      <c r="AZ362" s="8" t="b">
        <v>0</v>
      </c>
      <c r="BA362" s="8" t="s">
        <v>190</v>
      </c>
      <c r="BB362" s="8" t="s">
        <v>191</v>
      </c>
      <c r="BC362" s="9"/>
      <c r="BD362" s="9"/>
      <c r="BE362" s="8" t="s">
        <v>3955</v>
      </c>
      <c r="BF362" s="9"/>
      <c r="BG362" s="9"/>
      <c r="BH362" s="9"/>
      <c r="BI362" s="9"/>
      <c r="BJ362" s="9"/>
      <c r="BK362" s="9"/>
      <c r="BL362" s="9"/>
      <c r="BM362" s="9"/>
      <c r="BN362" s="9"/>
      <c r="BO362" s="9"/>
      <c r="BP362" s="9"/>
      <c r="BQ362" s="9"/>
      <c r="BR362" s="8" t="s">
        <v>193</v>
      </c>
      <c r="BS362" s="8" t="s">
        <v>194</v>
      </c>
      <c r="BT362" s="8" t="s">
        <v>2802</v>
      </c>
      <c r="BU362" s="9"/>
      <c r="BV362" s="8" t="s">
        <v>3956</v>
      </c>
      <c r="BW362" s="9"/>
      <c r="BX362" s="9"/>
      <c r="BY362" s="9"/>
      <c r="BZ362" s="9"/>
      <c r="CA362" s="9"/>
      <c r="CB362" s="8" t="s">
        <v>3957</v>
      </c>
      <c r="CC362" s="9"/>
      <c r="CD362" s="9"/>
      <c r="CE362" s="8" t="s">
        <v>1288</v>
      </c>
      <c r="CF362" s="8" t="s">
        <v>3958</v>
      </c>
      <c r="CG362" s="9"/>
      <c r="CH362" s="9"/>
      <c r="CI362" s="9"/>
      <c r="CJ362" s="9"/>
      <c r="CK362" s="9"/>
      <c r="CL362" s="9"/>
      <c r="CM362" s="9"/>
      <c r="CN362" s="9"/>
      <c r="CO362" s="9"/>
      <c r="CP362" s="9"/>
    </row>
    <row r="363">
      <c r="A363" s="7" t="s">
        <v>3959</v>
      </c>
      <c r="B363" s="8" t="s">
        <v>3960</v>
      </c>
      <c r="C363" s="8" t="s">
        <v>3961</v>
      </c>
      <c r="D363" s="8" t="s">
        <v>94</v>
      </c>
      <c r="E363" s="8" t="s">
        <v>95</v>
      </c>
      <c r="F363" s="9"/>
      <c r="G363" s="8" t="s">
        <v>3962</v>
      </c>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t="str">
        <f t="shared" si="34"/>
        <v/>
      </c>
      <c r="AK363" s="8"/>
      <c r="AL363" s="8"/>
      <c r="AM363" s="8" t="s">
        <v>105</v>
      </c>
      <c r="AN363" s="8" t="s">
        <v>3963</v>
      </c>
      <c r="AO363" s="9"/>
      <c r="AP363" s="9"/>
      <c r="AQ363" s="9"/>
      <c r="AR363" s="9"/>
      <c r="AS363" s="9"/>
      <c r="AT363" s="9"/>
      <c r="AU363" s="8" t="s">
        <v>3964</v>
      </c>
      <c r="AV363" s="9"/>
      <c r="AW363" s="9"/>
      <c r="AX363" s="9"/>
      <c r="AY363" s="8" t="s">
        <v>3888</v>
      </c>
      <c r="AZ363" s="8" t="b">
        <v>0</v>
      </c>
      <c r="BA363" s="8" t="s">
        <v>190</v>
      </c>
      <c r="BB363" s="8" t="s">
        <v>191</v>
      </c>
      <c r="BC363" s="9"/>
      <c r="BD363" s="9"/>
      <c r="BE363" s="8" t="s">
        <v>3965</v>
      </c>
      <c r="BF363" s="9"/>
      <c r="BG363" s="9"/>
      <c r="BH363" s="9"/>
      <c r="BI363" s="9"/>
      <c r="BJ363" s="9"/>
      <c r="BK363" s="9"/>
      <c r="BL363" s="9"/>
      <c r="BM363" s="9"/>
      <c r="BN363" s="9"/>
      <c r="BO363" s="9"/>
      <c r="BP363" s="9"/>
      <c r="BQ363" s="9"/>
      <c r="BR363" s="8" t="s">
        <v>193</v>
      </c>
      <c r="BS363" s="8" t="s">
        <v>194</v>
      </c>
      <c r="BT363" s="9"/>
      <c r="BU363" s="9"/>
      <c r="BV363" s="9"/>
      <c r="BW363" s="9"/>
      <c r="BX363" s="9"/>
      <c r="BY363" s="9"/>
      <c r="BZ363" s="9"/>
      <c r="CA363" s="9"/>
      <c r="CB363" s="8" t="s">
        <v>3372</v>
      </c>
      <c r="CC363" s="9"/>
      <c r="CD363" s="9"/>
      <c r="CE363" s="8" t="s">
        <v>450</v>
      </c>
      <c r="CF363" s="8" t="s">
        <v>3966</v>
      </c>
      <c r="CG363" s="9"/>
      <c r="CH363" s="9"/>
      <c r="CI363" s="9"/>
      <c r="CJ363" s="9"/>
      <c r="CK363" s="9"/>
      <c r="CL363" s="9"/>
      <c r="CM363" s="9"/>
      <c r="CN363" s="9"/>
      <c r="CO363" s="9"/>
      <c r="CP363" s="9"/>
    </row>
    <row r="364">
      <c r="A364" s="7" t="s">
        <v>3967</v>
      </c>
      <c r="B364" s="8" t="s">
        <v>3968</v>
      </c>
      <c r="C364" s="8" t="s">
        <v>3969</v>
      </c>
      <c r="D364" s="8" t="s">
        <v>94</v>
      </c>
      <c r="E364" s="8" t="s">
        <v>95</v>
      </c>
      <c r="F364" s="9"/>
      <c r="G364" s="8" t="s">
        <v>3970</v>
      </c>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t="str">
        <f t="shared" si="34"/>
        <v/>
      </c>
      <c r="AK364" s="8"/>
      <c r="AL364" s="8"/>
      <c r="AM364" s="8" t="s">
        <v>105</v>
      </c>
      <c r="AN364" s="8" t="s">
        <v>3971</v>
      </c>
      <c r="AO364" s="9"/>
      <c r="AP364" s="8" t="s">
        <v>899</v>
      </c>
      <c r="AQ364" s="9"/>
      <c r="AR364" s="9"/>
      <c r="AS364" s="9"/>
      <c r="AT364" s="9"/>
      <c r="AU364" s="8" t="s">
        <v>3972</v>
      </c>
      <c r="AV364" s="8" t="s">
        <v>108</v>
      </c>
      <c r="AW364" s="9"/>
      <c r="AX364" s="9"/>
      <c r="AY364" s="8" t="s">
        <v>3888</v>
      </c>
      <c r="AZ364" s="8" t="b">
        <v>0</v>
      </c>
      <c r="BA364" s="8" t="s">
        <v>110</v>
      </c>
      <c r="BB364" s="8" t="s">
        <v>773</v>
      </c>
      <c r="BC364" s="9"/>
      <c r="BD364" s="9"/>
      <c r="BE364" s="8" t="s">
        <v>3973</v>
      </c>
      <c r="BF364" s="9"/>
      <c r="BG364" s="9"/>
      <c r="BH364" s="9"/>
      <c r="BI364" s="9"/>
      <c r="BJ364" s="9"/>
      <c r="BK364" s="9"/>
      <c r="BL364" s="9"/>
      <c r="BM364" s="9"/>
      <c r="BN364" s="9"/>
      <c r="BO364" s="9"/>
      <c r="BP364" s="9"/>
      <c r="BQ364" s="9"/>
      <c r="BR364" s="9"/>
      <c r="BS364" s="9"/>
      <c r="BT364" s="9"/>
      <c r="BU364" s="9"/>
      <c r="BV364" s="9"/>
      <c r="BW364" s="9"/>
      <c r="BX364" s="9"/>
      <c r="BY364" s="9"/>
      <c r="BZ364" s="9"/>
      <c r="CA364" s="9"/>
      <c r="CB364" s="8" t="s">
        <v>3974</v>
      </c>
      <c r="CC364" s="9"/>
      <c r="CD364" s="9"/>
      <c r="CE364" s="8" t="s">
        <v>115</v>
      </c>
      <c r="CF364" s="8" t="s">
        <v>3975</v>
      </c>
      <c r="CG364" s="9"/>
      <c r="CH364" s="9"/>
      <c r="CI364" s="9"/>
      <c r="CJ364" s="9"/>
      <c r="CK364" s="9"/>
      <c r="CL364" s="9"/>
      <c r="CM364" s="9"/>
      <c r="CN364" s="9"/>
      <c r="CO364" s="9"/>
      <c r="CP364" s="9"/>
    </row>
    <row r="365">
      <c r="A365" s="7" t="s">
        <v>3976</v>
      </c>
      <c r="B365" s="8" t="s">
        <v>3977</v>
      </c>
      <c r="C365" s="8" t="s">
        <v>3978</v>
      </c>
      <c r="D365" s="8" t="s">
        <v>94</v>
      </c>
      <c r="E365" s="8" t="s">
        <v>95</v>
      </c>
      <c r="F365" s="9"/>
      <c r="G365" s="8" t="s">
        <v>3979</v>
      </c>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t="str">
        <f t="shared" si="34"/>
        <v/>
      </c>
      <c r="AK365" s="8"/>
      <c r="AL365" s="8"/>
      <c r="AM365" s="8" t="s">
        <v>1877</v>
      </c>
      <c r="AN365" s="8" t="s">
        <v>3980</v>
      </c>
      <c r="AO365" s="9"/>
      <c r="AP365" s="9"/>
      <c r="AQ365" s="9"/>
      <c r="AR365" s="8" t="s">
        <v>1879</v>
      </c>
      <c r="AS365" s="8" t="s">
        <v>1880</v>
      </c>
      <c r="AT365" s="9"/>
      <c r="AU365" s="8" t="s">
        <v>3981</v>
      </c>
      <c r="AV365" s="8" t="s">
        <v>108</v>
      </c>
      <c r="AW365" s="9"/>
      <c r="AX365" s="9"/>
      <c r="AY365" s="8" t="s">
        <v>3888</v>
      </c>
      <c r="AZ365" s="8" t="b">
        <v>0</v>
      </c>
      <c r="BA365" s="8" t="s">
        <v>110</v>
      </c>
      <c r="BB365" s="9"/>
      <c r="BC365" s="9"/>
      <c r="BD365" s="9"/>
      <c r="BE365" s="8" t="s">
        <v>3982</v>
      </c>
      <c r="BF365" s="9"/>
      <c r="BG365" s="9"/>
      <c r="BH365" s="9"/>
      <c r="BI365" s="9"/>
      <c r="BJ365" s="9"/>
      <c r="BK365" s="9"/>
      <c r="BL365" s="9"/>
      <c r="BM365" s="9"/>
      <c r="BN365" s="9"/>
      <c r="BO365" s="9"/>
      <c r="BP365" s="9"/>
      <c r="BQ365" s="9"/>
      <c r="BR365" s="9"/>
      <c r="BS365" s="9"/>
      <c r="BT365" s="9"/>
      <c r="BU365" s="9"/>
      <c r="BV365" s="9"/>
      <c r="BW365" s="9"/>
      <c r="BX365" s="9"/>
      <c r="BY365" s="9"/>
      <c r="BZ365" s="9"/>
      <c r="CA365" s="9"/>
      <c r="CB365" s="8" t="s">
        <v>3983</v>
      </c>
      <c r="CC365" s="9"/>
      <c r="CD365" s="9"/>
      <c r="CE365" s="8" t="s">
        <v>115</v>
      </c>
      <c r="CF365" s="8" t="s">
        <v>3984</v>
      </c>
      <c r="CG365" s="9"/>
      <c r="CH365" s="9"/>
      <c r="CI365" s="9"/>
      <c r="CJ365" s="9"/>
      <c r="CK365" s="9"/>
      <c r="CL365" s="9"/>
      <c r="CM365" s="9"/>
      <c r="CN365" s="9"/>
      <c r="CO365" s="9"/>
      <c r="CP365" s="9"/>
    </row>
    <row r="366">
      <c r="A366" s="7" t="s">
        <v>3985</v>
      </c>
      <c r="B366" s="8" t="s">
        <v>3986</v>
      </c>
      <c r="C366" s="8" t="s">
        <v>3987</v>
      </c>
      <c r="D366" s="8" t="s">
        <v>94</v>
      </c>
      <c r="E366" s="8" t="s">
        <v>95</v>
      </c>
      <c r="F366" s="9"/>
      <c r="G366" s="8" t="s">
        <v>3988</v>
      </c>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t="str">
        <f t="shared" si="34"/>
        <v/>
      </c>
      <c r="AK366" s="8"/>
      <c r="AL366" s="8"/>
      <c r="AM366" s="8" t="s">
        <v>1477</v>
      </c>
      <c r="AN366" s="8" t="s">
        <v>3989</v>
      </c>
      <c r="AO366" s="9"/>
      <c r="AP366" s="9"/>
      <c r="AQ366" s="9"/>
      <c r="AR366" s="8" t="s">
        <v>1479</v>
      </c>
      <c r="AS366" s="8" t="s">
        <v>1480</v>
      </c>
      <c r="AT366" s="9"/>
      <c r="AU366" s="8" t="s">
        <v>3990</v>
      </c>
      <c r="AV366" s="8" t="s">
        <v>108</v>
      </c>
      <c r="AW366" s="9"/>
      <c r="AX366" s="9"/>
      <c r="AY366" s="8" t="s">
        <v>3888</v>
      </c>
      <c r="AZ366" s="8" t="b">
        <v>0</v>
      </c>
      <c r="BA366" s="8" t="s">
        <v>110</v>
      </c>
      <c r="BB366" s="8" t="s">
        <v>2637</v>
      </c>
      <c r="BC366" s="9"/>
      <c r="BD366" s="9"/>
      <c r="BE366" s="8" t="s">
        <v>3991</v>
      </c>
      <c r="BF366" s="9"/>
      <c r="BG366" s="9"/>
      <c r="BH366" s="9"/>
      <c r="BI366" s="9"/>
      <c r="BJ366" s="9"/>
      <c r="BK366" s="9"/>
      <c r="BL366" s="9"/>
      <c r="BM366" s="9"/>
      <c r="BN366" s="9"/>
      <c r="BO366" s="9"/>
      <c r="BP366" s="9"/>
      <c r="BQ366" s="9"/>
      <c r="BR366" s="9"/>
      <c r="BS366" s="9"/>
      <c r="BT366" s="9"/>
      <c r="BU366" s="9"/>
      <c r="BV366" s="9"/>
      <c r="BW366" s="9"/>
      <c r="BX366" s="9"/>
      <c r="BY366" s="9"/>
      <c r="BZ366" s="9"/>
      <c r="CA366" s="9"/>
      <c r="CB366" s="8" t="s">
        <v>3992</v>
      </c>
      <c r="CC366" s="9"/>
      <c r="CD366" s="9"/>
      <c r="CE366" s="8" t="s">
        <v>366</v>
      </c>
      <c r="CF366" s="8" t="s">
        <v>3993</v>
      </c>
      <c r="CG366" s="9"/>
      <c r="CH366" s="9"/>
      <c r="CI366" s="9"/>
      <c r="CJ366" s="9"/>
      <c r="CK366" s="9"/>
      <c r="CL366" s="9"/>
      <c r="CM366" s="9"/>
      <c r="CN366" s="9"/>
      <c r="CO366" s="9"/>
      <c r="CP366" s="9"/>
    </row>
    <row r="367">
      <c r="A367" s="7" t="s">
        <v>3994</v>
      </c>
      <c r="B367" s="8" t="s">
        <v>3995</v>
      </c>
      <c r="C367" s="8" t="s">
        <v>3996</v>
      </c>
      <c r="D367" s="8" t="s">
        <v>94</v>
      </c>
      <c r="E367" s="8" t="s">
        <v>95</v>
      </c>
      <c r="F367" s="9"/>
      <c r="G367" s="8" t="s">
        <v>3997</v>
      </c>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t="str">
        <f t="shared" si="34"/>
        <v/>
      </c>
      <c r="AK367" s="8"/>
      <c r="AL367" s="8"/>
      <c r="AM367" s="8" t="s">
        <v>1477</v>
      </c>
      <c r="AN367" s="8" t="s">
        <v>3998</v>
      </c>
      <c r="AO367" s="9"/>
      <c r="AP367" s="9"/>
      <c r="AQ367" s="9"/>
      <c r="AR367" s="8" t="s">
        <v>1479</v>
      </c>
      <c r="AS367" s="8" t="s">
        <v>1480</v>
      </c>
      <c r="AT367" s="9"/>
      <c r="AU367" s="8" t="s">
        <v>3999</v>
      </c>
      <c r="AV367" s="8" t="s">
        <v>108</v>
      </c>
      <c r="AW367" s="9"/>
      <c r="AX367" s="9"/>
      <c r="AY367" s="8" t="s">
        <v>3888</v>
      </c>
      <c r="AZ367" s="8" t="b">
        <v>0</v>
      </c>
      <c r="BA367" s="8" t="s">
        <v>110</v>
      </c>
      <c r="BB367" s="8" t="s">
        <v>3418</v>
      </c>
      <c r="BC367" s="9"/>
      <c r="BD367" s="9"/>
      <c r="BE367" s="8" t="s">
        <v>4000</v>
      </c>
      <c r="BF367" s="9"/>
      <c r="BG367" s="9"/>
      <c r="BH367" s="9"/>
      <c r="BI367" s="9"/>
      <c r="BJ367" s="9"/>
      <c r="BK367" s="9"/>
      <c r="BL367" s="9"/>
      <c r="BM367" s="9"/>
      <c r="BN367" s="9"/>
      <c r="BO367" s="9"/>
      <c r="BP367" s="9"/>
      <c r="BQ367" s="9"/>
      <c r="BR367" s="9"/>
      <c r="BS367" s="9"/>
      <c r="BT367" s="9"/>
      <c r="BU367" s="9"/>
      <c r="BV367" s="9"/>
      <c r="BW367" s="9"/>
      <c r="BX367" s="9"/>
      <c r="BY367" s="9"/>
      <c r="BZ367" s="9"/>
      <c r="CA367" s="9"/>
      <c r="CB367" s="8" t="s">
        <v>4001</v>
      </c>
      <c r="CC367" s="9"/>
      <c r="CD367" s="9"/>
      <c r="CE367" s="8" t="s">
        <v>450</v>
      </c>
      <c r="CF367" s="8" t="s">
        <v>4002</v>
      </c>
      <c r="CG367" s="9"/>
      <c r="CH367" s="9"/>
      <c r="CI367" s="9"/>
      <c r="CJ367" s="9"/>
      <c r="CK367" s="9"/>
      <c r="CL367" s="9"/>
      <c r="CM367" s="9"/>
      <c r="CN367" s="9"/>
      <c r="CO367" s="9"/>
      <c r="CP367" s="9"/>
    </row>
    <row r="368">
      <c r="A368" s="7" t="s">
        <v>4003</v>
      </c>
      <c r="B368" s="8" t="s">
        <v>4004</v>
      </c>
      <c r="C368" s="8" t="s">
        <v>4005</v>
      </c>
      <c r="D368" s="8" t="s">
        <v>94</v>
      </c>
      <c r="E368" s="8" t="s">
        <v>95</v>
      </c>
      <c r="F368" s="9"/>
      <c r="G368" s="8" t="s">
        <v>4006</v>
      </c>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t="str">
        <f t="shared" si="34"/>
        <v/>
      </c>
      <c r="AK368" s="8"/>
      <c r="AL368" s="8"/>
      <c r="AM368" s="8" t="s">
        <v>1477</v>
      </c>
      <c r="AN368" s="8" t="s">
        <v>4007</v>
      </c>
      <c r="AO368" s="9"/>
      <c r="AP368" s="9"/>
      <c r="AQ368" s="9"/>
      <c r="AR368" s="8" t="s">
        <v>1479</v>
      </c>
      <c r="AS368" s="8" t="s">
        <v>1480</v>
      </c>
      <c r="AT368" s="9"/>
      <c r="AU368" s="8" t="s">
        <v>4008</v>
      </c>
      <c r="AV368" s="8" t="s">
        <v>108</v>
      </c>
      <c r="AW368" s="9"/>
      <c r="AX368" s="9"/>
      <c r="AY368" s="8" t="s">
        <v>3888</v>
      </c>
      <c r="AZ368" s="8" t="b">
        <v>0</v>
      </c>
      <c r="BA368" s="8" t="s">
        <v>110</v>
      </c>
      <c r="BB368" s="8" t="s">
        <v>4009</v>
      </c>
      <c r="BC368" s="9"/>
      <c r="BD368" s="9"/>
      <c r="BE368" s="8" t="s">
        <v>4010</v>
      </c>
      <c r="BF368" s="9"/>
      <c r="BG368" s="9"/>
      <c r="BH368" s="9"/>
      <c r="BI368" s="9"/>
      <c r="BJ368" s="9"/>
      <c r="BK368" s="9"/>
      <c r="BL368" s="9"/>
      <c r="BM368" s="9"/>
      <c r="BN368" s="9"/>
      <c r="BO368" s="9"/>
      <c r="BP368" s="9"/>
      <c r="BQ368" s="9"/>
      <c r="BR368" s="9"/>
      <c r="BS368" s="9"/>
      <c r="BT368" s="9"/>
      <c r="BU368" s="9"/>
      <c r="BV368" s="9"/>
      <c r="BW368" s="9"/>
      <c r="BX368" s="9"/>
      <c r="BY368" s="9"/>
      <c r="BZ368" s="9"/>
      <c r="CA368" s="9"/>
      <c r="CB368" s="8" t="s">
        <v>2487</v>
      </c>
      <c r="CC368" s="9"/>
      <c r="CD368" s="9"/>
      <c r="CE368" s="8" t="s">
        <v>366</v>
      </c>
      <c r="CF368" s="8" t="s">
        <v>4011</v>
      </c>
      <c r="CG368" s="9"/>
      <c r="CH368" s="9"/>
      <c r="CI368" s="9"/>
      <c r="CJ368" s="9"/>
      <c r="CK368" s="9"/>
      <c r="CL368" s="9"/>
      <c r="CM368" s="9"/>
      <c r="CN368" s="9"/>
      <c r="CO368" s="9"/>
      <c r="CP368" s="9"/>
    </row>
    <row r="369">
      <c r="A369" s="7" t="s">
        <v>4012</v>
      </c>
      <c r="B369" s="8" t="s">
        <v>4013</v>
      </c>
      <c r="C369" s="8" t="s">
        <v>4014</v>
      </c>
      <c r="D369" s="8" t="s">
        <v>94</v>
      </c>
      <c r="E369" s="8" t="s">
        <v>95</v>
      </c>
      <c r="F369" s="9"/>
      <c r="G369" s="8" t="s">
        <v>4015</v>
      </c>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t="str">
        <f t="shared" si="34"/>
        <v/>
      </c>
      <c r="AK369" s="8"/>
      <c r="AL369" s="8"/>
      <c r="AM369" s="8" t="s">
        <v>1477</v>
      </c>
      <c r="AN369" s="8" t="s">
        <v>4016</v>
      </c>
      <c r="AO369" s="9"/>
      <c r="AP369" s="9"/>
      <c r="AQ369" s="9"/>
      <c r="AR369" s="8" t="s">
        <v>1479</v>
      </c>
      <c r="AS369" s="8" t="s">
        <v>1480</v>
      </c>
      <c r="AT369" s="9"/>
      <c r="AU369" s="8" t="s">
        <v>4017</v>
      </c>
      <c r="AV369" s="9"/>
      <c r="AW369" s="9"/>
      <c r="AX369" s="9"/>
      <c r="AY369" s="8" t="s">
        <v>3888</v>
      </c>
      <c r="AZ369" s="8" t="b">
        <v>0</v>
      </c>
      <c r="BA369" s="8" t="s">
        <v>190</v>
      </c>
      <c r="BB369" s="8" t="s">
        <v>191</v>
      </c>
      <c r="BC369" s="8" t="s">
        <v>1767</v>
      </c>
      <c r="BD369" s="8" t="s">
        <v>191</v>
      </c>
      <c r="BE369" s="8" t="s">
        <v>4018</v>
      </c>
      <c r="BF369" s="9"/>
      <c r="BG369" s="9"/>
      <c r="BH369" s="9"/>
      <c r="BI369" s="9"/>
      <c r="BJ369" s="9"/>
      <c r="BK369" s="9"/>
      <c r="BL369" s="9"/>
      <c r="BM369" s="9"/>
      <c r="BN369" s="9"/>
      <c r="BO369" s="9"/>
      <c r="BP369" s="9"/>
      <c r="BQ369" s="9"/>
      <c r="BR369" s="8" t="s">
        <v>193</v>
      </c>
      <c r="BS369" s="8" t="s">
        <v>194</v>
      </c>
      <c r="BT369" s="9"/>
      <c r="BU369" s="9"/>
      <c r="BV369" s="8" t="s">
        <v>4019</v>
      </c>
      <c r="BW369" s="9"/>
      <c r="BX369" s="9"/>
      <c r="BY369" s="8" t="s">
        <v>2419</v>
      </c>
      <c r="BZ369" s="9"/>
      <c r="CA369" s="9"/>
      <c r="CB369" s="8" t="s">
        <v>2013</v>
      </c>
      <c r="CC369" s="9"/>
      <c r="CD369" s="9"/>
      <c r="CE369" s="8" t="s">
        <v>197</v>
      </c>
      <c r="CF369" s="8" t="s">
        <v>4020</v>
      </c>
      <c r="CG369" s="9"/>
      <c r="CH369" s="9"/>
      <c r="CI369" s="9"/>
      <c r="CJ369" s="9"/>
      <c r="CK369" s="9"/>
      <c r="CL369" s="9"/>
      <c r="CM369" s="9"/>
      <c r="CN369" s="9"/>
      <c r="CO369" s="9"/>
      <c r="CP369" s="9"/>
    </row>
    <row r="370">
      <c r="A370" s="7" t="s">
        <v>4021</v>
      </c>
      <c r="B370" s="8" t="s">
        <v>4022</v>
      </c>
      <c r="C370" s="8" t="s">
        <v>4023</v>
      </c>
      <c r="D370" s="8" t="s">
        <v>94</v>
      </c>
      <c r="E370" s="8" t="s">
        <v>95</v>
      </c>
      <c r="F370" s="9"/>
      <c r="G370" s="8" t="s">
        <v>4024</v>
      </c>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t="str">
        <f t="shared" si="34"/>
        <v/>
      </c>
      <c r="AK370" s="8"/>
      <c r="AL370" s="8"/>
      <c r="AM370" s="8" t="s">
        <v>591</v>
      </c>
      <c r="AN370" s="8" t="s">
        <v>4025</v>
      </c>
      <c r="AO370" s="9"/>
      <c r="AP370" s="8" t="s">
        <v>899</v>
      </c>
      <c r="AQ370" s="9"/>
      <c r="AR370" s="8" t="s">
        <v>592</v>
      </c>
      <c r="AS370" s="8" t="s">
        <v>593</v>
      </c>
      <c r="AT370" s="9"/>
      <c r="AU370" s="8" t="s">
        <v>4026</v>
      </c>
      <c r="AV370" s="9"/>
      <c r="AW370" s="9"/>
      <c r="AX370" s="9"/>
      <c r="AY370" s="8" t="s">
        <v>3888</v>
      </c>
      <c r="AZ370" s="8" t="b">
        <v>0</v>
      </c>
      <c r="BA370" s="8" t="s">
        <v>190</v>
      </c>
      <c r="BB370" s="8" t="s">
        <v>191</v>
      </c>
      <c r="BC370" s="9"/>
      <c r="BD370" s="9"/>
      <c r="BE370" s="8" t="s">
        <v>4027</v>
      </c>
      <c r="BF370" s="8" t="s">
        <v>94</v>
      </c>
      <c r="BG370" s="8" t="s">
        <v>95</v>
      </c>
      <c r="BH370" s="8" t="s">
        <v>4028</v>
      </c>
      <c r="BI370" s="9"/>
      <c r="BJ370" s="9"/>
      <c r="BK370" s="9"/>
      <c r="BL370" s="9"/>
      <c r="BM370" s="9"/>
      <c r="BN370" s="9"/>
      <c r="BO370" s="9"/>
      <c r="BP370" s="9"/>
      <c r="BQ370" s="9"/>
      <c r="BR370" s="8" t="s">
        <v>193</v>
      </c>
      <c r="BS370" s="8" t="s">
        <v>4029</v>
      </c>
      <c r="BT370" s="9"/>
      <c r="BU370" s="9"/>
      <c r="BV370" s="8" t="s">
        <v>4030</v>
      </c>
      <c r="BW370" s="9"/>
      <c r="BX370" s="9"/>
      <c r="BY370" s="9"/>
      <c r="BZ370" s="9"/>
      <c r="CA370" s="9"/>
      <c r="CB370" s="8" t="s">
        <v>4031</v>
      </c>
      <c r="CC370" s="9"/>
      <c r="CD370" s="9"/>
      <c r="CE370" s="8" t="s">
        <v>359</v>
      </c>
      <c r="CF370" s="8" t="s">
        <v>4032</v>
      </c>
      <c r="CG370" s="9"/>
      <c r="CH370" s="9"/>
      <c r="CI370" s="9"/>
      <c r="CJ370" s="9"/>
      <c r="CK370" s="9"/>
      <c r="CL370" s="9"/>
      <c r="CM370" s="9"/>
      <c r="CN370" s="9"/>
      <c r="CO370" s="9"/>
      <c r="CP370" s="9"/>
    </row>
    <row r="371">
      <c r="A371" s="7" t="s">
        <v>4033</v>
      </c>
      <c r="B371" s="8" t="s">
        <v>4034</v>
      </c>
      <c r="C371" s="8" t="s">
        <v>4035</v>
      </c>
      <c r="D371" s="8" t="s">
        <v>94</v>
      </c>
      <c r="E371" s="8" t="s">
        <v>95</v>
      </c>
      <c r="F371" s="9"/>
      <c r="G371" s="8" t="s">
        <v>4036</v>
      </c>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t="str">
        <f t="shared" si="34"/>
        <v/>
      </c>
      <c r="AK371" s="8"/>
      <c r="AL371" s="8"/>
      <c r="AM371" s="8" t="s">
        <v>1477</v>
      </c>
      <c r="AN371" s="8" t="s">
        <v>4037</v>
      </c>
      <c r="AO371" s="9"/>
      <c r="AP371" s="9"/>
      <c r="AQ371" s="9"/>
      <c r="AR371" s="8" t="s">
        <v>1479</v>
      </c>
      <c r="AS371" s="8" t="s">
        <v>1480</v>
      </c>
      <c r="AT371" s="9"/>
      <c r="AU371" s="8" t="s">
        <v>4038</v>
      </c>
      <c r="AV371" s="8" t="s">
        <v>108</v>
      </c>
      <c r="AW371" s="9"/>
      <c r="AX371" s="9"/>
      <c r="AY371" s="8" t="s">
        <v>3888</v>
      </c>
      <c r="AZ371" s="8" t="b">
        <v>0</v>
      </c>
      <c r="BA371" s="8" t="s">
        <v>110</v>
      </c>
      <c r="BB371" s="9"/>
      <c r="BC371" s="9"/>
      <c r="BD371" s="9"/>
      <c r="BE371" s="8" t="s">
        <v>2881</v>
      </c>
      <c r="BF371" s="9"/>
      <c r="BG371" s="9"/>
      <c r="BH371" s="9"/>
      <c r="BI371" s="9"/>
      <c r="BJ371" s="9"/>
      <c r="BK371" s="9"/>
      <c r="BL371" s="9"/>
      <c r="BM371" s="9"/>
      <c r="BN371" s="9"/>
      <c r="BO371" s="9"/>
      <c r="BP371" s="9"/>
      <c r="BQ371" s="9"/>
      <c r="BR371" s="9"/>
      <c r="BS371" s="9"/>
      <c r="BT371" s="9"/>
      <c r="BU371" s="9"/>
      <c r="BV371" s="9"/>
      <c r="BW371" s="9"/>
      <c r="BX371" s="9"/>
      <c r="BY371" s="9"/>
      <c r="BZ371" s="9"/>
      <c r="CA371" s="9"/>
      <c r="CB371" s="8" t="s">
        <v>4039</v>
      </c>
      <c r="CC371" s="9"/>
      <c r="CD371" s="9"/>
      <c r="CE371" s="8" t="s">
        <v>366</v>
      </c>
      <c r="CF371" s="8" t="s">
        <v>4040</v>
      </c>
      <c r="CG371" s="9"/>
      <c r="CH371" s="9"/>
      <c r="CI371" s="9"/>
      <c r="CJ371" s="9"/>
      <c r="CK371" s="9"/>
      <c r="CL371" s="9"/>
      <c r="CM371" s="9"/>
      <c r="CN371" s="9"/>
      <c r="CO371" s="9"/>
      <c r="CP371" s="9"/>
    </row>
    <row r="372">
      <c r="A372" s="7" t="s">
        <v>4041</v>
      </c>
      <c r="B372" s="8" t="s">
        <v>4042</v>
      </c>
      <c r="C372" s="8" t="s">
        <v>4043</v>
      </c>
      <c r="D372" s="8" t="s">
        <v>94</v>
      </c>
      <c r="E372" s="8" t="s">
        <v>95</v>
      </c>
      <c r="F372" s="9"/>
      <c r="G372" s="8" t="s">
        <v>4044</v>
      </c>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t="str">
        <f t="shared" si="34"/>
        <v/>
      </c>
      <c r="AK372" s="8"/>
      <c r="AL372" s="8"/>
      <c r="AM372" s="8" t="s">
        <v>1477</v>
      </c>
      <c r="AN372" s="8" t="s">
        <v>4045</v>
      </c>
      <c r="AO372" s="9"/>
      <c r="AP372" s="9"/>
      <c r="AQ372" s="9"/>
      <c r="AR372" s="8" t="s">
        <v>1479</v>
      </c>
      <c r="AS372" s="8" t="s">
        <v>1480</v>
      </c>
      <c r="AT372" s="9"/>
      <c r="AU372" s="8" t="s">
        <v>4046</v>
      </c>
      <c r="AV372" s="8" t="s">
        <v>108</v>
      </c>
      <c r="AW372" s="9"/>
      <c r="AX372" s="9"/>
      <c r="AY372" s="8" t="s">
        <v>3888</v>
      </c>
      <c r="AZ372" s="8" t="b">
        <v>0</v>
      </c>
      <c r="BA372" s="8" t="s">
        <v>110</v>
      </c>
      <c r="BB372" s="9"/>
      <c r="BC372" s="9"/>
      <c r="BD372" s="9"/>
      <c r="BE372" s="8" t="s">
        <v>3355</v>
      </c>
      <c r="BF372" s="9"/>
      <c r="BG372" s="9"/>
      <c r="BH372" s="9"/>
      <c r="BI372" s="9"/>
      <c r="BJ372" s="9"/>
      <c r="BK372" s="9"/>
      <c r="BL372" s="9"/>
      <c r="BM372" s="9"/>
      <c r="BN372" s="9"/>
      <c r="BO372" s="9"/>
      <c r="BP372" s="9"/>
      <c r="BQ372" s="9"/>
      <c r="BR372" s="9"/>
      <c r="BS372" s="9"/>
      <c r="BT372" s="9"/>
      <c r="BU372" s="9"/>
      <c r="BV372" s="9"/>
      <c r="BW372" s="9"/>
      <c r="BX372" s="9"/>
      <c r="BY372" s="9"/>
      <c r="BZ372" s="9"/>
      <c r="CA372" s="9"/>
      <c r="CB372" s="8" t="s">
        <v>3158</v>
      </c>
      <c r="CC372" s="9"/>
      <c r="CD372" s="9"/>
      <c r="CE372" s="8" t="s">
        <v>366</v>
      </c>
      <c r="CF372" s="8" t="s">
        <v>4047</v>
      </c>
      <c r="CG372" s="9"/>
      <c r="CH372" s="9"/>
      <c r="CI372" s="9"/>
      <c r="CJ372" s="9"/>
      <c r="CK372" s="9"/>
      <c r="CL372" s="9"/>
      <c r="CM372" s="9"/>
      <c r="CN372" s="9"/>
      <c r="CO372" s="9"/>
      <c r="CP372" s="9"/>
    </row>
    <row r="373">
      <c r="A373" s="7" t="s">
        <v>4048</v>
      </c>
      <c r="B373" s="8" t="s">
        <v>4049</v>
      </c>
      <c r="C373" s="8" t="s">
        <v>4050</v>
      </c>
      <c r="D373" s="8" t="s">
        <v>94</v>
      </c>
      <c r="E373" s="8" t="s">
        <v>95</v>
      </c>
      <c r="F373" s="9"/>
      <c r="G373" s="8" t="s">
        <v>4051</v>
      </c>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t="str">
        <f t="shared" si="34"/>
        <v/>
      </c>
      <c r="AK373" s="8"/>
      <c r="AL373" s="8"/>
      <c r="AM373" s="8" t="s">
        <v>4052</v>
      </c>
      <c r="AN373" s="8" t="s">
        <v>4053</v>
      </c>
      <c r="AO373" s="9"/>
      <c r="AP373" s="9"/>
      <c r="AQ373" s="9"/>
      <c r="AR373" s="9"/>
      <c r="AS373" s="9"/>
      <c r="AT373" s="9"/>
      <c r="AU373" s="8" t="s">
        <v>4054</v>
      </c>
      <c r="AV373" s="8" t="s">
        <v>108</v>
      </c>
      <c r="AW373" s="9"/>
      <c r="AX373" s="9"/>
      <c r="AY373" s="8" t="s">
        <v>3888</v>
      </c>
      <c r="AZ373" s="8" t="b">
        <v>0</v>
      </c>
      <c r="BA373" s="8" t="s">
        <v>110</v>
      </c>
      <c r="BB373" s="9"/>
      <c r="BC373" s="9"/>
      <c r="BD373" s="9"/>
      <c r="BE373" s="8" t="s">
        <v>4055</v>
      </c>
      <c r="BF373" s="9"/>
      <c r="BG373" s="9"/>
      <c r="BH373" s="9"/>
      <c r="BI373" s="9"/>
      <c r="BJ373" s="9"/>
      <c r="BK373" s="9"/>
      <c r="BL373" s="9"/>
      <c r="BM373" s="9"/>
      <c r="BN373" s="9"/>
      <c r="BO373" s="9"/>
      <c r="BP373" s="9"/>
      <c r="BQ373" s="9"/>
      <c r="BR373" s="9"/>
      <c r="BS373" s="9"/>
      <c r="BT373" s="9"/>
      <c r="BU373" s="9"/>
      <c r="BV373" s="9"/>
      <c r="BW373" s="9"/>
      <c r="BX373" s="9"/>
      <c r="BY373" s="8" t="s">
        <v>2419</v>
      </c>
      <c r="BZ373" s="9"/>
      <c r="CA373" s="9"/>
      <c r="CB373" s="8" t="s">
        <v>4056</v>
      </c>
      <c r="CC373" s="9"/>
      <c r="CD373" s="9"/>
      <c r="CE373" s="8" t="s">
        <v>197</v>
      </c>
      <c r="CF373" s="8" t="s">
        <v>4057</v>
      </c>
      <c r="CG373" s="9"/>
      <c r="CH373" s="9"/>
      <c r="CI373" s="9"/>
      <c r="CJ373" s="9"/>
      <c r="CK373" s="9"/>
      <c r="CL373" s="9"/>
      <c r="CM373" s="9"/>
      <c r="CN373" s="9"/>
      <c r="CO373" s="9"/>
      <c r="CP373" s="9"/>
    </row>
    <row r="374">
      <c r="A374" s="7" t="s">
        <v>4058</v>
      </c>
      <c r="B374" s="8" t="s">
        <v>4059</v>
      </c>
      <c r="C374" s="8" t="s">
        <v>4060</v>
      </c>
      <c r="D374" s="8" t="s">
        <v>94</v>
      </c>
      <c r="E374" s="8" t="s">
        <v>95</v>
      </c>
      <c r="F374" s="9"/>
      <c r="G374" s="8" t="s">
        <v>4061</v>
      </c>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t="str">
        <f t="shared" si="34"/>
        <v/>
      </c>
      <c r="AK374" s="8"/>
      <c r="AL374" s="8"/>
      <c r="AM374" s="8" t="s">
        <v>3026</v>
      </c>
      <c r="AN374" s="8" t="s">
        <v>1094</v>
      </c>
      <c r="AO374" s="8" t="s">
        <v>3028</v>
      </c>
      <c r="AP374" s="9"/>
      <c r="AQ374" s="9"/>
      <c r="AR374" s="9"/>
      <c r="AS374" s="9"/>
      <c r="AT374" s="9"/>
      <c r="AU374" s="8" t="s">
        <v>4062</v>
      </c>
      <c r="AV374" s="8" t="s">
        <v>108</v>
      </c>
      <c r="AW374" s="9"/>
      <c r="AX374" s="9"/>
      <c r="AY374" s="8" t="s">
        <v>3888</v>
      </c>
      <c r="AZ374" s="8" t="b">
        <v>0</v>
      </c>
      <c r="BA374" s="8" t="s">
        <v>110</v>
      </c>
      <c r="BB374" s="9"/>
      <c r="BC374" s="9"/>
      <c r="BD374" s="9"/>
      <c r="BE374" s="8" t="s">
        <v>4063</v>
      </c>
      <c r="BF374" s="9"/>
      <c r="BG374" s="9"/>
      <c r="BH374" s="9"/>
      <c r="BI374" s="9"/>
      <c r="BJ374" s="9"/>
      <c r="BK374" s="9"/>
      <c r="BL374" s="9"/>
      <c r="BM374" s="9"/>
      <c r="BN374" s="9"/>
      <c r="BO374" s="9"/>
      <c r="BP374" s="9"/>
      <c r="BQ374" s="9"/>
      <c r="BR374" s="9"/>
      <c r="BS374" s="9"/>
      <c r="BT374" s="9"/>
      <c r="BU374" s="9"/>
      <c r="BV374" s="9"/>
      <c r="BW374" s="9"/>
      <c r="BX374" s="9"/>
      <c r="BY374" s="8" t="s">
        <v>3740</v>
      </c>
      <c r="BZ374" s="9"/>
      <c r="CA374" s="9"/>
      <c r="CB374" s="8" t="s">
        <v>3776</v>
      </c>
      <c r="CC374" s="9"/>
      <c r="CD374" s="9"/>
      <c r="CE374" s="8" t="s">
        <v>197</v>
      </c>
      <c r="CF374" s="8" t="s">
        <v>4064</v>
      </c>
      <c r="CG374" s="9"/>
      <c r="CH374" s="9"/>
      <c r="CI374" s="9"/>
      <c r="CJ374" s="9"/>
      <c r="CK374" s="9"/>
      <c r="CL374" s="9"/>
      <c r="CM374" s="9"/>
      <c r="CN374" s="9"/>
      <c r="CO374" s="9"/>
      <c r="CP374" s="9"/>
    </row>
    <row r="375">
      <c r="A375" s="7" t="s">
        <v>4065</v>
      </c>
      <c r="B375" s="8" t="s">
        <v>4066</v>
      </c>
      <c r="C375" s="8" t="s">
        <v>4067</v>
      </c>
      <c r="D375" s="8" t="s">
        <v>94</v>
      </c>
      <c r="E375" s="8" t="s">
        <v>95</v>
      </c>
      <c r="F375" s="9"/>
      <c r="G375" s="8" t="s">
        <v>4068</v>
      </c>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t="str">
        <f t="shared" si="34"/>
        <v/>
      </c>
      <c r="AK375" s="8"/>
      <c r="AL375" s="8"/>
      <c r="AM375" s="8" t="s">
        <v>3500</v>
      </c>
      <c r="AN375" s="8" t="s">
        <v>4069</v>
      </c>
      <c r="AO375" s="9"/>
      <c r="AP375" s="9"/>
      <c r="AQ375" s="9"/>
      <c r="AR375" s="9"/>
      <c r="AS375" s="9"/>
      <c r="AT375" s="9"/>
      <c r="AU375" s="8" t="s">
        <v>4070</v>
      </c>
      <c r="AV375" s="9"/>
      <c r="AW375" s="9"/>
      <c r="AX375" s="9"/>
      <c r="AY375" s="8" t="s">
        <v>3888</v>
      </c>
      <c r="AZ375" s="8" t="b">
        <v>0</v>
      </c>
      <c r="BA375" s="8" t="s">
        <v>190</v>
      </c>
      <c r="BB375" s="8" t="s">
        <v>191</v>
      </c>
      <c r="BC375" s="8" t="s">
        <v>1767</v>
      </c>
      <c r="BD375" s="9"/>
      <c r="BE375" s="8" t="s">
        <v>4071</v>
      </c>
      <c r="BF375" s="9"/>
      <c r="BG375" s="9"/>
      <c r="BH375" s="9"/>
      <c r="BI375" s="9"/>
      <c r="BJ375" s="9"/>
      <c r="BK375" s="9"/>
      <c r="BL375" s="9"/>
      <c r="BM375" s="9"/>
      <c r="BN375" s="9"/>
      <c r="BO375" s="9"/>
      <c r="BP375" s="9"/>
      <c r="BQ375" s="9"/>
      <c r="BR375" s="8" t="s">
        <v>193</v>
      </c>
      <c r="BS375" s="8" t="s">
        <v>194</v>
      </c>
      <c r="BT375" s="9"/>
      <c r="BU375" s="9"/>
      <c r="BV375" s="9"/>
      <c r="BW375" s="9"/>
      <c r="BX375" s="9"/>
      <c r="BY375" s="9"/>
      <c r="BZ375" s="9"/>
      <c r="CA375" s="9"/>
      <c r="CB375" s="9"/>
      <c r="CC375" s="9"/>
      <c r="CD375" s="9"/>
      <c r="CE375" s="8" t="s">
        <v>115</v>
      </c>
      <c r="CF375" s="8" t="s">
        <v>4072</v>
      </c>
      <c r="CG375" s="9"/>
      <c r="CH375" s="9"/>
      <c r="CI375" s="9"/>
      <c r="CJ375" s="9"/>
      <c r="CK375" s="9"/>
      <c r="CL375" s="9"/>
      <c r="CM375" s="9"/>
      <c r="CN375" s="9"/>
      <c r="CO375" s="9"/>
      <c r="CP375" s="9"/>
    </row>
    <row r="376">
      <c r="A376" s="7" t="s">
        <v>4073</v>
      </c>
      <c r="B376" s="8" t="s">
        <v>4074</v>
      </c>
      <c r="C376" s="8" t="s">
        <v>4075</v>
      </c>
      <c r="D376" s="8" t="s">
        <v>94</v>
      </c>
      <c r="E376" s="8" t="s">
        <v>95</v>
      </c>
      <c r="F376" s="9"/>
      <c r="G376" s="8" t="s">
        <v>4076</v>
      </c>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t="str">
        <f t="shared" si="34"/>
        <v/>
      </c>
      <c r="AK376" s="8"/>
      <c r="AL376" s="8"/>
      <c r="AM376" s="8" t="s">
        <v>3500</v>
      </c>
      <c r="AN376" s="8" t="s">
        <v>4077</v>
      </c>
      <c r="AO376" s="9"/>
      <c r="AP376" s="9"/>
      <c r="AQ376" s="9"/>
      <c r="AR376" s="9"/>
      <c r="AS376" s="9"/>
      <c r="AT376" s="9"/>
      <c r="AU376" s="8" t="s">
        <v>4078</v>
      </c>
      <c r="AV376" s="9"/>
      <c r="AW376" s="9"/>
      <c r="AX376" s="9"/>
      <c r="AY376" s="8" t="s">
        <v>3888</v>
      </c>
      <c r="AZ376" s="8" t="b">
        <v>0</v>
      </c>
      <c r="BA376" s="8" t="s">
        <v>190</v>
      </c>
      <c r="BB376" s="8" t="s">
        <v>191</v>
      </c>
      <c r="BC376" s="8" t="s">
        <v>1767</v>
      </c>
      <c r="BD376" s="9"/>
      <c r="BE376" s="8" t="s">
        <v>4079</v>
      </c>
      <c r="BF376" s="9"/>
      <c r="BG376" s="9"/>
      <c r="BH376" s="9"/>
      <c r="BI376" s="9"/>
      <c r="BJ376" s="9"/>
      <c r="BK376" s="9"/>
      <c r="BL376" s="9"/>
      <c r="BM376" s="9"/>
      <c r="BN376" s="9"/>
      <c r="BO376" s="9"/>
      <c r="BP376" s="9"/>
      <c r="BQ376" s="9"/>
      <c r="BR376" s="8" t="s">
        <v>193</v>
      </c>
      <c r="BS376" s="8" t="s">
        <v>194</v>
      </c>
      <c r="BT376" s="9"/>
      <c r="BU376" s="9"/>
      <c r="BV376" s="9"/>
      <c r="BW376" s="9"/>
      <c r="BX376" s="9"/>
      <c r="BY376" s="9"/>
      <c r="BZ376" s="9"/>
      <c r="CA376" s="9"/>
      <c r="CB376" s="9"/>
      <c r="CC376" s="9"/>
      <c r="CD376" s="9"/>
      <c r="CE376" s="8" t="s">
        <v>115</v>
      </c>
      <c r="CF376" s="8" t="s">
        <v>4080</v>
      </c>
      <c r="CG376" s="9"/>
      <c r="CH376" s="9"/>
      <c r="CI376" s="9"/>
      <c r="CJ376" s="9"/>
      <c r="CK376" s="9"/>
      <c r="CL376" s="9"/>
      <c r="CM376" s="9"/>
      <c r="CN376" s="9"/>
      <c r="CO376" s="9"/>
      <c r="CP376" s="9"/>
    </row>
    <row r="377" ht="15.0" customHeight="1">
      <c r="A377" s="7" t="s">
        <v>4081</v>
      </c>
      <c r="B377" s="8" t="s">
        <v>4082</v>
      </c>
      <c r="C377" s="8" t="s">
        <v>4082</v>
      </c>
      <c r="D377" s="8" t="s">
        <v>354</v>
      </c>
      <c r="E377" s="8" t="s">
        <v>355</v>
      </c>
      <c r="F377" s="9"/>
      <c r="G377" s="8" t="s">
        <v>4083</v>
      </c>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t="str">
        <f t="shared" si="34"/>
        <v/>
      </c>
      <c r="AK377" s="8"/>
      <c r="AL377" s="8"/>
      <c r="AM377" s="8" t="s">
        <v>2564</v>
      </c>
      <c r="AN377" s="9"/>
      <c r="AO377" s="9"/>
      <c r="AP377" s="9"/>
      <c r="AQ377" s="9"/>
      <c r="AR377" s="9"/>
      <c r="AS377" s="9"/>
      <c r="AT377" s="9"/>
      <c r="AU377" s="8" t="s">
        <v>4084</v>
      </c>
      <c r="AV377" s="9"/>
      <c r="AW377" s="8" t="s">
        <v>3492</v>
      </c>
      <c r="AX377" s="8" t="s">
        <v>393</v>
      </c>
      <c r="AY377" s="8" t="s">
        <v>3888</v>
      </c>
      <c r="AZ377" s="8" t="b">
        <v>0</v>
      </c>
      <c r="BA377" s="8" t="s">
        <v>190</v>
      </c>
      <c r="BB377" s="8" t="s">
        <v>4085</v>
      </c>
      <c r="BC377" s="9"/>
      <c r="BD377" s="9"/>
      <c r="BE377" s="8" t="s">
        <v>1223</v>
      </c>
      <c r="BF377" s="9"/>
      <c r="BG377" s="9"/>
      <c r="BH377" s="9"/>
      <c r="BI377" s="8" t="s">
        <v>4086</v>
      </c>
      <c r="BJ377" s="8" t="s">
        <v>1841</v>
      </c>
      <c r="BK377" s="9"/>
      <c r="BL377" s="9"/>
      <c r="BM377" s="9"/>
      <c r="BN377" s="9"/>
      <c r="BO377" s="9"/>
      <c r="BP377" s="9"/>
      <c r="BQ377" s="9"/>
      <c r="BR377" s="8" t="s">
        <v>193</v>
      </c>
      <c r="BS377" s="8" t="s">
        <v>194</v>
      </c>
      <c r="BT377" s="9"/>
      <c r="BU377" s="9"/>
      <c r="BV377" s="8" t="s">
        <v>3903</v>
      </c>
      <c r="BW377" s="9"/>
      <c r="BX377" s="9"/>
      <c r="BY377" s="9"/>
      <c r="BZ377" s="9"/>
      <c r="CA377" s="9"/>
      <c r="CB377" s="8" t="s">
        <v>4087</v>
      </c>
      <c r="CC377" s="9"/>
      <c r="CD377" s="9"/>
      <c r="CE377" s="8" t="s">
        <v>366</v>
      </c>
      <c r="CF377" s="9"/>
      <c r="CG377" s="9"/>
      <c r="CH377" s="9"/>
      <c r="CI377" s="9"/>
      <c r="CJ377" s="9"/>
      <c r="CK377" s="9"/>
      <c r="CL377" s="9"/>
      <c r="CM377" s="9"/>
      <c r="CN377" s="9"/>
      <c r="CO377" s="9"/>
      <c r="CP377" s="9"/>
    </row>
    <row r="378">
      <c r="A378" s="7" t="s">
        <v>4088</v>
      </c>
      <c r="B378" s="8" t="s">
        <v>4089</v>
      </c>
      <c r="C378" s="8" t="s">
        <v>4089</v>
      </c>
      <c r="D378" s="8" t="s">
        <v>94</v>
      </c>
      <c r="E378" s="8" t="s">
        <v>1546</v>
      </c>
      <c r="F378" s="9"/>
      <c r="G378" s="8" t="s">
        <v>4090</v>
      </c>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9"/>
      <c r="AN378" s="9"/>
      <c r="AO378" s="9"/>
      <c r="AP378" s="9"/>
      <c r="AQ378" s="9"/>
      <c r="AR378" s="9"/>
      <c r="AS378" s="9"/>
      <c r="AT378" s="9"/>
      <c r="AU378" s="8" t="s">
        <v>4091</v>
      </c>
      <c r="AV378" s="9"/>
      <c r="AW378" s="9"/>
      <c r="AX378" s="9"/>
      <c r="AY378" s="8" t="s">
        <v>4092</v>
      </c>
      <c r="AZ378" s="8" t="b">
        <v>0</v>
      </c>
      <c r="BA378" s="8" t="s">
        <v>190</v>
      </c>
      <c r="BB378" s="8" t="s">
        <v>4093</v>
      </c>
      <c r="BC378" s="8" t="s">
        <v>3363</v>
      </c>
      <c r="BD378" s="9"/>
      <c r="BE378" s="9"/>
      <c r="BF378" s="9"/>
      <c r="BG378" s="9"/>
      <c r="BH378" s="9"/>
      <c r="BI378" s="9"/>
      <c r="BJ378" s="9"/>
      <c r="BK378" s="9"/>
      <c r="BL378" s="9"/>
      <c r="BM378" s="9"/>
      <c r="BN378" s="9"/>
      <c r="BO378" s="9"/>
      <c r="BP378" s="9"/>
      <c r="BQ378" s="9"/>
      <c r="BR378" s="8" t="s">
        <v>193</v>
      </c>
      <c r="BS378" s="8" t="s">
        <v>194</v>
      </c>
      <c r="BT378" s="9"/>
      <c r="BU378" s="9"/>
      <c r="BV378" s="9"/>
      <c r="BW378" s="9"/>
      <c r="BX378" s="9"/>
      <c r="BY378" s="9"/>
      <c r="BZ378" s="9"/>
      <c r="CA378" s="9"/>
      <c r="CB378" s="8" t="s">
        <v>665</v>
      </c>
      <c r="CC378" s="9"/>
      <c r="CD378" s="9"/>
      <c r="CE378" s="8" t="s">
        <v>366</v>
      </c>
      <c r="CF378" s="8" t="s">
        <v>4094</v>
      </c>
      <c r="CG378" s="9"/>
      <c r="CH378" s="9"/>
      <c r="CI378" s="9"/>
      <c r="CJ378" s="9"/>
      <c r="CK378" s="9"/>
      <c r="CL378" s="9"/>
      <c r="CM378" s="9"/>
      <c r="CN378" s="9"/>
      <c r="CO378" s="9"/>
      <c r="CP378" s="9"/>
    </row>
    <row r="379">
      <c r="A379" s="4" t="s">
        <v>4095</v>
      </c>
      <c r="B379" s="5" t="s">
        <v>2568</v>
      </c>
      <c r="C379" s="5" t="s">
        <v>4096</v>
      </c>
      <c r="D379" s="5" t="s">
        <v>94</v>
      </c>
      <c r="E379" s="5" t="s">
        <v>95</v>
      </c>
      <c r="F379" s="6"/>
      <c r="G379" s="5" t="s">
        <v>4097</v>
      </c>
      <c r="H379" s="5" t="s">
        <v>97</v>
      </c>
      <c r="I379" s="5" t="s">
        <v>928</v>
      </c>
      <c r="J379" s="5"/>
      <c r="K379" s="5"/>
      <c r="L379" s="5"/>
      <c r="M379" s="5" t="s">
        <v>4098</v>
      </c>
      <c r="N379" s="5" t="s">
        <v>100</v>
      </c>
      <c r="O379" s="5" t="s">
        <v>100</v>
      </c>
      <c r="P379" s="5" t="s">
        <v>100</v>
      </c>
      <c r="Q379" s="5"/>
      <c r="R379" s="5"/>
      <c r="S379" s="5" t="s">
        <v>100</v>
      </c>
      <c r="T379" s="5" t="s">
        <v>4099</v>
      </c>
      <c r="U379" s="5" t="s">
        <v>4100</v>
      </c>
      <c r="V379" s="5" t="s">
        <v>4099</v>
      </c>
      <c r="W379" s="5"/>
      <c r="X379" s="5" t="s">
        <v>100</v>
      </c>
      <c r="Y379" s="5" t="s">
        <v>4101</v>
      </c>
      <c r="Z379" s="5" t="s">
        <v>100</v>
      </c>
      <c r="AA379" s="5"/>
      <c r="AB379" s="5" t="s">
        <v>1460</v>
      </c>
      <c r="AC379" s="5" t="s">
        <v>4102</v>
      </c>
      <c r="AD379" s="5" t="s">
        <v>4099</v>
      </c>
      <c r="AE379" s="5" t="s">
        <v>100</v>
      </c>
      <c r="AF379" s="5" t="s">
        <v>100</v>
      </c>
      <c r="AG379" s="5" t="s">
        <v>100</v>
      </c>
      <c r="AH379" s="5" t="s">
        <v>4103</v>
      </c>
      <c r="AI379" s="5" t="s">
        <v>4104</v>
      </c>
      <c r="AJ379" s="5" t="s">
        <v>4105</v>
      </c>
      <c r="AK379" s="5" t="s">
        <v>103</v>
      </c>
      <c r="AL379" s="5" t="s">
        <v>124</v>
      </c>
      <c r="AM379" s="5" t="s">
        <v>105</v>
      </c>
      <c r="AN379" s="5" t="s">
        <v>966</v>
      </c>
      <c r="AO379" s="6"/>
      <c r="AP379" s="6"/>
      <c r="AQ379" s="6"/>
      <c r="AR379" s="6"/>
      <c r="AS379" s="6"/>
      <c r="AT379" s="6"/>
      <c r="AU379" s="5" t="s">
        <v>4106</v>
      </c>
      <c r="AV379" s="5" t="s">
        <v>108</v>
      </c>
      <c r="AW379" s="6"/>
      <c r="AX379" s="6"/>
      <c r="AY379" s="5" t="s">
        <v>4092</v>
      </c>
      <c r="AZ379" s="5" t="b">
        <v>0</v>
      </c>
      <c r="BA379" s="5" t="s">
        <v>110</v>
      </c>
      <c r="BB379" s="5" t="s">
        <v>773</v>
      </c>
      <c r="BC379" s="6"/>
      <c r="BD379" s="6"/>
      <c r="BE379" s="5" t="s">
        <v>4107</v>
      </c>
      <c r="BF379" s="6"/>
      <c r="BG379" s="6"/>
      <c r="BH379" s="6"/>
      <c r="BI379" s="6"/>
      <c r="BJ379" s="6"/>
      <c r="BK379" s="6"/>
      <c r="BL379" s="6"/>
      <c r="BM379" s="6"/>
      <c r="BN379" s="6"/>
      <c r="BO379" s="6"/>
      <c r="BP379" s="6"/>
      <c r="BQ379" s="6"/>
      <c r="BR379" s="6"/>
      <c r="BS379" s="6"/>
      <c r="BT379" s="6"/>
      <c r="BU379" s="6"/>
      <c r="BV379" s="6"/>
      <c r="BW379" s="6"/>
      <c r="BX379" s="6"/>
      <c r="BY379" s="6"/>
      <c r="BZ379" s="6"/>
      <c r="CA379" s="6"/>
      <c r="CB379" s="5" t="s">
        <v>2407</v>
      </c>
      <c r="CC379" s="6"/>
      <c r="CD379" s="6"/>
      <c r="CE379" s="5" t="s">
        <v>393</v>
      </c>
      <c r="CF379" s="5" t="s">
        <v>4108</v>
      </c>
      <c r="CG379" s="6"/>
      <c r="CH379" s="6"/>
      <c r="CI379" s="6"/>
      <c r="CJ379" s="6"/>
      <c r="CK379" s="6"/>
      <c r="CL379" s="6"/>
      <c r="CM379" s="6"/>
      <c r="CN379" s="6"/>
      <c r="CO379" s="6"/>
      <c r="CP379" s="6"/>
    </row>
    <row r="380">
      <c r="A380" s="4" t="s">
        <v>4109</v>
      </c>
      <c r="B380" s="5" t="s">
        <v>4110</v>
      </c>
      <c r="C380" s="5" t="s">
        <v>4111</v>
      </c>
      <c r="D380" s="5" t="s">
        <v>94</v>
      </c>
      <c r="E380" s="5" t="s">
        <v>95</v>
      </c>
      <c r="F380" s="6"/>
      <c r="G380" s="5" t="s">
        <v>4112</v>
      </c>
      <c r="H380" s="5" t="s">
        <v>97</v>
      </c>
      <c r="I380" s="5" t="s">
        <v>928</v>
      </c>
      <c r="J380" s="5"/>
      <c r="K380" s="5"/>
      <c r="L380" s="5"/>
      <c r="M380" s="5" t="s">
        <v>100</v>
      </c>
      <c r="N380" s="5" t="s">
        <v>100</v>
      </c>
      <c r="O380" s="5" t="s">
        <v>100</v>
      </c>
      <c r="P380" s="5" t="s">
        <v>100</v>
      </c>
      <c r="Q380" s="5"/>
      <c r="R380" s="5"/>
      <c r="S380" s="5" t="s">
        <v>100</v>
      </c>
      <c r="T380" s="5" t="s">
        <v>100</v>
      </c>
      <c r="U380" s="5" t="s">
        <v>100</v>
      </c>
      <c r="V380" s="5" t="s">
        <v>100</v>
      </c>
      <c r="W380" s="5" t="s">
        <v>100</v>
      </c>
      <c r="X380" s="5" t="s">
        <v>100</v>
      </c>
      <c r="Y380" s="5" t="s">
        <v>106</v>
      </c>
      <c r="Z380" s="5" t="s">
        <v>100</v>
      </c>
      <c r="AA380" s="5"/>
      <c r="AB380" s="5" t="s">
        <v>100</v>
      </c>
      <c r="AC380" s="5" t="s">
        <v>100</v>
      </c>
      <c r="AD380" s="5" t="s">
        <v>100</v>
      </c>
      <c r="AE380" s="5" t="s">
        <v>100</v>
      </c>
      <c r="AF380" s="5" t="s">
        <v>100</v>
      </c>
      <c r="AG380" s="5" t="s">
        <v>100</v>
      </c>
      <c r="AH380" s="5" t="s">
        <v>100</v>
      </c>
      <c r="AI380" s="5" t="s">
        <v>4113</v>
      </c>
      <c r="AJ380" s="5" t="s">
        <v>4114</v>
      </c>
      <c r="AK380" s="5" t="s">
        <v>103</v>
      </c>
      <c r="AL380" s="5" t="s">
        <v>103</v>
      </c>
      <c r="AM380" s="5" t="s">
        <v>105</v>
      </c>
      <c r="AN380" s="5" t="s">
        <v>4115</v>
      </c>
      <c r="AO380" s="6"/>
      <c r="AP380" s="5" t="s">
        <v>103</v>
      </c>
      <c r="AQ380" s="6"/>
      <c r="AR380" s="6"/>
      <c r="AS380" s="6"/>
      <c r="AT380" s="6"/>
      <c r="AU380" s="5" t="s">
        <v>4116</v>
      </c>
      <c r="AV380" s="5" t="s">
        <v>108</v>
      </c>
      <c r="AW380" s="6"/>
      <c r="AX380" s="6"/>
      <c r="AY380" s="5" t="s">
        <v>4092</v>
      </c>
      <c r="AZ380" s="5" t="b">
        <v>0</v>
      </c>
      <c r="BA380" s="5" t="s">
        <v>110</v>
      </c>
      <c r="BB380" s="5" t="s">
        <v>277</v>
      </c>
      <c r="BC380" s="6"/>
      <c r="BD380" s="6"/>
      <c r="BE380" s="5" t="s">
        <v>4117</v>
      </c>
      <c r="BF380" s="6"/>
      <c r="BG380" s="6"/>
      <c r="BH380" s="6"/>
      <c r="BI380" s="6"/>
      <c r="BJ380" s="6"/>
      <c r="BK380" s="6"/>
      <c r="BL380" s="6"/>
      <c r="BM380" s="6"/>
      <c r="BN380" s="6"/>
      <c r="BO380" s="6"/>
      <c r="BP380" s="6"/>
      <c r="BQ380" s="6"/>
      <c r="BR380" s="6"/>
      <c r="BS380" s="6"/>
      <c r="BT380" s="6"/>
      <c r="BU380" s="6"/>
      <c r="BV380" s="6"/>
      <c r="BW380" s="6"/>
      <c r="BX380" s="6"/>
      <c r="BY380" s="6"/>
      <c r="BZ380" s="5" t="s">
        <v>100</v>
      </c>
      <c r="CA380" s="5" t="s">
        <v>100</v>
      </c>
      <c r="CB380" s="5" t="s">
        <v>2995</v>
      </c>
      <c r="CC380" s="6"/>
      <c r="CD380" s="6"/>
      <c r="CE380" s="5" t="s">
        <v>412</v>
      </c>
      <c r="CF380" s="5" t="s">
        <v>4118</v>
      </c>
      <c r="CG380" s="6"/>
      <c r="CH380" s="6"/>
      <c r="CI380" s="6"/>
      <c r="CJ380" s="6"/>
      <c r="CK380" s="6"/>
      <c r="CL380" s="6"/>
      <c r="CM380" s="6"/>
      <c r="CN380" s="6"/>
      <c r="CO380" s="6"/>
      <c r="CP380" s="6"/>
    </row>
    <row r="381">
      <c r="A381" s="7" t="s">
        <v>4119</v>
      </c>
      <c r="B381" s="8" t="s">
        <v>4120</v>
      </c>
      <c r="C381" s="8" t="s">
        <v>4121</v>
      </c>
      <c r="D381" s="8" t="s">
        <v>94</v>
      </c>
      <c r="E381" s="8" t="s">
        <v>95</v>
      </c>
      <c r="F381" s="9"/>
      <c r="G381" s="8" t="s">
        <v>4122</v>
      </c>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t="str">
        <f t="shared" ref="AJ381:AJ491" si="35">CONCATENATE(J381,K381,L381,Q381,R381,X381,Y381,AA381,AG381)</f>
        <v/>
      </c>
      <c r="AK381" s="8"/>
      <c r="AL381" s="8"/>
      <c r="AM381" s="8" t="s">
        <v>1877</v>
      </c>
      <c r="AN381" s="8" t="s">
        <v>4123</v>
      </c>
      <c r="AO381" s="9"/>
      <c r="AP381" s="9"/>
      <c r="AQ381" s="9"/>
      <c r="AR381" s="8" t="s">
        <v>1879</v>
      </c>
      <c r="AS381" s="8" t="s">
        <v>1880</v>
      </c>
      <c r="AT381" s="9"/>
      <c r="AU381" s="8" t="s">
        <v>4124</v>
      </c>
      <c r="AV381" s="9"/>
      <c r="AW381" s="9"/>
      <c r="AX381" s="9"/>
      <c r="AY381" s="8" t="s">
        <v>4092</v>
      </c>
      <c r="AZ381" s="8" t="b">
        <v>0</v>
      </c>
      <c r="BA381" s="8" t="s">
        <v>190</v>
      </c>
      <c r="BB381" s="8" t="s">
        <v>191</v>
      </c>
      <c r="BC381" s="8" t="s">
        <v>629</v>
      </c>
      <c r="BD381" s="9"/>
      <c r="BE381" s="8" t="s">
        <v>3346</v>
      </c>
      <c r="BF381" s="9"/>
      <c r="BG381" s="9"/>
      <c r="BH381" s="9"/>
      <c r="BI381" s="9"/>
      <c r="BJ381" s="9"/>
      <c r="BK381" s="8" t="s">
        <v>3061</v>
      </c>
      <c r="BL381" s="9"/>
      <c r="BM381" s="9"/>
      <c r="BN381" s="9"/>
      <c r="BO381" s="9"/>
      <c r="BP381" s="9"/>
      <c r="BQ381" s="9"/>
      <c r="BR381" s="8" t="s">
        <v>193</v>
      </c>
      <c r="BS381" s="8" t="s">
        <v>2628</v>
      </c>
      <c r="BT381" s="9"/>
      <c r="BU381" s="9"/>
      <c r="BV381" s="8" t="s">
        <v>2629</v>
      </c>
      <c r="BW381" s="9"/>
      <c r="BX381" s="9"/>
      <c r="BY381" s="9"/>
      <c r="BZ381" s="9"/>
      <c r="CA381" s="9"/>
      <c r="CB381" s="8" t="s">
        <v>4125</v>
      </c>
      <c r="CC381" s="9"/>
      <c r="CD381" s="9"/>
      <c r="CE381" s="8" t="s">
        <v>115</v>
      </c>
      <c r="CF381" s="8" t="s">
        <v>4126</v>
      </c>
      <c r="CG381" s="9"/>
      <c r="CH381" s="9"/>
      <c r="CI381" s="9"/>
      <c r="CJ381" s="9"/>
      <c r="CK381" s="9"/>
      <c r="CL381" s="9"/>
      <c r="CM381" s="9"/>
      <c r="CN381" s="9"/>
      <c r="CO381" s="9"/>
      <c r="CP381" s="9"/>
    </row>
    <row r="382">
      <c r="A382" s="7" t="s">
        <v>4127</v>
      </c>
      <c r="B382" s="8" t="s">
        <v>4128</v>
      </c>
      <c r="C382" s="8" t="s">
        <v>4129</v>
      </c>
      <c r="D382" s="8" t="s">
        <v>94</v>
      </c>
      <c r="E382" s="8" t="s">
        <v>95</v>
      </c>
      <c r="F382" s="9"/>
      <c r="G382" s="8" t="s">
        <v>4130</v>
      </c>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t="str">
        <f t="shared" si="35"/>
        <v/>
      </c>
      <c r="AK382" s="8"/>
      <c r="AL382" s="8"/>
      <c r="AM382" s="8" t="s">
        <v>1877</v>
      </c>
      <c r="AN382" s="8" t="s">
        <v>974</v>
      </c>
      <c r="AO382" s="9"/>
      <c r="AP382" s="9"/>
      <c r="AQ382" s="9"/>
      <c r="AR382" s="8" t="s">
        <v>1879</v>
      </c>
      <c r="AS382" s="8" t="s">
        <v>1880</v>
      </c>
      <c r="AT382" s="9"/>
      <c r="AU382" s="8" t="s">
        <v>4131</v>
      </c>
      <c r="AV382" s="8" t="s">
        <v>108</v>
      </c>
      <c r="AW382" s="9"/>
      <c r="AX382" s="9"/>
      <c r="AY382" s="8" t="s">
        <v>4092</v>
      </c>
      <c r="AZ382" s="8" t="b">
        <v>0</v>
      </c>
      <c r="BA382" s="8" t="s">
        <v>110</v>
      </c>
      <c r="BB382" s="8" t="s">
        <v>2485</v>
      </c>
      <c r="BC382" s="9"/>
      <c r="BD382" s="9"/>
      <c r="BE382" s="8" t="s">
        <v>4132</v>
      </c>
      <c r="BF382" s="9"/>
      <c r="BG382" s="9"/>
      <c r="BH382" s="9"/>
      <c r="BI382" s="9"/>
      <c r="BJ382" s="9"/>
      <c r="BK382" s="9"/>
      <c r="BL382" s="9"/>
      <c r="BM382" s="9"/>
      <c r="BN382" s="9"/>
      <c r="BO382" s="9"/>
      <c r="BP382" s="9"/>
      <c r="BQ382" s="9"/>
      <c r="BR382" s="9"/>
      <c r="BS382" s="9"/>
      <c r="BT382" s="9"/>
      <c r="BU382" s="9"/>
      <c r="BV382" s="9"/>
      <c r="BW382" s="9"/>
      <c r="BX382" s="9"/>
      <c r="BY382" s="9"/>
      <c r="BZ382" s="9"/>
      <c r="CA382" s="9"/>
      <c r="CB382" s="8" t="s">
        <v>4125</v>
      </c>
      <c r="CC382" s="9"/>
      <c r="CD382" s="9"/>
      <c r="CE382" s="8" t="s">
        <v>115</v>
      </c>
      <c r="CF382" s="8" t="s">
        <v>4133</v>
      </c>
      <c r="CG382" s="9"/>
      <c r="CH382" s="9"/>
      <c r="CI382" s="9"/>
      <c r="CJ382" s="9"/>
      <c r="CK382" s="9"/>
      <c r="CL382" s="9"/>
      <c r="CM382" s="9"/>
      <c r="CN382" s="9"/>
      <c r="CO382" s="9"/>
      <c r="CP382" s="9"/>
    </row>
    <row r="383">
      <c r="A383" s="7" t="s">
        <v>4134</v>
      </c>
      <c r="B383" s="8" t="s">
        <v>4135</v>
      </c>
      <c r="C383" s="8" t="s">
        <v>4136</v>
      </c>
      <c r="D383" s="8" t="s">
        <v>94</v>
      </c>
      <c r="E383" s="8" t="s">
        <v>95</v>
      </c>
      <c r="F383" s="9"/>
      <c r="G383" s="8" t="s">
        <v>4137</v>
      </c>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t="str">
        <f t="shared" si="35"/>
        <v/>
      </c>
      <c r="AK383" s="8"/>
      <c r="AL383" s="8"/>
      <c r="AM383" s="8" t="s">
        <v>1877</v>
      </c>
      <c r="AN383" s="8" t="s">
        <v>4138</v>
      </c>
      <c r="AO383" s="9"/>
      <c r="AP383" s="9"/>
      <c r="AQ383" s="9"/>
      <c r="AR383" s="8" t="s">
        <v>1879</v>
      </c>
      <c r="AS383" s="8" t="s">
        <v>1880</v>
      </c>
      <c r="AT383" s="9"/>
      <c r="AU383" s="8" t="s">
        <v>4139</v>
      </c>
      <c r="AV383" s="9"/>
      <c r="AW383" s="9"/>
      <c r="AX383" s="9"/>
      <c r="AY383" s="8" t="s">
        <v>4092</v>
      </c>
      <c r="AZ383" s="8" t="b">
        <v>0</v>
      </c>
      <c r="BA383" s="8" t="s">
        <v>190</v>
      </c>
      <c r="BB383" s="8" t="s">
        <v>191</v>
      </c>
      <c r="BC383" s="8" t="s">
        <v>629</v>
      </c>
      <c r="BD383" s="9"/>
      <c r="BE383" s="8" t="s">
        <v>715</v>
      </c>
      <c r="BF383" s="9"/>
      <c r="BG383" s="9"/>
      <c r="BH383" s="9"/>
      <c r="BI383" s="9"/>
      <c r="BJ383" s="9"/>
      <c r="BK383" s="8" t="s">
        <v>4140</v>
      </c>
      <c r="BL383" s="9"/>
      <c r="BM383" s="9"/>
      <c r="BN383" s="9"/>
      <c r="BO383" s="9"/>
      <c r="BP383" s="9"/>
      <c r="BQ383" s="9"/>
      <c r="BR383" s="8" t="s">
        <v>193</v>
      </c>
      <c r="BS383" s="8" t="s">
        <v>2620</v>
      </c>
      <c r="BT383" s="9"/>
      <c r="BU383" s="9"/>
      <c r="BV383" s="8" t="s">
        <v>634</v>
      </c>
      <c r="BW383" s="9"/>
      <c r="BX383" s="9"/>
      <c r="BY383" s="9"/>
      <c r="BZ383" s="9"/>
      <c r="CA383" s="9"/>
      <c r="CB383" s="8" t="s">
        <v>4125</v>
      </c>
      <c r="CC383" s="9"/>
      <c r="CD383" s="9"/>
      <c r="CE383" s="8" t="s">
        <v>115</v>
      </c>
      <c r="CF383" s="8" t="s">
        <v>4141</v>
      </c>
      <c r="CG383" s="9"/>
      <c r="CH383" s="9"/>
      <c r="CI383" s="9"/>
      <c r="CJ383" s="9"/>
      <c r="CK383" s="9"/>
      <c r="CL383" s="9"/>
      <c r="CM383" s="9"/>
      <c r="CN383" s="9"/>
      <c r="CO383" s="9"/>
      <c r="CP383" s="9"/>
    </row>
    <row r="384">
      <c r="A384" s="7" t="s">
        <v>4142</v>
      </c>
      <c r="B384" s="8" t="s">
        <v>4143</v>
      </c>
      <c r="C384" s="8" t="s">
        <v>4144</v>
      </c>
      <c r="D384" s="8" t="s">
        <v>94</v>
      </c>
      <c r="E384" s="8" t="s">
        <v>95</v>
      </c>
      <c r="F384" s="9"/>
      <c r="G384" s="8" t="s">
        <v>4145</v>
      </c>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t="str">
        <f t="shared" si="35"/>
        <v/>
      </c>
      <c r="AK384" s="8"/>
      <c r="AL384" s="8"/>
      <c r="AM384" s="8" t="s">
        <v>591</v>
      </c>
      <c r="AN384" s="8" t="s">
        <v>4146</v>
      </c>
      <c r="AO384" s="9"/>
      <c r="AP384" s="8" t="s">
        <v>713</v>
      </c>
      <c r="AQ384" s="9"/>
      <c r="AR384" s="8" t="s">
        <v>592</v>
      </c>
      <c r="AS384" s="8" t="s">
        <v>593</v>
      </c>
      <c r="AT384" s="9"/>
      <c r="AU384" s="8" t="s">
        <v>4147</v>
      </c>
      <c r="AV384" s="8" t="s">
        <v>108</v>
      </c>
      <c r="AW384" s="9"/>
      <c r="AX384" s="9"/>
      <c r="AY384" s="8" t="s">
        <v>4092</v>
      </c>
      <c r="AZ384" s="8" t="b">
        <v>0</v>
      </c>
      <c r="BA384" s="8" t="s">
        <v>110</v>
      </c>
      <c r="BB384" s="8" t="s">
        <v>773</v>
      </c>
      <c r="BC384" s="9"/>
      <c r="BD384" s="9"/>
      <c r="BE384" s="8" t="s">
        <v>4148</v>
      </c>
      <c r="BF384" s="9"/>
      <c r="BG384" s="9"/>
      <c r="BH384" s="9"/>
      <c r="BI384" s="9"/>
      <c r="BJ384" s="9"/>
      <c r="BK384" s="9"/>
      <c r="BL384" s="9"/>
      <c r="BM384" s="9"/>
      <c r="BN384" s="9"/>
      <c r="BO384" s="9"/>
      <c r="BP384" s="9"/>
      <c r="BQ384" s="9"/>
      <c r="BR384" s="9"/>
      <c r="BS384" s="9"/>
      <c r="BT384" s="9"/>
      <c r="BU384" s="9"/>
      <c r="BV384" s="9"/>
      <c r="BW384" s="9"/>
      <c r="BX384" s="9"/>
      <c r="BY384" s="9"/>
      <c r="BZ384" s="9"/>
      <c r="CA384" s="9"/>
      <c r="CB384" s="8" t="s">
        <v>4149</v>
      </c>
      <c r="CC384" s="9"/>
      <c r="CD384" s="9"/>
      <c r="CE384" s="8" t="s">
        <v>412</v>
      </c>
      <c r="CF384" s="8" t="s">
        <v>4150</v>
      </c>
      <c r="CG384" s="9"/>
      <c r="CH384" s="9"/>
      <c r="CI384" s="9"/>
      <c r="CJ384" s="9"/>
      <c r="CK384" s="9"/>
      <c r="CL384" s="9"/>
      <c r="CM384" s="9"/>
      <c r="CN384" s="9"/>
      <c r="CO384" s="9"/>
      <c r="CP384" s="9"/>
    </row>
    <row r="385">
      <c r="A385" s="7" t="s">
        <v>4151</v>
      </c>
      <c r="B385" s="8" t="s">
        <v>4152</v>
      </c>
      <c r="C385" s="8" t="s">
        <v>4153</v>
      </c>
      <c r="D385" s="8" t="s">
        <v>94</v>
      </c>
      <c r="E385" s="8" t="s">
        <v>95</v>
      </c>
      <c r="F385" s="9"/>
      <c r="G385" s="8" t="s">
        <v>4154</v>
      </c>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t="str">
        <f t="shared" si="35"/>
        <v/>
      </c>
      <c r="AK385" s="8"/>
      <c r="AL385" s="8"/>
      <c r="AM385" s="8" t="s">
        <v>591</v>
      </c>
      <c r="AN385" s="8" t="s">
        <v>4155</v>
      </c>
      <c r="AO385" s="9"/>
      <c r="AP385" s="8" t="s">
        <v>734</v>
      </c>
      <c r="AQ385" s="9"/>
      <c r="AR385" s="8" t="s">
        <v>592</v>
      </c>
      <c r="AS385" s="8" t="s">
        <v>593</v>
      </c>
      <c r="AT385" s="9"/>
      <c r="AU385" s="8" t="s">
        <v>4156</v>
      </c>
      <c r="AV385" s="8" t="s">
        <v>108</v>
      </c>
      <c r="AW385" s="9"/>
      <c r="AX385" s="9"/>
      <c r="AY385" s="8" t="s">
        <v>4092</v>
      </c>
      <c r="AZ385" s="8" t="b">
        <v>0</v>
      </c>
      <c r="BA385" s="8" t="s">
        <v>110</v>
      </c>
      <c r="BB385" s="9"/>
      <c r="BC385" s="9"/>
      <c r="BD385" s="9"/>
      <c r="BE385" s="8" t="s">
        <v>4157</v>
      </c>
      <c r="BF385" s="9"/>
      <c r="BG385" s="9"/>
      <c r="BH385" s="9"/>
      <c r="BI385" s="9"/>
      <c r="BJ385" s="9"/>
      <c r="BK385" s="9"/>
      <c r="BL385" s="9"/>
      <c r="BM385" s="9"/>
      <c r="BN385" s="9"/>
      <c r="BO385" s="9"/>
      <c r="BP385" s="9"/>
      <c r="BQ385" s="9"/>
      <c r="BR385" s="9"/>
      <c r="BS385" s="9"/>
      <c r="BT385" s="9"/>
      <c r="BU385" s="9"/>
      <c r="BV385" s="9"/>
      <c r="BW385" s="9"/>
      <c r="BX385" s="9"/>
      <c r="BY385" s="9"/>
      <c r="BZ385" s="9"/>
      <c r="CA385" s="9"/>
      <c r="CB385" s="8" t="s">
        <v>4158</v>
      </c>
      <c r="CC385" s="9"/>
      <c r="CD385" s="9"/>
      <c r="CE385" s="8" t="s">
        <v>115</v>
      </c>
      <c r="CF385" s="8" t="s">
        <v>4159</v>
      </c>
      <c r="CG385" s="9"/>
      <c r="CH385" s="9"/>
      <c r="CI385" s="9"/>
      <c r="CJ385" s="9"/>
      <c r="CK385" s="9"/>
      <c r="CL385" s="9"/>
      <c r="CM385" s="9"/>
      <c r="CN385" s="9"/>
      <c r="CO385" s="9"/>
      <c r="CP385" s="9"/>
    </row>
    <row r="386">
      <c r="A386" s="7" t="s">
        <v>4160</v>
      </c>
      <c r="B386" s="8" t="s">
        <v>4161</v>
      </c>
      <c r="C386" s="8" t="s">
        <v>4162</v>
      </c>
      <c r="D386" s="8" t="s">
        <v>94</v>
      </c>
      <c r="E386" s="8" t="s">
        <v>95</v>
      </c>
      <c r="F386" s="9"/>
      <c r="G386" s="8" t="s">
        <v>4163</v>
      </c>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t="str">
        <f t="shared" si="35"/>
        <v/>
      </c>
      <c r="AK386" s="8"/>
      <c r="AL386" s="8"/>
      <c r="AM386" s="8" t="s">
        <v>591</v>
      </c>
      <c r="AN386" s="8" t="s">
        <v>4164</v>
      </c>
      <c r="AO386" s="9"/>
      <c r="AP386" s="8" t="s">
        <v>3303</v>
      </c>
      <c r="AQ386" s="9"/>
      <c r="AR386" s="8" t="s">
        <v>592</v>
      </c>
      <c r="AS386" s="8" t="s">
        <v>593</v>
      </c>
      <c r="AT386" s="9"/>
      <c r="AU386" s="8" t="s">
        <v>4165</v>
      </c>
      <c r="AV386" s="9"/>
      <c r="AW386" s="9"/>
      <c r="AX386" s="9"/>
      <c r="AY386" s="8" t="s">
        <v>4092</v>
      </c>
      <c r="AZ386" s="8" t="b">
        <v>0</v>
      </c>
      <c r="BA386" s="8" t="s">
        <v>190</v>
      </c>
      <c r="BB386" s="8" t="s">
        <v>191</v>
      </c>
      <c r="BC386" s="9"/>
      <c r="BD386" s="9"/>
      <c r="BE386" s="8" t="s">
        <v>4166</v>
      </c>
      <c r="BF386" s="9"/>
      <c r="BG386" s="9"/>
      <c r="BH386" s="9"/>
      <c r="BI386" s="9"/>
      <c r="BJ386" s="9"/>
      <c r="BK386" s="9"/>
      <c r="BL386" s="9"/>
      <c r="BM386" s="9"/>
      <c r="BN386" s="9"/>
      <c r="BO386" s="9"/>
      <c r="BP386" s="9"/>
      <c r="BQ386" s="9"/>
      <c r="BR386" s="8" t="s">
        <v>193</v>
      </c>
      <c r="BS386" s="8" t="s">
        <v>194</v>
      </c>
      <c r="BT386" s="8" t="s">
        <v>4167</v>
      </c>
      <c r="BU386" s="9"/>
      <c r="BV386" s="8" t="s">
        <v>4168</v>
      </c>
      <c r="BW386" s="9"/>
      <c r="BX386" s="9"/>
      <c r="BY386" s="9"/>
      <c r="BZ386" s="9"/>
      <c r="CA386" s="9"/>
      <c r="CB386" s="8" t="s">
        <v>4169</v>
      </c>
      <c r="CC386" s="9"/>
      <c r="CD386" s="9"/>
      <c r="CE386" s="8" t="s">
        <v>412</v>
      </c>
      <c r="CF386" s="8" t="s">
        <v>4170</v>
      </c>
      <c r="CG386" s="9"/>
      <c r="CH386" s="9"/>
      <c r="CI386" s="9"/>
      <c r="CJ386" s="9"/>
      <c r="CK386" s="9"/>
      <c r="CL386" s="9"/>
      <c r="CM386" s="9"/>
      <c r="CN386" s="9"/>
      <c r="CO386" s="9"/>
      <c r="CP386" s="9"/>
    </row>
    <row r="387">
      <c r="A387" s="7" t="s">
        <v>4171</v>
      </c>
      <c r="B387" s="8" t="s">
        <v>4172</v>
      </c>
      <c r="C387" s="8" t="s">
        <v>4173</v>
      </c>
      <c r="D387" s="8" t="s">
        <v>94</v>
      </c>
      <c r="E387" s="8" t="s">
        <v>95</v>
      </c>
      <c r="F387" s="9"/>
      <c r="G387" s="8" t="s">
        <v>4174</v>
      </c>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t="str">
        <f t="shared" si="35"/>
        <v/>
      </c>
      <c r="AK387" s="8"/>
      <c r="AL387" s="8"/>
      <c r="AM387" s="8" t="s">
        <v>591</v>
      </c>
      <c r="AN387" s="8" t="s">
        <v>4175</v>
      </c>
      <c r="AO387" s="9"/>
      <c r="AP387" s="8" t="s">
        <v>3303</v>
      </c>
      <c r="AQ387" s="9"/>
      <c r="AR387" s="8" t="s">
        <v>592</v>
      </c>
      <c r="AS387" s="8" t="s">
        <v>593</v>
      </c>
      <c r="AT387" s="9"/>
      <c r="AU387" s="8" t="s">
        <v>4176</v>
      </c>
      <c r="AV387" s="8" t="s">
        <v>108</v>
      </c>
      <c r="AW387" s="9"/>
      <c r="AX387" s="9"/>
      <c r="AY387" s="8" t="s">
        <v>4092</v>
      </c>
      <c r="AZ387" s="8" t="b">
        <v>0</v>
      </c>
      <c r="BA387" s="8" t="s">
        <v>110</v>
      </c>
      <c r="BB387" s="9"/>
      <c r="BC387" s="9"/>
      <c r="BD387" s="9"/>
      <c r="BE387" s="8" t="s">
        <v>4177</v>
      </c>
      <c r="BF387" s="8" t="s">
        <v>94</v>
      </c>
      <c r="BG387" s="8" t="s">
        <v>95</v>
      </c>
      <c r="BH387" s="8" t="s">
        <v>4178</v>
      </c>
      <c r="BI387" s="9"/>
      <c r="BJ387" s="9"/>
      <c r="BK387" s="9"/>
      <c r="BL387" s="9"/>
      <c r="BM387" s="9"/>
      <c r="BN387" s="9"/>
      <c r="BO387" s="9"/>
      <c r="BP387" s="9"/>
      <c r="BQ387" s="9"/>
      <c r="BR387" s="9"/>
      <c r="BS387" s="9"/>
      <c r="BT387" s="9"/>
      <c r="BU387" s="9"/>
      <c r="BV387" s="9"/>
      <c r="BW387" s="9"/>
      <c r="BX387" s="9"/>
      <c r="BY387" s="9"/>
      <c r="BZ387" s="9"/>
      <c r="CA387" s="9"/>
      <c r="CB387" s="8" t="s">
        <v>4169</v>
      </c>
      <c r="CC387" s="9"/>
      <c r="CD387" s="9"/>
      <c r="CE387" s="8" t="s">
        <v>412</v>
      </c>
      <c r="CF387" s="8" t="s">
        <v>4179</v>
      </c>
      <c r="CG387" s="9"/>
      <c r="CH387" s="9"/>
      <c r="CI387" s="9"/>
      <c r="CJ387" s="9"/>
      <c r="CK387" s="9"/>
      <c r="CL387" s="9"/>
      <c r="CM387" s="9"/>
      <c r="CN387" s="9"/>
      <c r="CO387" s="9"/>
      <c r="CP387" s="9"/>
    </row>
    <row r="388">
      <c r="A388" s="7" t="s">
        <v>4180</v>
      </c>
      <c r="B388" s="8" t="s">
        <v>4181</v>
      </c>
      <c r="C388" s="8" t="s">
        <v>4182</v>
      </c>
      <c r="D388" s="8" t="s">
        <v>94</v>
      </c>
      <c r="E388" s="8" t="s">
        <v>95</v>
      </c>
      <c r="F388" s="9"/>
      <c r="G388" s="8" t="s">
        <v>4183</v>
      </c>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t="str">
        <f t="shared" si="35"/>
        <v/>
      </c>
      <c r="AK388" s="8"/>
      <c r="AL388" s="8"/>
      <c r="AM388" s="8" t="s">
        <v>1477</v>
      </c>
      <c r="AN388" s="8" t="s">
        <v>4184</v>
      </c>
      <c r="AO388" s="9"/>
      <c r="AP388" s="9"/>
      <c r="AQ388" s="9"/>
      <c r="AR388" s="8" t="s">
        <v>1479</v>
      </c>
      <c r="AS388" s="8" t="s">
        <v>1480</v>
      </c>
      <c r="AT388" s="9"/>
      <c r="AU388" s="8" t="s">
        <v>4185</v>
      </c>
      <c r="AV388" s="9"/>
      <c r="AW388" s="9"/>
      <c r="AX388" s="9"/>
      <c r="AY388" s="8" t="s">
        <v>4092</v>
      </c>
      <c r="AZ388" s="8" t="b">
        <v>0</v>
      </c>
      <c r="BA388" s="8" t="s">
        <v>190</v>
      </c>
      <c r="BB388" s="8" t="s">
        <v>191</v>
      </c>
      <c r="BC388" s="8" t="s">
        <v>1767</v>
      </c>
      <c r="BD388" s="9"/>
      <c r="BE388" s="8" t="s">
        <v>4186</v>
      </c>
      <c r="BF388" s="9"/>
      <c r="BG388" s="9"/>
      <c r="BH388" s="9"/>
      <c r="BI388" s="9"/>
      <c r="BJ388" s="9"/>
      <c r="BK388" s="9"/>
      <c r="BL388" s="9"/>
      <c r="BM388" s="9"/>
      <c r="BN388" s="9"/>
      <c r="BO388" s="9"/>
      <c r="BP388" s="9"/>
      <c r="BQ388" s="9"/>
      <c r="BR388" s="8" t="s">
        <v>193</v>
      </c>
      <c r="BS388" s="8" t="s">
        <v>194</v>
      </c>
      <c r="BT388" s="9"/>
      <c r="BU388" s="8" t="s">
        <v>4187</v>
      </c>
      <c r="BV388" s="9"/>
      <c r="BW388" s="9"/>
      <c r="BX388" s="9"/>
      <c r="BY388" s="8" t="s">
        <v>3740</v>
      </c>
      <c r="BZ388" s="9"/>
      <c r="CA388" s="9"/>
      <c r="CB388" s="8" t="s">
        <v>4188</v>
      </c>
      <c r="CC388" s="9"/>
      <c r="CD388" s="9"/>
      <c r="CE388" s="8" t="s">
        <v>115</v>
      </c>
      <c r="CF388" s="8" t="s">
        <v>4189</v>
      </c>
      <c r="CG388" s="9"/>
      <c r="CH388" s="9"/>
      <c r="CI388" s="9"/>
      <c r="CJ388" s="9"/>
      <c r="CK388" s="9"/>
      <c r="CL388" s="9"/>
      <c r="CM388" s="9"/>
      <c r="CN388" s="9"/>
      <c r="CO388" s="9"/>
      <c r="CP388" s="9"/>
    </row>
    <row r="389">
      <c r="A389" s="7" t="s">
        <v>4190</v>
      </c>
      <c r="B389" s="8" t="s">
        <v>4191</v>
      </c>
      <c r="C389" s="8" t="s">
        <v>4192</v>
      </c>
      <c r="D389" s="8" t="s">
        <v>94</v>
      </c>
      <c r="E389" s="8" t="s">
        <v>95</v>
      </c>
      <c r="F389" s="9"/>
      <c r="G389" s="8" t="s">
        <v>4193</v>
      </c>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t="str">
        <f t="shared" si="35"/>
        <v/>
      </c>
      <c r="AK389" s="8"/>
      <c r="AL389" s="8"/>
      <c r="AM389" s="8" t="s">
        <v>1477</v>
      </c>
      <c r="AN389" s="8" t="s">
        <v>4194</v>
      </c>
      <c r="AO389" s="9"/>
      <c r="AP389" s="9"/>
      <c r="AQ389" s="9"/>
      <c r="AR389" s="8" t="s">
        <v>1479</v>
      </c>
      <c r="AS389" s="8" t="s">
        <v>1480</v>
      </c>
      <c r="AT389" s="9"/>
      <c r="AU389" s="8" t="s">
        <v>4195</v>
      </c>
      <c r="AV389" s="8" t="s">
        <v>108</v>
      </c>
      <c r="AW389" s="9"/>
      <c r="AX389" s="9"/>
      <c r="AY389" s="8" t="s">
        <v>4092</v>
      </c>
      <c r="AZ389" s="8" t="b">
        <v>0</v>
      </c>
      <c r="BA389" s="8" t="s">
        <v>110</v>
      </c>
      <c r="BB389" s="9"/>
      <c r="BC389" s="9"/>
      <c r="BD389" s="9"/>
      <c r="BE389" s="8" t="s">
        <v>1137</v>
      </c>
      <c r="BF389" s="9"/>
      <c r="BG389" s="9"/>
      <c r="BH389" s="9"/>
      <c r="BI389" s="9"/>
      <c r="BJ389" s="9"/>
      <c r="BK389" s="9"/>
      <c r="BL389" s="9"/>
      <c r="BM389" s="9"/>
      <c r="BN389" s="9"/>
      <c r="BO389" s="9"/>
      <c r="BP389" s="9"/>
      <c r="BQ389" s="9"/>
      <c r="BR389" s="9"/>
      <c r="BS389" s="9"/>
      <c r="BT389" s="9"/>
      <c r="BU389" s="9"/>
      <c r="BV389" s="9"/>
      <c r="BW389" s="9"/>
      <c r="BX389" s="9"/>
      <c r="BY389" s="9"/>
      <c r="BZ389" s="9"/>
      <c r="CA389" s="9"/>
      <c r="CB389" s="8" t="s">
        <v>2212</v>
      </c>
      <c r="CC389" s="9"/>
      <c r="CD389" s="9"/>
      <c r="CE389" s="8" t="s">
        <v>197</v>
      </c>
      <c r="CF389" s="8" t="s">
        <v>4196</v>
      </c>
      <c r="CG389" s="9"/>
      <c r="CH389" s="9"/>
      <c r="CI389" s="9"/>
      <c r="CJ389" s="9"/>
      <c r="CK389" s="9"/>
      <c r="CL389" s="9"/>
      <c r="CM389" s="9"/>
      <c r="CN389" s="9"/>
      <c r="CO389" s="9"/>
      <c r="CP389" s="9"/>
    </row>
    <row r="390">
      <c r="A390" s="7" t="s">
        <v>4197</v>
      </c>
      <c r="B390" s="8" t="s">
        <v>4198</v>
      </c>
      <c r="C390" s="8" t="s">
        <v>4199</v>
      </c>
      <c r="D390" s="8" t="s">
        <v>94</v>
      </c>
      <c r="E390" s="8" t="s">
        <v>95</v>
      </c>
      <c r="F390" s="9"/>
      <c r="G390" s="8" t="s">
        <v>4200</v>
      </c>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t="str">
        <f t="shared" si="35"/>
        <v/>
      </c>
      <c r="AK390" s="8"/>
      <c r="AL390" s="8"/>
      <c r="AM390" s="8" t="s">
        <v>1477</v>
      </c>
      <c r="AN390" s="8" t="s">
        <v>4201</v>
      </c>
      <c r="AO390" s="9"/>
      <c r="AP390" s="9"/>
      <c r="AQ390" s="9"/>
      <c r="AR390" s="8" t="s">
        <v>1479</v>
      </c>
      <c r="AS390" s="8" t="s">
        <v>1480</v>
      </c>
      <c r="AT390" s="9"/>
      <c r="AU390" s="8" t="s">
        <v>4202</v>
      </c>
      <c r="AV390" s="8" t="s">
        <v>108</v>
      </c>
      <c r="AW390" s="9"/>
      <c r="AX390" s="9"/>
      <c r="AY390" s="8" t="s">
        <v>4092</v>
      </c>
      <c r="AZ390" s="8" t="b">
        <v>0</v>
      </c>
      <c r="BA390" s="8" t="s">
        <v>110</v>
      </c>
      <c r="BB390" s="9"/>
      <c r="BC390" s="9"/>
      <c r="BD390" s="9"/>
      <c r="BE390" s="8" t="s">
        <v>2619</v>
      </c>
      <c r="BF390" s="9"/>
      <c r="BG390" s="9"/>
      <c r="BH390" s="9"/>
      <c r="BI390" s="9"/>
      <c r="BJ390" s="9"/>
      <c r="BK390" s="9"/>
      <c r="BL390" s="9"/>
      <c r="BM390" s="9"/>
      <c r="BN390" s="9"/>
      <c r="BO390" s="9"/>
      <c r="BP390" s="9"/>
      <c r="BQ390" s="9"/>
      <c r="BR390" s="9"/>
      <c r="BS390" s="9"/>
      <c r="BT390" s="9"/>
      <c r="BU390" s="9"/>
      <c r="BV390" s="9"/>
      <c r="BW390" s="9"/>
      <c r="BX390" s="9"/>
      <c r="BY390" s="9"/>
      <c r="BZ390" s="9"/>
      <c r="CA390" s="9"/>
      <c r="CB390" s="8" t="s">
        <v>2212</v>
      </c>
      <c r="CC390" s="9"/>
      <c r="CD390" s="9"/>
      <c r="CE390" s="8" t="s">
        <v>450</v>
      </c>
      <c r="CF390" s="8" t="s">
        <v>4203</v>
      </c>
      <c r="CG390" s="9"/>
      <c r="CH390" s="9"/>
      <c r="CI390" s="9"/>
      <c r="CJ390" s="9"/>
      <c r="CK390" s="9"/>
      <c r="CL390" s="9"/>
      <c r="CM390" s="9"/>
      <c r="CN390" s="9"/>
      <c r="CO390" s="9"/>
      <c r="CP390" s="9"/>
    </row>
    <row r="391">
      <c r="A391" s="7" t="s">
        <v>4204</v>
      </c>
      <c r="B391" s="8" t="s">
        <v>4205</v>
      </c>
      <c r="C391" s="8" t="s">
        <v>4206</v>
      </c>
      <c r="D391" s="8" t="s">
        <v>94</v>
      </c>
      <c r="E391" s="8" t="s">
        <v>95</v>
      </c>
      <c r="F391" s="9"/>
      <c r="G391" s="8" t="s">
        <v>4207</v>
      </c>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t="str">
        <f t="shared" si="35"/>
        <v/>
      </c>
      <c r="AK391" s="8"/>
      <c r="AL391" s="8"/>
      <c r="AM391" s="8" t="s">
        <v>1477</v>
      </c>
      <c r="AN391" s="8" t="s">
        <v>4208</v>
      </c>
      <c r="AO391" s="9"/>
      <c r="AP391" s="9"/>
      <c r="AQ391" s="9"/>
      <c r="AR391" s="8" t="s">
        <v>1479</v>
      </c>
      <c r="AS391" s="8" t="s">
        <v>1480</v>
      </c>
      <c r="AT391" s="9"/>
      <c r="AU391" s="8" t="s">
        <v>4209</v>
      </c>
      <c r="AV391" s="8" t="s">
        <v>108</v>
      </c>
      <c r="AW391" s="9"/>
      <c r="AX391" s="9"/>
      <c r="AY391" s="8" t="s">
        <v>4092</v>
      </c>
      <c r="AZ391" s="8" t="b">
        <v>0</v>
      </c>
      <c r="BA391" s="8" t="s">
        <v>110</v>
      </c>
      <c r="BB391" s="9"/>
      <c r="BC391" s="9"/>
      <c r="BD391" s="9"/>
      <c r="BE391" s="8" t="s">
        <v>4210</v>
      </c>
      <c r="BF391" s="9"/>
      <c r="BG391" s="9"/>
      <c r="BH391" s="9"/>
      <c r="BI391" s="9"/>
      <c r="BJ391" s="9"/>
      <c r="BK391" s="9"/>
      <c r="BL391" s="9"/>
      <c r="BM391" s="9"/>
      <c r="BN391" s="9"/>
      <c r="BO391" s="9"/>
      <c r="BP391" s="9"/>
      <c r="BQ391" s="9"/>
      <c r="BR391" s="9"/>
      <c r="BS391" s="9"/>
      <c r="BT391" s="9"/>
      <c r="BU391" s="9"/>
      <c r="BV391" s="9"/>
      <c r="BW391" s="9"/>
      <c r="BX391" s="9"/>
      <c r="BY391" s="9"/>
      <c r="BZ391" s="9"/>
      <c r="CA391" s="9"/>
      <c r="CB391" s="8" t="s">
        <v>4211</v>
      </c>
      <c r="CC391" s="9"/>
      <c r="CD391" s="9"/>
      <c r="CE391" s="8" t="s">
        <v>366</v>
      </c>
      <c r="CF391" s="8" t="s">
        <v>4212</v>
      </c>
      <c r="CG391" s="9"/>
      <c r="CH391" s="9"/>
      <c r="CI391" s="9"/>
      <c r="CJ391" s="9"/>
      <c r="CK391" s="9"/>
      <c r="CL391" s="9"/>
      <c r="CM391" s="9"/>
      <c r="CN391" s="9"/>
      <c r="CO391" s="9"/>
      <c r="CP391" s="9"/>
    </row>
    <row r="392">
      <c r="A392" s="7" t="s">
        <v>4213</v>
      </c>
      <c r="B392" s="8" t="s">
        <v>4214</v>
      </c>
      <c r="C392" s="8" t="s">
        <v>4215</v>
      </c>
      <c r="D392" s="8" t="s">
        <v>94</v>
      </c>
      <c r="E392" s="8" t="s">
        <v>95</v>
      </c>
      <c r="F392" s="9"/>
      <c r="G392" s="8" t="s">
        <v>4216</v>
      </c>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t="str">
        <f t="shared" si="35"/>
        <v/>
      </c>
      <c r="AK392" s="8"/>
      <c r="AL392" s="8"/>
      <c r="AM392" s="8" t="s">
        <v>1477</v>
      </c>
      <c r="AN392" s="8" t="s">
        <v>4217</v>
      </c>
      <c r="AO392" s="9"/>
      <c r="AP392" s="9"/>
      <c r="AQ392" s="9"/>
      <c r="AR392" s="8" t="s">
        <v>1479</v>
      </c>
      <c r="AS392" s="8" t="s">
        <v>1480</v>
      </c>
      <c r="AT392" s="9"/>
      <c r="AU392" s="8" t="s">
        <v>4218</v>
      </c>
      <c r="AV392" s="8" t="s">
        <v>108</v>
      </c>
      <c r="AW392" s="9"/>
      <c r="AX392" s="9"/>
      <c r="AY392" s="8" t="s">
        <v>4092</v>
      </c>
      <c r="AZ392" s="8" t="b">
        <v>0</v>
      </c>
      <c r="BA392" s="8" t="s">
        <v>110</v>
      </c>
      <c r="BB392" s="9"/>
      <c r="BC392" s="9"/>
      <c r="BD392" s="9"/>
      <c r="BE392" s="8" t="s">
        <v>4219</v>
      </c>
      <c r="BF392" s="9"/>
      <c r="BG392" s="9"/>
      <c r="BH392" s="9"/>
      <c r="BI392" s="9"/>
      <c r="BJ392" s="9"/>
      <c r="BK392" s="9"/>
      <c r="BL392" s="9"/>
      <c r="BM392" s="9"/>
      <c r="BN392" s="9"/>
      <c r="BO392" s="9"/>
      <c r="BP392" s="9"/>
      <c r="BQ392" s="9"/>
      <c r="BR392" s="9"/>
      <c r="BS392" s="9"/>
      <c r="BT392" s="9"/>
      <c r="BU392" s="9"/>
      <c r="BV392" s="9"/>
      <c r="BW392" s="9"/>
      <c r="BX392" s="9"/>
      <c r="BY392" s="9"/>
      <c r="BZ392" s="9"/>
      <c r="CA392" s="9"/>
      <c r="CB392" s="8" t="s">
        <v>4220</v>
      </c>
      <c r="CC392" s="9"/>
      <c r="CD392" s="9"/>
      <c r="CE392" s="8" t="s">
        <v>366</v>
      </c>
      <c r="CF392" s="8" t="s">
        <v>4221</v>
      </c>
      <c r="CG392" s="9"/>
      <c r="CH392" s="9"/>
      <c r="CI392" s="9"/>
      <c r="CJ392" s="9"/>
      <c r="CK392" s="9"/>
      <c r="CL392" s="9"/>
      <c r="CM392" s="9"/>
      <c r="CN392" s="9"/>
      <c r="CO392" s="9"/>
      <c r="CP392" s="9"/>
    </row>
    <row r="393">
      <c r="A393" s="7" t="s">
        <v>4222</v>
      </c>
      <c r="B393" s="8" t="s">
        <v>4223</v>
      </c>
      <c r="C393" s="8" t="s">
        <v>4224</v>
      </c>
      <c r="D393" s="8" t="s">
        <v>94</v>
      </c>
      <c r="E393" s="8" t="s">
        <v>95</v>
      </c>
      <c r="F393" s="9"/>
      <c r="G393" s="8" t="s">
        <v>4225</v>
      </c>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t="str">
        <f t="shared" si="35"/>
        <v/>
      </c>
      <c r="AK393" s="8"/>
      <c r="AL393" s="8"/>
      <c r="AM393" s="8" t="s">
        <v>1477</v>
      </c>
      <c r="AN393" s="8" t="s">
        <v>4226</v>
      </c>
      <c r="AO393" s="9"/>
      <c r="AP393" s="9"/>
      <c r="AQ393" s="9"/>
      <c r="AR393" s="8" t="s">
        <v>1479</v>
      </c>
      <c r="AS393" s="8" t="s">
        <v>1480</v>
      </c>
      <c r="AT393" s="9"/>
      <c r="AU393" s="8" t="s">
        <v>4227</v>
      </c>
      <c r="AV393" s="8" t="s">
        <v>108</v>
      </c>
      <c r="AW393" s="9"/>
      <c r="AX393" s="9"/>
      <c r="AY393" s="8" t="s">
        <v>4092</v>
      </c>
      <c r="AZ393" s="8" t="b">
        <v>0</v>
      </c>
      <c r="BA393" s="8" t="s">
        <v>110</v>
      </c>
      <c r="BB393" s="9"/>
      <c r="BC393" s="9"/>
      <c r="BD393" s="9"/>
      <c r="BE393" s="8" t="s">
        <v>1648</v>
      </c>
      <c r="BF393" s="9"/>
      <c r="BG393" s="9"/>
      <c r="BH393" s="9"/>
      <c r="BI393" s="9"/>
      <c r="BJ393" s="9"/>
      <c r="BK393" s="9"/>
      <c r="BL393" s="9"/>
      <c r="BM393" s="9"/>
      <c r="BN393" s="9"/>
      <c r="BO393" s="9"/>
      <c r="BP393" s="9"/>
      <c r="BQ393" s="9"/>
      <c r="BR393" s="9"/>
      <c r="BS393" s="9"/>
      <c r="BT393" s="9"/>
      <c r="BU393" s="9"/>
      <c r="BV393" s="9"/>
      <c r="BW393" s="9"/>
      <c r="BX393" s="9"/>
      <c r="BY393" s="9"/>
      <c r="BZ393" s="9"/>
      <c r="CA393" s="9"/>
      <c r="CB393" s="8" t="s">
        <v>4228</v>
      </c>
      <c r="CC393" s="9"/>
      <c r="CD393" s="9"/>
      <c r="CE393" s="8" t="s">
        <v>366</v>
      </c>
      <c r="CF393" s="8" t="s">
        <v>4229</v>
      </c>
      <c r="CG393" s="9"/>
      <c r="CH393" s="9"/>
      <c r="CI393" s="9"/>
      <c r="CJ393" s="9"/>
      <c r="CK393" s="9"/>
      <c r="CL393" s="9"/>
      <c r="CM393" s="9"/>
      <c r="CN393" s="9"/>
      <c r="CO393" s="9"/>
      <c r="CP393" s="9"/>
    </row>
    <row r="394">
      <c r="A394" s="7" t="s">
        <v>4230</v>
      </c>
      <c r="B394" s="8" t="s">
        <v>4231</v>
      </c>
      <c r="C394" s="8" t="s">
        <v>4232</v>
      </c>
      <c r="D394" s="8" t="s">
        <v>94</v>
      </c>
      <c r="E394" s="8" t="s">
        <v>95</v>
      </c>
      <c r="F394" s="9"/>
      <c r="G394" s="8" t="s">
        <v>4233</v>
      </c>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t="str">
        <f t="shared" si="35"/>
        <v/>
      </c>
      <c r="AK394" s="8"/>
      <c r="AL394" s="8"/>
      <c r="AM394" s="8" t="s">
        <v>1477</v>
      </c>
      <c r="AN394" s="8" t="s">
        <v>4234</v>
      </c>
      <c r="AO394" s="9"/>
      <c r="AP394" s="9"/>
      <c r="AQ394" s="9"/>
      <c r="AR394" s="8" t="s">
        <v>1479</v>
      </c>
      <c r="AS394" s="8" t="s">
        <v>1480</v>
      </c>
      <c r="AT394" s="9"/>
      <c r="AU394" s="8" t="s">
        <v>4235</v>
      </c>
      <c r="AV394" s="8" t="s">
        <v>108</v>
      </c>
      <c r="AW394" s="9"/>
      <c r="AX394" s="9"/>
      <c r="AY394" s="8" t="s">
        <v>4092</v>
      </c>
      <c r="AZ394" s="8" t="b">
        <v>0</v>
      </c>
      <c r="BA394" s="8" t="s">
        <v>110</v>
      </c>
      <c r="BB394" s="9"/>
      <c r="BC394" s="9"/>
      <c r="BD394" s="9"/>
      <c r="BE394" s="8" t="s">
        <v>1137</v>
      </c>
      <c r="BF394" s="9"/>
      <c r="BG394" s="9"/>
      <c r="BH394" s="9"/>
      <c r="BI394" s="9"/>
      <c r="BJ394" s="9"/>
      <c r="BK394" s="9"/>
      <c r="BL394" s="9"/>
      <c r="BM394" s="9"/>
      <c r="BN394" s="9"/>
      <c r="BO394" s="9"/>
      <c r="BP394" s="9"/>
      <c r="BQ394" s="9"/>
      <c r="BR394" s="9"/>
      <c r="BS394" s="9"/>
      <c r="BT394" s="9"/>
      <c r="BU394" s="9"/>
      <c r="BV394" s="9"/>
      <c r="BW394" s="9"/>
      <c r="BX394" s="9"/>
      <c r="BY394" s="9"/>
      <c r="BZ394" s="9"/>
      <c r="CA394" s="9"/>
      <c r="CB394" s="8" t="s">
        <v>4236</v>
      </c>
      <c r="CC394" s="9"/>
      <c r="CD394" s="9"/>
      <c r="CE394" s="8" t="s">
        <v>366</v>
      </c>
      <c r="CF394" s="8" t="s">
        <v>4237</v>
      </c>
      <c r="CG394" s="9"/>
      <c r="CH394" s="9"/>
      <c r="CI394" s="9"/>
      <c r="CJ394" s="9"/>
      <c r="CK394" s="9"/>
      <c r="CL394" s="9"/>
      <c r="CM394" s="9"/>
      <c r="CN394" s="9"/>
      <c r="CO394" s="9"/>
      <c r="CP394" s="9"/>
    </row>
    <row r="395">
      <c r="A395" s="7" t="s">
        <v>4238</v>
      </c>
      <c r="B395" s="8" t="s">
        <v>4239</v>
      </c>
      <c r="C395" s="8" t="s">
        <v>4240</v>
      </c>
      <c r="D395" s="8" t="s">
        <v>94</v>
      </c>
      <c r="E395" s="8" t="s">
        <v>95</v>
      </c>
      <c r="F395" s="9"/>
      <c r="G395" s="8" t="s">
        <v>4241</v>
      </c>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t="str">
        <f t="shared" si="35"/>
        <v/>
      </c>
      <c r="AK395" s="8"/>
      <c r="AL395" s="8"/>
      <c r="AM395" s="8" t="s">
        <v>1477</v>
      </c>
      <c r="AN395" s="8" t="s">
        <v>4242</v>
      </c>
      <c r="AO395" s="9"/>
      <c r="AP395" s="9"/>
      <c r="AQ395" s="9"/>
      <c r="AR395" s="8" t="s">
        <v>1479</v>
      </c>
      <c r="AS395" s="8" t="s">
        <v>1480</v>
      </c>
      <c r="AT395" s="9"/>
      <c r="AU395" s="8" t="s">
        <v>4243</v>
      </c>
      <c r="AV395" s="8" t="s">
        <v>108</v>
      </c>
      <c r="AW395" s="9"/>
      <c r="AX395" s="9"/>
      <c r="AY395" s="8" t="s">
        <v>4092</v>
      </c>
      <c r="AZ395" s="8" t="b">
        <v>0</v>
      </c>
      <c r="BA395" s="8" t="s">
        <v>110</v>
      </c>
      <c r="BB395" s="9"/>
      <c r="BC395" s="9"/>
      <c r="BD395" s="9"/>
      <c r="BE395" s="8" t="s">
        <v>2038</v>
      </c>
      <c r="BF395" s="9"/>
      <c r="BG395" s="9"/>
      <c r="BH395" s="9"/>
      <c r="BI395" s="9"/>
      <c r="BJ395" s="9"/>
      <c r="BK395" s="9"/>
      <c r="BL395" s="9"/>
      <c r="BM395" s="9"/>
      <c r="BN395" s="9"/>
      <c r="BO395" s="9"/>
      <c r="BP395" s="9"/>
      <c r="BQ395" s="9"/>
      <c r="BR395" s="9"/>
      <c r="BS395" s="9"/>
      <c r="BT395" s="9"/>
      <c r="BU395" s="9"/>
      <c r="BV395" s="9"/>
      <c r="BW395" s="9"/>
      <c r="BX395" s="9"/>
      <c r="BY395" s="9"/>
      <c r="BZ395" s="9"/>
      <c r="CA395" s="9"/>
      <c r="CB395" s="8" t="s">
        <v>4244</v>
      </c>
      <c r="CC395" s="9"/>
      <c r="CD395" s="9"/>
      <c r="CE395" s="8" t="s">
        <v>197</v>
      </c>
      <c r="CF395" s="8" t="s">
        <v>4245</v>
      </c>
      <c r="CG395" s="9"/>
      <c r="CH395" s="9"/>
      <c r="CI395" s="9"/>
      <c r="CJ395" s="9"/>
      <c r="CK395" s="9"/>
      <c r="CL395" s="9"/>
      <c r="CM395" s="9"/>
      <c r="CN395" s="9"/>
      <c r="CO395" s="9"/>
      <c r="CP395" s="9"/>
    </row>
    <row r="396">
      <c r="A396" s="7" t="s">
        <v>4246</v>
      </c>
      <c r="B396" s="8" t="s">
        <v>4247</v>
      </c>
      <c r="C396" s="8" t="s">
        <v>4248</v>
      </c>
      <c r="D396" s="8" t="s">
        <v>94</v>
      </c>
      <c r="E396" s="8" t="s">
        <v>95</v>
      </c>
      <c r="F396" s="9"/>
      <c r="G396" s="8" t="s">
        <v>4249</v>
      </c>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t="str">
        <f t="shared" si="35"/>
        <v/>
      </c>
      <c r="AK396" s="8"/>
      <c r="AL396" s="8"/>
      <c r="AM396" s="8" t="s">
        <v>1477</v>
      </c>
      <c r="AN396" s="8" t="s">
        <v>4250</v>
      </c>
      <c r="AO396" s="9"/>
      <c r="AP396" s="9"/>
      <c r="AQ396" s="9"/>
      <c r="AR396" s="8" t="s">
        <v>1479</v>
      </c>
      <c r="AS396" s="8" t="s">
        <v>1480</v>
      </c>
      <c r="AT396" s="9"/>
      <c r="AU396" s="8" t="s">
        <v>4251</v>
      </c>
      <c r="AV396" s="8" t="s">
        <v>108</v>
      </c>
      <c r="AW396" s="9"/>
      <c r="AX396" s="9"/>
      <c r="AY396" s="8" t="s">
        <v>4092</v>
      </c>
      <c r="AZ396" s="8" t="b">
        <v>0</v>
      </c>
      <c r="BA396" s="8" t="s">
        <v>110</v>
      </c>
      <c r="BB396" s="9"/>
      <c r="BC396" s="9"/>
      <c r="BD396" s="9"/>
      <c r="BE396" s="8" t="s">
        <v>2619</v>
      </c>
      <c r="BF396" s="9"/>
      <c r="BG396" s="9"/>
      <c r="BH396" s="9"/>
      <c r="BI396" s="9"/>
      <c r="BJ396" s="9"/>
      <c r="BK396" s="9"/>
      <c r="BL396" s="9"/>
      <c r="BM396" s="9"/>
      <c r="BN396" s="9"/>
      <c r="BO396" s="9"/>
      <c r="BP396" s="9"/>
      <c r="BQ396" s="9"/>
      <c r="BR396" s="9"/>
      <c r="BS396" s="9"/>
      <c r="BT396" s="9"/>
      <c r="BU396" s="9"/>
      <c r="BV396" s="9"/>
      <c r="BW396" s="9"/>
      <c r="BX396" s="9"/>
      <c r="BY396" s="9"/>
      <c r="BZ396" s="9"/>
      <c r="CA396" s="9"/>
      <c r="CB396" s="8" t="s">
        <v>4252</v>
      </c>
      <c r="CC396" s="9"/>
      <c r="CD396" s="9"/>
      <c r="CE396" s="8" t="s">
        <v>366</v>
      </c>
      <c r="CF396" s="8" t="s">
        <v>4253</v>
      </c>
      <c r="CG396" s="9"/>
      <c r="CH396" s="9"/>
      <c r="CI396" s="9"/>
      <c r="CJ396" s="9"/>
      <c r="CK396" s="9"/>
      <c r="CL396" s="9"/>
      <c r="CM396" s="9"/>
      <c r="CN396" s="9"/>
      <c r="CO396" s="9"/>
      <c r="CP396" s="9"/>
    </row>
    <row r="397">
      <c r="A397" s="7" t="s">
        <v>4254</v>
      </c>
      <c r="B397" s="8" t="s">
        <v>4255</v>
      </c>
      <c r="C397" s="8" t="s">
        <v>4256</v>
      </c>
      <c r="D397" s="8" t="s">
        <v>94</v>
      </c>
      <c r="E397" s="8" t="s">
        <v>95</v>
      </c>
      <c r="F397" s="9"/>
      <c r="G397" s="8" t="s">
        <v>4257</v>
      </c>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t="str">
        <f t="shared" si="35"/>
        <v/>
      </c>
      <c r="AK397" s="8"/>
      <c r="AL397" s="8"/>
      <c r="AM397" s="8" t="s">
        <v>1477</v>
      </c>
      <c r="AN397" s="8" t="s">
        <v>4258</v>
      </c>
      <c r="AO397" s="9"/>
      <c r="AP397" s="9"/>
      <c r="AQ397" s="9"/>
      <c r="AR397" s="8" t="s">
        <v>1479</v>
      </c>
      <c r="AS397" s="8" t="s">
        <v>1480</v>
      </c>
      <c r="AT397" s="9"/>
      <c r="AU397" s="8" t="s">
        <v>4259</v>
      </c>
      <c r="AV397" s="8" t="s">
        <v>108</v>
      </c>
      <c r="AW397" s="9"/>
      <c r="AX397" s="9"/>
      <c r="AY397" s="8" t="s">
        <v>4092</v>
      </c>
      <c r="AZ397" s="8" t="b">
        <v>0</v>
      </c>
      <c r="BA397" s="8" t="s">
        <v>110</v>
      </c>
      <c r="BB397" s="9"/>
      <c r="BC397" s="9"/>
      <c r="BD397" s="9"/>
      <c r="BE397" s="8" t="s">
        <v>4260</v>
      </c>
      <c r="BF397" s="9"/>
      <c r="BG397" s="9"/>
      <c r="BH397" s="9"/>
      <c r="BI397" s="9"/>
      <c r="BJ397" s="9"/>
      <c r="BK397" s="9"/>
      <c r="BL397" s="9"/>
      <c r="BM397" s="9"/>
      <c r="BN397" s="9"/>
      <c r="BO397" s="9"/>
      <c r="BP397" s="9"/>
      <c r="BQ397" s="9"/>
      <c r="BR397" s="9"/>
      <c r="BS397" s="9"/>
      <c r="BT397" s="9"/>
      <c r="BU397" s="9"/>
      <c r="BV397" s="9"/>
      <c r="BW397" s="9"/>
      <c r="BX397" s="9"/>
      <c r="BY397" s="9"/>
      <c r="BZ397" s="9"/>
      <c r="CA397" s="9"/>
      <c r="CB397" s="8" t="s">
        <v>3158</v>
      </c>
      <c r="CC397" s="9"/>
      <c r="CD397" s="9"/>
      <c r="CE397" s="8" t="s">
        <v>366</v>
      </c>
      <c r="CF397" s="8" t="s">
        <v>4261</v>
      </c>
      <c r="CG397" s="9"/>
      <c r="CH397" s="9"/>
      <c r="CI397" s="9"/>
      <c r="CJ397" s="9"/>
      <c r="CK397" s="9"/>
      <c r="CL397" s="9"/>
      <c r="CM397" s="9"/>
      <c r="CN397" s="9"/>
      <c r="CO397" s="9"/>
      <c r="CP397" s="9"/>
    </row>
    <row r="398">
      <c r="A398" s="7" t="s">
        <v>4262</v>
      </c>
      <c r="B398" s="8" t="s">
        <v>4263</v>
      </c>
      <c r="C398" s="8" t="s">
        <v>4264</v>
      </c>
      <c r="D398" s="8" t="s">
        <v>94</v>
      </c>
      <c r="E398" s="8" t="s">
        <v>95</v>
      </c>
      <c r="F398" s="9"/>
      <c r="G398" s="8" t="s">
        <v>4265</v>
      </c>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t="str">
        <f t="shared" si="35"/>
        <v/>
      </c>
      <c r="AK398" s="8"/>
      <c r="AL398" s="8"/>
      <c r="AM398" s="8" t="s">
        <v>1477</v>
      </c>
      <c r="AN398" s="8" t="s">
        <v>4266</v>
      </c>
      <c r="AO398" s="9"/>
      <c r="AP398" s="9"/>
      <c r="AQ398" s="9"/>
      <c r="AR398" s="8" t="s">
        <v>1479</v>
      </c>
      <c r="AS398" s="8" t="s">
        <v>1480</v>
      </c>
      <c r="AT398" s="9"/>
      <c r="AU398" s="8" t="s">
        <v>4267</v>
      </c>
      <c r="AV398" s="8" t="s">
        <v>108</v>
      </c>
      <c r="AW398" s="9"/>
      <c r="AX398" s="9"/>
      <c r="AY398" s="8" t="s">
        <v>4092</v>
      </c>
      <c r="AZ398" s="8" t="b">
        <v>0</v>
      </c>
      <c r="BA398" s="8" t="s">
        <v>110</v>
      </c>
      <c r="BB398" s="9"/>
      <c r="BC398" s="9"/>
      <c r="BD398" s="9"/>
      <c r="BE398" s="8" t="s">
        <v>1882</v>
      </c>
      <c r="BF398" s="9"/>
      <c r="BG398" s="9"/>
      <c r="BH398" s="9"/>
      <c r="BI398" s="9"/>
      <c r="BJ398" s="9"/>
      <c r="BK398" s="9"/>
      <c r="BL398" s="9"/>
      <c r="BM398" s="9"/>
      <c r="BN398" s="9"/>
      <c r="BO398" s="9"/>
      <c r="BP398" s="9"/>
      <c r="BQ398" s="9"/>
      <c r="BR398" s="9"/>
      <c r="BS398" s="9"/>
      <c r="BT398" s="9"/>
      <c r="BU398" s="9"/>
      <c r="BV398" s="9"/>
      <c r="BW398" s="9"/>
      <c r="BX398" s="9"/>
      <c r="BY398" s="9"/>
      <c r="BZ398" s="9"/>
      <c r="CA398" s="9"/>
      <c r="CB398" s="8" t="s">
        <v>4268</v>
      </c>
      <c r="CC398" s="9"/>
      <c r="CD398" s="9"/>
      <c r="CE398" s="8" t="s">
        <v>366</v>
      </c>
      <c r="CF398" s="8" t="s">
        <v>4269</v>
      </c>
      <c r="CG398" s="9"/>
      <c r="CH398" s="9"/>
      <c r="CI398" s="9"/>
      <c r="CJ398" s="9"/>
      <c r="CK398" s="9"/>
      <c r="CL398" s="9"/>
      <c r="CM398" s="9"/>
      <c r="CN398" s="9"/>
      <c r="CO398" s="9"/>
      <c r="CP398" s="9"/>
    </row>
    <row r="399">
      <c r="A399" s="7" t="s">
        <v>4270</v>
      </c>
      <c r="B399" s="8" t="s">
        <v>4271</v>
      </c>
      <c r="C399" s="8" t="s">
        <v>4272</v>
      </c>
      <c r="D399" s="8" t="s">
        <v>94</v>
      </c>
      <c r="E399" s="8" t="s">
        <v>95</v>
      </c>
      <c r="F399" s="9"/>
      <c r="G399" s="8" t="s">
        <v>4273</v>
      </c>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t="str">
        <f t="shared" si="35"/>
        <v/>
      </c>
      <c r="AK399" s="8"/>
      <c r="AL399" s="8"/>
      <c r="AM399" s="8" t="s">
        <v>1477</v>
      </c>
      <c r="AN399" s="8" t="s">
        <v>4274</v>
      </c>
      <c r="AO399" s="9"/>
      <c r="AP399" s="9"/>
      <c r="AQ399" s="9"/>
      <c r="AR399" s="8" t="s">
        <v>1479</v>
      </c>
      <c r="AS399" s="8" t="s">
        <v>1480</v>
      </c>
      <c r="AT399" s="9"/>
      <c r="AU399" s="8" t="s">
        <v>4275</v>
      </c>
      <c r="AV399" s="8" t="s">
        <v>108</v>
      </c>
      <c r="AW399" s="9"/>
      <c r="AX399" s="9"/>
      <c r="AY399" s="8" t="s">
        <v>4092</v>
      </c>
      <c r="AZ399" s="8" t="b">
        <v>0</v>
      </c>
      <c r="BA399" s="8" t="s">
        <v>110</v>
      </c>
      <c r="BB399" s="9"/>
      <c r="BC399" s="9"/>
      <c r="BD399" s="9"/>
      <c r="BE399" s="8" t="s">
        <v>4276</v>
      </c>
      <c r="BF399" s="9"/>
      <c r="BG399" s="9"/>
      <c r="BH399" s="9"/>
      <c r="BI399" s="9"/>
      <c r="BJ399" s="9"/>
      <c r="BK399" s="9"/>
      <c r="BL399" s="9"/>
      <c r="BM399" s="9"/>
      <c r="BN399" s="9"/>
      <c r="BO399" s="9"/>
      <c r="BP399" s="9"/>
      <c r="BQ399" s="9"/>
      <c r="BR399" s="9"/>
      <c r="BS399" s="9"/>
      <c r="BT399" s="9"/>
      <c r="BU399" s="9"/>
      <c r="BV399" s="9"/>
      <c r="BW399" s="9"/>
      <c r="BX399" s="9"/>
      <c r="BY399" s="9"/>
      <c r="BZ399" s="9"/>
      <c r="CA399" s="9"/>
      <c r="CB399" s="8" t="s">
        <v>4277</v>
      </c>
      <c r="CC399" s="9"/>
      <c r="CD399" s="9"/>
      <c r="CE399" s="8" t="s">
        <v>366</v>
      </c>
      <c r="CF399" s="8" t="s">
        <v>4278</v>
      </c>
      <c r="CG399" s="9"/>
      <c r="CH399" s="9"/>
      <c r="CI399" s="9"/>
      <c r="CJ399" s="9"/>
      <c r="CK399" s="9"/>
      <c r="CL399" s="9"/>
      <c r="CM399" s="9"/>
      <c r="CN399" s="9"/>
      <c r="CO399" s="9"/>
      <c r="CP399" s="9"/>
    </row>
    <row r="400">
      <c r="A400" s="7" t="s">
        <v>4279</v>
      </c>
      <c r="B400" s="8" t="s">
        <v>4280</v>
      </c>
      <c r="C400" s="8" t="s">
        <v>4281</v>
      </c>
      <c r="D400" s="8" t="s">
        <v>94</v>
      </c>
      <c r="E400" s="8" t="s">
        <v>95</v>
      </c>
      <c r="F400" s="9"/>
      <c r="G400" s="8" t="s">
        <v>4282</v>
      </c>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t="str">
        <f t="shared" si="35"/>
        <v/>
      </c>
      <c r="AK400" s="8"/>
      <c r="AL400" s="8"/>
      <c r="AM400" s="8" t="s">
        <v>1477</v>
      </c>
      <c r="AN400" s="8" t="s">
        <v>4283</v>
      </c>
      <c r="AO400" s="9"/>
      <c r="AP400" s="9"/>
      <c r="AQ400" s="9"/>
      <c r="AR400" s="8" t="s">
        <v>1479</v>
      </c>
      <c r="AS400" s="8" t="s">
        <v>1480</v>
      </c>
      <c r="AT400" s="9"/>
      <c r="AU400" s="8" t="s">
        <v>4284</v>
      </c>
      <c r="AV400" s="9"/>
      <c r="AW400" s="9"/>
      <c r="AX400" s="9"/>
      <c r="AY400" s="8" t="s">
        <v>4092</v>
      </c>
      <c r="AZ400" s="8" t="b">
        <v>0</v>
      </c>
      <c r="BA400" s="8" t="s">
        <v>190</v>
      </c>
      <c r="BB400" s="8" t="s">
        <v>191</v>
      </c>
      <c r="BC400" s="9"/>
      <c r="BD400" s="9"/>
      <c r="BE400" s="8" t="s">
        <v>4285</v>
      </c>
      <c r="BF400" s="9"/>
      <c r="BG400" s="9"/>
      <c r="BH400" s="9"/>
      <c r="BI400" s="9"/>
      <c r="BJ400" s="9"/>
      <c r="BK400" s="9"/>
      <c r="BL400" s="9"/>
      <c r="BM400" s="9"/>
      <c r="BN400" s="9"/>
      <c r="BO400" s="9"/>
      <c r="BP400" s="9"/>
      <c r="BQ400" s="9"/>
      <c r="BR400" s="8" t="s">
        <v>193</v>
      </c>
      <c r="BS400" s="8" t="s">
        <v>194</v>
      </c>
      <c r="BT400" s="9"/>
      <c r="BU400" s="9"/>
      <c r="BV400" s="8" t="s">
        <v>4286</v>
      </c>
      <c r="BW400" s="9"/>
      <c r="BX400" s="9"/>
      <c r="BY400" s="9"/>
      <c r="BZ400" s="9"/>
      <c r="CA400" s="9"/>
      <c r="CB400" s="8" t="s">
        <v>4287</v>
      </c>
      <c r="CC400" s="9"/>
      <c r="CD400" s="9"/>
      <c r="CE400" s="8" t="s">
        <v>311</v>
      </c>
      <c r="CF400" s="8" t="s">
        <v>4288</v>
      </c>
      <c r="CG400" s="9"/>
      <c r="CH400" s="9"/>
      <c r="CI400" s="9"/>
      <c r="CJ400" s="9"/>
      <c r="CK400" s="9"/>
      <c r="CL400" s="9"/>
      <c r="CM400" s="9"/>
      <c r="CN400" s="9"/>
      <c r="CO400" s="9"/>
      <c r="CP400" s="9"/>
    </row>
    <row r="401">
      <c r="A401" s="7" t="s">
        <v>4289</v>
      </c>
      <c r="B401" s="8" t="s">
        <v>4290</v>
      </c>
      <c r="C401" s="8" t="s">
        <v>4291</v>
      </c>
      <c r="D401" s="8" t="s">
        <v>94</v>
      </c>
      <c r="E401" s="8" t="s">
        <v>95</v>
      </c>
      <c r="F401" s="9"/>
      <c r="G401" s="8" t="s">
        <v>4292</v>
      </c>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t="str">
        <f t="shared" si="35"/>
        <v/>
      </c>
      <c r="AK401" s="8"/>
      <c r="AL401" s="8"/>
      <c r="AM401" s="8" t="s">
        <v>1477</v>
      </c>
      <c r="AN401" s="8" t="s">
        <v>4293</v>
      </c>
      <c r="AO401" s="9"/>
      <c r="AP401" s="9"/>
      <c r="AQ401" s="9"/>
      <c r="AR401" s="8" t="s">
        <v>1479</v>
      </c>
      <c r="AS401" s="8" t="s">
        <v>1480</v>
      </c>
      <c r="AT401" s="9"/>
      <c r="AU401" s="8" t="s">
        <v>4294</v>
      </c>
      <c r="AV401" s="8" t="s">
        <v>108</v>
      </c>
      <c r="AW401" s="9"/>
      <c r="AX401" s="9"/>
      <c r="AY401" s="8" t="s">
        <v>4092</v>
      </c>
      <c r="AZ401" s="8" t="b">
        <v>0</v>
      </c>
      <c r="BA401" s="8" t="s">
        <v>110</v>
      </c>
      <c r="BB401" s="9"/>
      <c r="BC401" s="9"/>
      <c r="BD401" s="9"/>
      <c r="BE401" s="8" t="s">
        <v>2038</v>
      </c>
      <c r="BF401" s="9"/>
      <c r="BG401" s="9"/>
      <c r="BH401" s="9"/>
      <c r="BI401" s="9"/>
      <c r="BJ401" s="9"/>
      <c r="BK401" s="9"/>
      <c r="BL401" s="9"/>
      <c r="BM401" s="9"/>
      <c r="BN401" s="9"/>
      <c r="BO401" s="9"/>
      <c r="BP401" s="9"/>
      <c r="BQ401" s="9"/>
      <c r="BR401" s="9"/>
      <c r="BS401" s="9"/>
      <c r="BT401" s="9"/>
      <c r="BU401" s="9"/>
      <c r="BV401" s="9"/>
      <c r="BW401" s="9"/>
      <c r="BX401" s="9"/>
      <c r="BY401" s="9"/>
      <c r="BZ401" s="9"/>
      <c r="CA401" s="9"/>
      <c r="CB401" s="8" t="s">
        <v>3602</v>
      </c>
      <c r="CC401" s="9"/>
      <c r="CD401" s="9"/>
      <c r="CE401" s="8" t="s">
        <v>197</v>
      </c>
      <c r="CF401" s="8" t="s">
        <v>4295</v>
      </c>
      <c r="CG401" s="9"/>
      <c r="CH401" s="9"/>
      <c r="CI401" s="9"/>
      <c r="CJ401" s="9"/>
      <c r="CK401" s="9"/>
      <c r="CL401" s="9"/>
      <c r="CM401" s="9"/>
      <c r="CN401" s="9"/>
      <c r="CO401" s="9"/>
      <c r="CP401" s="9"/>
    </row>
    <row r="402">
      <c r="A402" s="7" t="s">
        <v>4296</v>
      </c>
      <c r="B402" s="8" t="s">
        <v>4297</v>
      </c>
      <c r="C402" s="8" t="s">
        <v>4297</v>
      </c>
      <c r="D402" s="8" t="s">
        <v>354</v>
      </c>
      <c r="E402" s="8" t="s">
        <v>355</v>
      </c>
      <c r="F402" s="9"/>
      <c r="G402" s="8" t="s">
        <v>4298</v>
      </c>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t="str">
        <f t="shared" si="35"/>
        <v/>
      </c>
      <c r="AK402" s="8"/>
      <c r="AL402" s="8"/>
      <c r="AM402" s="8" t="s">
        <v>3488</v>
      </c>
      <c r="AN402" s="9"/>
      <c r="AO402" s="9"/>
      <c r="AP402" s="9"/>
      <c r="AQ402" s="9"/>
      <c r="AR402" s="9"/>
      <c r="AS402" s="9"/>
      <c r="AT402" s="9"/>
      <c r="AU402" s="8" t="s">
        <v>4299</v>
      </c>
      <c r="AV402" s="9"/>
      <c r="AW402" s="8" t="s">
        <v>4300</v>
      </c>
      <c r="AX402" s="8" t="s">
        <v>197</v>
      </c>
      <c r="AY402" s="8" t="s">
        <v>4092</v>
      </c>
      <c r="AZ402" s="8" t="b">
        <v>0</v>
      </c>
      <c r="BA402" s="8" t="s">
        <v>190</v>
      </c>
      <c r="BB402" s="8" t="s">
        <v>3491</v>
      </c>
      <c r="BC402" s="9"/>
      <c r="BD402" s="9"/>
      <c r="BE402" s="8" t="s">
        <v>2038</v>
      </c>
      <c r="BF402" s="9"/>
      <c r="BG402" s="9"/>
      <c r="BH402" s="9"/>
      <c r="BI402" s="8" t="s">
        <v>4301</v>
      </c>
      <c r="BJ402" s="8" t="s">
        <v>4302</v>
      </c>
      <c r="BK402" s="8" t="s">
        <v>330</v>
      </c>
      <c r="BL402" s="9"/>
      <c r="BM402" s="9"/>
      <c r="BN402" s="9"/>
      <c r="BO402" s="9"/>
      <c r="BP402" s="9"/>
      <c r="BQ402" s="9"/>
      <c r="BR402" s="8" t="s">
        <v>193</v>
      </c>
      <c r="BS402" s="8" t="s">
        <v>194</v>
      </c>
      <c r="BT402" s="8" t="s">
        <v>4303</v>
      </c>
      <c r="BU402" s="9"/>
      <c r="BV402" s="9"/>
      <c r="BW402" s="9"/>
      <c r="BX402" s="9"/>
      <c r="BY402" s="9"/>
      <c r="BZ402" s="9"/>
      <c r="CA402" s="9"/>
      <c r="CB402" s="8" t="s">
        <v>4304</v>
      </c>
      <c r="CC402" s="9"/>
      <c r="CD402" s="9"/>
      <c r="CE402" s="8" t="s">
        <v>366</v>
      </c>
      <c r="CF402" s="8" t="s">
        <v>4305</v>
      </c>
      <c r="CG402" s="9"/>
      <c r="CH402" s="9"/>
      <c r="CI402" s="9"/>
      <c r="CJ402" s="9"/>
      <c r="CK402" s="9"/>
      <c r="CL402" s="9"/>
      <c r="CM402" s="9"/>
      <c r="CN402" s="9"/>
      <c r="CO402" s="9"/>
      <c r="CP402" s="9"/>
    </row>
    <row r="403">
      <c r="A403" s="7" t="s">
        <v>4306</v>
      </c>
      <c r="B403" s="8" t="s">
        <v>4307</v>
      </c>
      <c r="C403" s="8" t="s">
        <v>4308</v>
      </c>
      <c r="D403" s="8" t="s">
        <v>94</v>
      </c>
      <c r="E403" s="8" t="s">
        <v>95</v>
      </c>
      <c r="F403" s="9"/>
      <c r="G403" s="8" t="s">
        <v>4309</v>
      </c>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t="str">
        <f t="shared" si="35"/>
        <v/>
      </c>
      <c r="AK403" s="8"/>
      <c r="AL403" s="8"/>
      <c r="AM403" s="8" t="s">
        <v>3500</v>
      </c>
      <c r="AN403" s="8" t="s">
        <v>4310</v>
      </c>
      <c r="AO403" s="9"/>
      <c r="AP403" s="9"/>
      <c r="AQ403" s="9"/>
      <c r="AR403" s="9"/>
      <c r="AS403" s="9"/>
      <c r="AT403" s="9"/>
      <c r="AU403" s="8" t="s">
        <v>4311</v>
      </c>
      <c r="AV403" s="9"/>
      <c r="AW403" s="9"/>
      <c r="AX403" s="9"/>
      <c r="AY403" s="8" t="s">
        <v>4092</v>
      </c>
      <c r="AZ403" s="8" t="b">
        <v>0</v>
      </c>
      <c r="BA403" s="8" t="s">
        <v>190</v>
      </c>
      <c r="BB403" s="8" t="s">
        <v>191</v>
      </c>
      <c r="BC403" s="8" t="s">
        <v>1767</v>
      </c>
      <c r="BD403" s="9"/>
      <c r="BE403" s="8" t="s">
        <v>4312</v>
      </c>
      <c r="BF403" s="9"/>
      <c r="BG403" s="9"/>
      <c r="BH403" s="9"/>
      <c r="BI403" s="9"/>
      <c r="BJ403" s="9"/>
      <c r="BK403" s="9"/>
      <c r="BL403" s="9"/>
      <c r="BM403" s="9"/>
      <c r="BN403" s="9"/>
      <c r="BO403" s="9"/>
      <c r="BP403" s="9"/>
      <c r="BQ403" s="9"/>
      <c r="BR403" s="8" t="s">
        <v>193</v>
      </c>
      <c r="BS403" s="8" t="s">
        <v>194</v>
      </c>
      <c r="BT403" s="9"/>
      <c r="BU403" s="9"/>
      <c r="BV403" s="8" t="s">
        <v>4313</v>
      </c>
      <c r="BW403" s="9"/>
      <c r="BX403" s="9"/>
      <c r="BY403" s="9"/>
      <c r="BZ403" s="9"/>
      <c r="CA403" s="9"/>
      <c r="CB403" s="9"/>
      <c r="CC403" s="9"/>
      <c r="CD403" s="9"/>
      <c r="CE403" s="8" t="s">
        <v>115</v>
      </c>
      <c r="CF403" s="8" t="s">
        <v>4314</v>
      </c>
      <c r="CG403" s="9"/>
      <c r="CH403" s="9"/>
      <c r="CI403" s="9"/>
      <c r="CJ403" s="9"/>
      <c r="CK403" s="9"/>
      <c r="CL403" s="9"/>
      <c r="CM403" s="9"/>
      <c r="CN403" s="9"/>
      <c r="CO403" s="9"/>
      <c r="CP403" s="9"/>
    </row>
    <row r="404">
      <c r="A404" s="7" t="s">
        <v>4315</v>
      </c>
      <c r="B404" s="8" t="s">
        <v>4316</v>
      </c>
      <c r="C404" s="8" t="s">
        <v>4317</v>
      </c>
      <c r="D404" s="8" t="s">
        <v>94</v>
      </c>
      <c r="E404" s="8" t="s">
        <v>95</v>
      </c>
      <c r="F404" s="9"/>
      <c r="G404" s="8" t="s">
        <v>4318</v>
      </c>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t="str">
        <f t="shared" si="35"/>
        <v/>
      </c>
      <c r="AK404" s="8"/>
      <c r="AL404" s="8"/>
      <c r="AM404" s="8" t="s">
        <v>3500</v>
      </c>
      <c r="AN404" s="8" t="s">
        <v>4319</v>
      </c>
      <c r="AO404" s="9"/>
      <c r="AP404" s="9"/>
      <c r="AQ404" s="9"/>
      <c r="AR404" s="9"/>
      <c r="AS404" s="9"/>
      <c r="AT404" s="9"/>
      <c r="AU404" s="8" t="s">
        <v>4320</v>
      </c>
      <c r="AV404" s="9"/>
      <c r="AW404" s="9"/>
      <c r="AX404" s="9"/>
      <c r="AY404" s="8" t="s">
        <v>4092</v>
      </c>
      <c r="AZ404" s="8" t="b">
        <v>0</v>
      </c>
      <c r="BA404" s="8" t="s">
        <v>190</v>
      </c>
      <c r="BB404" s="8" t="s">
        <v>191</v>
      </c>
      <c r="BC404" s="8" t="s">
        <v>1767</v>
      </c>
      <c r="BD404" s="9"/>
      <c r="BE404" s="8" t="s">
        <v>4321</v>
      </c>
      <c r="BF404" s="9"/>
      <c r="BG404" s="9"/>
      <c r="BH404" s="9"/>
      <c r="BI404" s="8" t="s">
        <v>1296</v>
      </c>
      <c r="BJ404" s="8" t="s">
        <v>4322</v>
      </c>
      <c r="BK404" s="9"/>
      <c r="BL404" s="9"/>
      <c r="BM404" s="8" t="s">
        <v>4323</v>
      </c>
      <c r="BN404" s="8" t="s">
        <v>4324</v>
      </c>
      <c r="BO404" s="9"/>
      <c r="BP404" s="9"/>
      <c r="BQ404" s="9"/>
      <c r="BR404" s="8" t="s">
        <v>193</v>
      </c>
      <c r="BS404" s="8" t="s">
        <v>194</v>
      </c>
      <c r="BT404" s="9"/>
      <c r="BU404" s="9"/>
      <c r="BV404" s="9"/>
      <c r="BW404" s="9"/>
      <c r="BX404" s="9"/>
      <c r="BY404" s="9"/>
      <c r="BZ404" s="9"/>
      <c r="CA404" s="9"/>
      <c r="CB404" s="9"/>
      <c r="CC404" s="9"/>
      <c r="CD404" s="9"/>
      <c r="CE404" s="8" t="s">
        <v>115</v>
      </c>
      <c r="CF404" s="8" t="s">
        <v>4325</v>
      </c>
      <c r="CG404" s="9"/>
      <c r="CH404" s="9"/>
      <c r="CI404" s="9"/>
      <c r="CJ404" s="9"/>
      <c r="CK404" s="9"/>
      <c r="CL404" s="9"/>
      <c r="CM404" s="9"/>
      <c r="CN404" s="9"/>
      <c r="CO404" s="9"/>
      <c r="CP404" s="9"/>
    </row>
    <row r="405">
      <c r="A405" s="7" t="s">
        <v>4326</v>
      </c>
      <c r="B405" s="8" t="s">
        <v>4327</v>
      </c>
      <c r="C405" s="8" t="s">
        <v>4328</v>
      </c>
      <c r="D405" s="8" t="s">
        <v>94</v>
      </c>
      <c r="E405" s="8" t="s">
        <v>95</v>
      </c>
      <c r="F405" s="9"/>
      <c r="G405" s="8" t="s">
        <v>4329</v>
      </c>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t="str">
        <f t="shared" si="35"/>
        <v/>
      </c>
      <c r="AK405" s="8"/>
      <c r="AL405" s="8"/>
      <c r="AM405" s="8" t="s">
        <v>3500</v>
      </c>
      <c r="AN405" s="8" t="s">
        <v>4330</v>
      </c>
      <c r="AO405" s="9"/>
      <c r="AP405" s="9"/>
      <c r="AQ405" s="9"/>
      <c r="AR405" s="9"/>
      <c r="AS405" s="9"/>
      <c r="AT405" s="9"/>
      <c r="AU405" s="8" t="s">
        <v>4331</v>
      </c>
      <c r="AV405" s="9"/>
      <c r="AW405" s="9"/>
      <c r="AX405" s="9"/>
      <c r="AY405" s="8" t="s">
        <v>4092</v>
      </c>
      <c r="AZ405" s="8" t="b">
        <v>0</v>
      </c>
      <c r="BA405" s="8" t="s">
        <v>190</v>
      </c>
      <c r="BB405" s="8" t="s">
        <v>191</v>
      </c>
      <c r="BC405" s="8" t="s">
        <v>1767</v>
      </c>
      <c r="BD405" s="9"/>
      <c r="BE405" s="8" t="s">
        <v>4332</v>
      </c>
      <c r="BF405" s="9"/>
      <c r="BG405" s="9"/>
      <c r="BH405" s="9"/>
      <c r="BI405" s="9"/>
      <c r="BJ405" s="9"/>
      <c r="BK405" s="9"/>
      <c r="BL405" s="9"/>
      <c r="BM405" s="8" t="s">
        <v>4323</v>
      </c>
      <c r="BN405" s="8" t="s">
        <v>4324</v>
      </c>
      <c r="BO405" s="9"/>
      <c r="BP405" s="9"/>
      <c r="BQ405" s="9"/>
      <c r="BR405" s="8" t="s">
        <v>193</v>
      </c>
      <c r="BS405" s="8" t="s">
        <v>194</v>
      </c>
      <c r="BT405" s="9"/>
      <c r="BU405" s="9"/>
      <c r="BV405" s="9"/>
      <c r="BW405" s="9"/>
      <c r="BX405" s="9"/>
      <c r="BY405" s="9"/>
      <c r="BZ405" s="9"/>
      <c r="CA405" s="9"/>
      <c r="CB405" s="9"/>
      <c r="CC405" s="9"/>
      <c r="CD405" s="9"/>
      <c r="CE405" s="8" t="s">
        <v>115</v>
      </c>
      <c r="CF405" s="8" t="s">
        <v>4333</v>
      </c>
      <c r="CG405" s="9"/>
      <c r="CH405" s="9"/>
      <c r="CI405" s="9"/>
      <c r="CJ405" s="9"/>
      <c r="CK405" s="9"/>
      <c r="CL405" s="9"/>
      <c r="CM405" s="9"/>
      <c r="CN405" s="9"/>
      <c r="CO405" s="9"/>
      <c r="CP405" s="9"/>
    </row>
    <row r="406">
      <c r="A406" s="7" t="s">
        <v>4334</v>
      </c>
      <c r="B406" s="8" t="s">
        <v>4335</v>
      </c>
      <c r="C406" s="8" t="s">
        <v>4336</v>
      </c>
      <c r="D406" s="8" t="s">
        <v>94</v>
      </c>
      <c r="E406" s="8" t="s">
        <v>95</v>
      </c>
      <c r="F406" s="9"/>
      <c r="G406" s="8" t="s">
        <v>4337</v>
      </c>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t="str">
        <f t="shared" si="35"/>
        <v/>
      </c>
      <c r="AK406" s="8"/>
      <c r="AL406" s="8"/>
      <c r="AM406" s="8" t="s">
        <v>3500</v>
      </c>
      <c r="AN406" s="8" t="s">
        <v>4338</v>
      </c>
      <c r="AO406" s="9"/>
      <c r="AP406" s="9"/>
      <c r="AQ406" s="9"/>
      <c r="AR406" s="9"/>
      <c r="AS406" s="9"/>
      <c r="AT406" s="9"/>
      <c r="AU406" s="8" t="s">
        <v>4339</v>
      </c>
      <c r="AV406" s="9"/>
      <c r="AW406" s="9"/>
      <c r="AX406" s="9"/>
      <c r="AY406" s="8" t="s">
        <v>4092</v>
      </c>
      <c r="AZ406" s="8" t="b">
        <v>0</v>
      </c>
      <c r="BA406" s="8" t="s">
        <v>190</v>
      </c>
      <c r="BB406" s="8" t="s">
        <v>191</v>
      </c>
      <c r="BC406" s="8" t="s">
        <v>1767</v>
      </c>
      <c r="BD406" s="9"/>
      <c r="BE406" s="8" t="s">
        <v>4340</v>
      </c>
      <c r="BF406" s="9"/>
      <c r="BG406" s="9"/>
      <c r="BH406" s="9"/>
      <c r="BI406" s="9"/>
      <c r="BJ406" s="9"/>
      <c r="BK406" s="9"/>
      <c r="BL406" s="9"/>
      <c r="BM406" s="8" t="s">
        <v>4341</v>
      </c>
      <c r="BN406" s="8" t="s">
        <v>4342</v>
      </c>
      <c r="BO406" s="9"/>
      <c r="BP406" s="9"/>
      <c r="BQ406" s="9"/>
      <c r="BR406" s="8" t="s">
        <v>193</v>
      </c>
      <c r="BS406" s="8" t="s">
        <v>194</v>
      </c>
      <c r="BT406" s="9"/>
      <c r="BU406" s="9"/>
      <c r="BV406" s="9"/>
      <c r="BW406" s="9"/>
      <c r="BX406" s="9"/>
      <c r="BY406" s="9"/>
      <c r="BZ406" s="9"/>
      <c r="CA406" s="9"/>
      <c r="CB406" s="9"/>
      <c r="CC406" s="9"/>
      <c r="CD406" s="9"/>
      <c r="CE406" s="8" t="s">
        <v>115</v>
      </c>
      <c r="CF406" s="8" t="s">
        <v>4343</v>
      </c>
      <c r="CG406" s="9"/>
      <c r="CH406" s="9"/>
      <c r="CI406" s="9"/>
      <c r="CJ406" s="9"/>
      <c r="CK406" s="9"/>
      <c r="CL406" s="9"/>
      <c r="CM406" s="9"/>
      <c r="CN406" s="9"/>
      <c r="CO406" s="9"/>
      <c r="CP406" s="9"/>
    </row>
    <row r="407">
      <c r="A407" s="7" t="s">
        <v>4344</v>
      </c>
      <c r="B407" s="8" t="s">
        <v>4345</v>
      </c>
      <c r="C407" s="8" t="s">
        <v>4346</v>
      </c>
      <c r="D407" s="8" t="s">
        <v>94</v>
      </c>
      <c r="E407" s="8" t="s">
        <v>95</v>
      </c>
      <c r="F407" s="9"/>
      <c r="G407" s="8" t="s">
        <v>4347</v>
      </c>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t="str">
        <f t="shared" si="35"/>
        <v/>
      </c>
      <c r="AK407" s="8"/>
      <c r="AL407" s="8"/>
      <c r="AM407" s="8" t="s">
        <v>105</v>
      </c>
      <c r="AN407" s="8" t="s">
        <v>4348</v>
      </c>
      <c r="AO407" s="9"/>
      <c r="AP407" s="8" t="s">
        <v>713</v>
      </c>
      <c r="AQ407" s="9"/>
      <c r="AR407" s="9"/>
      <c r="AS407" s="9"/>
      <c r="AT407" s="9"/>
      <c r="AU407" s="8" t="s">
        <v>4349</v>
      </c>
      <c r="AV407" s="8" t="s">
        <v>108</v>
      </c>
      <c r="AW407" s="9"/>
      <c r="AX407" s="9"/>
      <c r="AY407" s="8" t="s">
        <v>4350</v>
      </c>
      <c r="AZ407" s="8" t="b">
        <v>0</v>
      </c>
      <c r="BA407" s="8" t="s">
        <v>110</v>
      </c>
      <c r="BB407" s="8" t="s">
        <v>277</v>
      </c>
      <c r="BC407" s="9"/>
      <c r="BD407" s="9"/>
      <c r="BE407" s="8" t="s">
        <v>4351</v>
      </c>
      <c r="BF407" s="9"/>
      <c r="BG407" s="9"/>
      <c r="BH407" s="9"/>
      <c r="BI407" s="9"/>
      <c r="BJ407" s="9"/>
      <c r="BK407" s="9"/>
      <c r="BL407" s="9"/>
      <c r="BM407" s="9"/>
      <c r="BN407" s="9"/>
      <c r="BO407" s="9"/>
      <c r="BP407" s="9"/>
      <c r="BQ407" s="9"/>
      <c r="BR407" s="9"/>
      <c r="BS407" s="9"/>
      <c r="BT407" s="9"/>
      <c r="BU407" s="9"/>
      <c r="BV407" s="9"/>
      <c r="BW407" s="9"/>
      <c r="BX407" s="9"/>
      <c r="BY407" s="9"/>
      <c r="BZ407" s="9"/>
      <c r="CA407" s="9"/>
      <c r="CB407" s="8" t="s">
        <v>4352</v>
      </c>
      <c r="CC407" s="9"/>
      <c r="CD407" s="9"/>
      <c r="CE407" s="8" t="s">
        <v>197</v>
      </c>
      <c r="CF407" s="8" t="s">
        <v>4353</v>
      </c>
      <c r="CG407" s="9"/>
      <c r="CH407" s="9"/>
      <c r="CI407" s="9"/>
      <c r="CJ407" s="9"/>
      <c r="CK407" s="9"/>
      <c r="CL407" s="9"/>
      <c r="CM407" s="9"/>
      <c r="CN407" s="9"/>
      <c r="CO407" s="9"/>
      <c r="CP407" s="9"/>
    </row>
    <row r="408">
      <c r="A408" s="7" t="s">
        <v>4354</v>
      </c>
      <c r="B408" s="8" t="s">
        <v>4355</v>
      </c>
      <c r="C408" s="8" t="s">
        <v>4356</v>
      </c>
      <c r="D408" s="8" t="s">
        <v>94</v>
      </c>
      <c r="E408" s="8" t="s">
        <v>95</v>
      </c>
      <c r="F408" s="9"/>
      <c r="G408" s="8" t="s">
        <v>4357</v>
      </c>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t="str">
        <f t="shared" si="35"/>
        <v/>
      </c>
      <c r="AK408" s="8"/>
      <c r="AL408" s="8"/>
      <c r="AM408" s="8" t="s">
        <v>105</v>
      </c>
      <c r="AN408" s="8" t="s">
        <v>4358</v>
      </c>
      <c r="AO408" s="9"/>
      <c r="AP408" s="9"/>
      <c r="AQ408" s="9"/>
      <c r="AR408" s="9"/>
      <c r="AS408" s="9"/>
      <c r="AT408" s="9"/>
      <c r="AU408" s="8" t="s">
        <v>4359</v>
      </c>
      <c r="AV408" s="9"/>
      <c r="AW408" s="9"/>
      <c r="AX408" s="9"/>
      <c r="AY408" s="8" t="s">
        <v>4350</v>
      </c>
      <c r="AZ408" s="8" t="b">
        <v>0</v>
      </c>
      <c r="BA408" s="8" t="s">
        <v>190</v>
      </c>
      <c r="BB408" s="8" t="s">
        <v>191</v>
      </c>
      <c r="BC408" s="8" t="s">
        <v>4360</v>
      </c>
      <c r="BD408" s="8" t="s">
        <v>3763</v>
      </c>
      <c r="BE408" s="8" t="s">
        <v>4361</v>
      </c>
      <c r="BF408" s="9"/>
      <c r="BG408" s="9"/>
      <c r="BH408" s="9"/>
      <c r="BI408" s="9"/>
      <c r="BJ408" s="9"/>
      <c r="BK408" s="8" t="s">
        <v>4362</v>
      </c>
      <c r="BL408" s="9"/>
      <c r="BM408" s="9"/>
      <c r="BN408" s="9"/>
      <c r="BO408" s="9"/>
      <c r="BP408" s="9"/>
      <c r="BQ408" s="9"/>
      <c r="BR408" s="8" t="s">
        <v>193</v>
      </c>
      <c r="BS408" s="8" t="s">
        <v>4363</v>
      </c>
      <c r="BT408" s="9"/>
      <c r="BU408" s="9"/>
      <c r="BV408" s="8" t="s">
        <v>1568</v>
      </c>
      <c r="BW408" s="9"/>
      <c r="BX408" s="9"/>
      <c r="BY408" s="9"/>
      <c r="BZ408" s="9"/>
      <c r="CA408" s="9"/>
      <c r="CB408" s="8" t="s">
        <v>4364</v>
      </c>
      <c r="CC408" s="9"/>
      <c r="CD408" s="9"/>
      <c r="CE408" s="8" t="s">
        <v>450</v>
      </c>
      <c r="CF408" s="8" t="s">
        <v>4365</v>
      </c>
      <c r="CG408" s="9"/>
      <c r="CH408" s="9"/>
      <c r="CI408" s="9"/>
      <c r="CJ408" s="9"/>
      <c r="CK408" s="9"/>
      <c r="CL408" s="9"/>
      <c r="CM408" s="9"/>
      <c r="CN408" s="9"/>
      <c r="CO408" s="9"/>
      <c r="CP408" s="9"/>
    </row>
    <row r="409">
      <c r="A409" s="7" t="s">
        <v>4366</v>
      </c>
      <c r="B409" s="8" t="s">
        <v>4367</v>
      </c>
      <c r="C409" s="8" t="s">
        <v>4368</v>
      </c>
      <c r="D409" s="8" t="s">
        <v>94</v>
      </c>
      <c r="E409" s="8" t="s">
        <v>95</v>
      </c>
      <c r="F409" s="9"/>
      <c r="G409" s="8" t="s">
        <v>4369</v>
      </c>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t="str">
        <f t="shared" si="35"/>
        <v/>
      </c>
      <c r="AK409" s="8"/>
      <c r="AL409" s="8"/>
      <c r="AM409" s="8" t="s">
        <v>1477</v>
      </c>
      <c r="AN409" s="8" t="s">
        <v>4370</v>
      </c>
      <c r="AO409" s="9"/>
      <c r="AP409" s="9"/>
      <c r="AQ409" s="9"/>
      <c r="AR409" s="8" t="s">
        <v>1479</v>
      </c>
      <c r="AS409" s="8" t="s">
        <v>1480</v>
      </c>
      <c r="AT409" s="9"/>
      <c r="AU409" s="8" t="s">
        <v>4371</v>
      </c>
      <c r="AV409" s="8" t="s">
        <v>108</v>
      </c>
      <c r="AW409" s="9"/>
      <c r="AX409" s="9"/>
      <c r="AY409" s="8" t="s">
        <v>4350</v>
      </c>
      <c r="AZ409" s="8" t="b">
        <v>0</v>
      </c>
      <c r="BA409" s="8" t="s">
        <v>110</v>
      </c>
      <c r="BB409" s="8" t="s">
        <v>480</v>
      </c>
      <c r="BC409" s="9"/>
      <c r="BD409" s="8" t="s">
        <v>191</v>
      </c>
      <c r="BE409" s="8" t="s">
        <v>4372</v>
      </c>
      <c r="BF409" s="9"/>
      <c r="BG409" s="9"/>
      <c r="BH409" s="9"/>
      <c r="BI409" s="9"/>
      <c r="BJ409" s="9"/>
      <c r="BK409" s="9"/>
      <c r="BL409" s="9"/>
      <c r="BM409" s="9"/>
      <c r="BN409" s="9"/>
      <c r="BO409" s="9"/>
      <c r="BP409" s="9"/>
      <c r="BQ409" s="9"/>
      <c r="BR409" s="9"/>
      <c r="BS409" s="9"/>
      <c r="BT409" s="9"/>
      <c r="BU409" s="9"/>
      <c r="BV409" s="9"/>
      <c r="BW409" s="9"/>
      <c r="BX409" s="9"/>
      <c r="BY409" s="9"/>
      <c r="BZ409" s="9"/>
      <c r="CA409" s="9"/>
      <c r="CB409" s="8" t="s">
        <v>4373</v>
      </c>
      <c r="CC409" s="9"/>
      <c r="CD409" s="9"/>
      <c r="CE409" s="8" t="s">
        <v>359</v>
      </c>
      <c r="CF409" s="8" t="s">
        <v>4374</v>
      </c>
      <c r="CG409" s="9"/>
      <c r="CH409" s="9"/>
      <c r="CI409" s="9"/>
      <c r="CJ409" s="9"/>
      <c r="CK409" s="9"/>
      <c r="CL409" s="9"/>
      <c r="CM409" s="9"/>
      <c r="CN409" s="9"/>
      <c r="CO409" s="9"/>
      <c r="CP409" s="9"/>
    </row>
    <row r="410">
      <c r="A410" s="7" t="s">
        <v>4375</v>
      </c>
      <c r="B410" s="8" t="s">
        <v>4376</v>
      </c>
      <c r="C410" s="8" t="s">
        <v>4377</v>
      </c>
      <c r="D410" s="8" t="s">
        <v>94</v>
      </c>
      <c r="E410" s="8" t="s">
        <v>95</v>
      </c>
      <c r="F410" s="9"/>
      <c r="G410" s="8" t="s">
        <v>4378</v>
      </c>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t="str">
        <f t="shared" si="35"/>
        <v/>
      </c>
      <c r="AK410" s="8"/>
      <c r="AL410" s="8"/>
      <c r="AM410" s="8" t="s">
        <v>591</v>
      </c>
      <c r="AN410" s="8" t="s">
        <v>4379</v>
      </c>
      <c r="AO410" s="9"/>
      <c r="AP410" s="8" t="s">
        <v>899</v>
      </c>
      <c r="AQ410" s="9"/>
      <c r="AR410" s="8" t="s">
        <v>592</v>
      </c>
      <c r="AS410" s="8" t="s">
        <v>593</v>
      </c>
      <c r="AT410" s="9"/>
      <c r="AU410" s="8" t="s">
        <v>4380</v>
      </c>
      <c r="AV410" s="8" t="s">
        <v>108</v>
      </c>
      <c r="AW410" s="9"/>
      <c r="AX410" s="9"/>
      <c r="AY410" s="8" t="s">
        <v>4350</v>
      </c>
      <c r="AZ410" s="8" t="b">
        <v>0</v>
      </c>
      <c r="BA410" s="8" t="s">
        <v>110</v>
      </c>
      <c r="BB410" s="9"/>
      <c r="BC410" s="9"/>
      <c r="BD410" s="9"/>
      <c r="BE410" s="8" t="s">
        <v>4381</v>
      </c>
      <c r="BF410" s="8" t="s">
        <v>94</v>
      </c>
      <c r="BG410" s="8" t="s">
        <v>95</v>
      </c>
      <c r="BH410" s="8" t="s">
        <v>4382</v>
      </c>
      <c r="BI410" s="9"/>
      <c r="BJ410" s="9"/>
      <c r="BK410" s="9"/>
      <c r="BL410" s="9"/>
      <c r="BM410" s="9"/>
      <c r="BN410" s="9"/>
      <c r="BO410" s="9"/>
      <c r="BP410" s="9"/>
      <c r="BQ410" s="9"/>
      <c r="BR410" s="9"/>
      <c r="BS410" s="9"/>
      <c r="BT410" s="9"/>
      <c r="BU410" s="9"/>
      <c r="BV410" s="9"/>
      <c r="BW410" s="9"/>
      <c r="BX410" s="9"/>
      <c r="BY410" s="9"/>
      <c r="BZ410" s="9"/>
      <c r="CA410" s="9"/>
      <c r="CB410" s="8" t="s">
        <v>4383</v>
      </c>
      <c r="CC410" s="9"/>
      <c r="CD410" s="9"/>
      <c r="CE410" s="8" t="s">
        <v>197</v>
      </c>
      <c r="CF410" s="8" t="s">
        <v>4384</v>
      </c>
      <c r="CG410" s="9"/>
      <c r="CH410" s="9"/>
      <c r="CI410" s="9"/>
      <c r="CJ410" s="9"/>
      <c r="CK410" s="9"/>
      <c r="CL410" s="9"/>
      <c r="CM410" s="9"/>
      <c r="CN410" s="9"/>
      <c r="CO410" s="9"/>
      <c r="CP410" s="9"/>
    </row>
    <row r="411">
      <c r="A411" s="7" t="s">
        <v>4385</v>
      </c>
      <c r="B411" s="8" t="s">
        <v>4386</v>
      </c>
      <c r="C411" s="8" t="s">
        <v>4386</v>
      </c>
      <c r="D411" s="8" t="s">
        <v>94</v>
      </c>
      <c r="E411" s="8" t="s">
        <v>1546</v>
      </c>
      <c r="F411" s="9"/>
      <c r="G411" s="8" t="s">
        <v>4387</v>
      </c>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t="str">
        <f t="shared" si="35"/>
        <v/>
      </c>
      <c r="AK411" s="8"/>
      <c r="AL411" s="8"/>
      <c r="AM411" s="8" t="s">
        <v>1477</v>
      </c>
      <c r="AN411" s="9"/>
      <c r="AO411" s="9"/>
      <c r="AP411" s="9"/>
      <c r="AQ411" s="9"/>
      <c r="AR411" s="9"/>
      <c r="AS411" s="9"/>
      <c r="AT411" s="9"/>
      <c r="AU411" s="8" t="s">
        <v>4388</v>
      </c>
      <c r="AV411" s="9"/>
      <c r="AW411" s="9"/>
      <c r="AX411" s="9"/>
      <c r="AY411" s="8" t="s">
        <v>4350</v>
      </c>
      <c r="AZ411" s="8" t="b">
        <v>0</v>
      </c>
      <c r="BA411" s="8" t="s">
        <v>190</v>
      </c>
      <c r="BB411" s="8" t="s">
        <v>191</v>
      </c>
      <c r="BC411" s="8" t="s">
        <v>2845</v>
      </c>
      <c r="BD411" s="9"/>
      <c r="BE411" s="8" t="s">
        <v>4389</v>
      </c>
      <c r="BF411" s="9"/>
      <c r="BG411" s="9"/>
      <c r="BH411" s="9"/>
      <c r="BI411" s="9"/>
      <c r="BJ411" s="9"/>
      <c r="BK411" s="8" t="s">
        <v>1140</v>
      </c>
      <c r="BL411" s="9"/>
      <c r="BM411" s="9"/>
      <c r="BN411" s="9"/>
      <c r="BO411" s="9"/>
      <c r="BP411" s="9"/>
      <c r="BQ411" s="9"/>
      <c r="BR411" s="8" t="s">
        <v>193</v>
      </c>
      <c r="BS411" s="8" t="s">
        <v>194</v>
      </c>
      <c r="BT411" s="9"/>
      <c r="BU411" s="8" t="s">
        <v>4390</v>
      </c>
      <c r="BV411" s="8" t="s">
        <v>4391</v>
      </c>
      <c r="BW411" s="9"/>
      <c r="BX411" s="9"/>
      <c r="BY411" s="9"/>
      <c r="BZ411" s="9"/>
      <c r="CA411" s="9"/>
      <c r="CB411" s="8" t="s">
        <v>4392</v>
      </c>
      <c r="CC411" s="9"/>
      <c r="CD411" s="9"/>
      <c r="CE411" s="8" t="s">
        <v>366</v>
      </c>
      <c r="CF411" s="8" t="s">
        <v>4393</v>
      </c>
      <c r="CG411" s="9"/>
      <c r="CH411" s="9"/>
      <c r="CI411" s="9"/>
      <c r="CJ411" s="9"/>
      <c r="CK411" s="9"/>
      <c r="CL411" s="9"/>
      <c r="CM411" s="9"/>
      <c r="CN411" s="9"/>
      <c r="CO411" s="9"/>
      <c r="CP411" s="9"/>
    </row>
    <row r="412">
      <c r="A412" s="7" t="s">
        <v>4394</v>
      </c>
      <c r="B412" s="8" t="s">
        <v>4395</v>
      </c>
      <c r="C412" s="8" t="s">
        <v>4396</v>
      </c>
      <c r="D412" s="8" t="s">
        <v>94</v>
      </c>
      <c r="E412" s="8" t="s">
        <v>95</v>
      </c>
      <c r="F412" s="9"/>
      <c r="G412" s="8" t="s">
        <v>4397</v>
      </c>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t="str">
        <f t="shared" si="35"/>
        <v/>
      </c>
      <c r="AK412" s="8"/>
      <c r="AL412" s="8"/>
      <c r="AM412" s="8" t="s">
        <v>1477</v>
      </c>
      <c r="AN412" s="8" t="s">
        <v>4398</v>
      </c>
      <c r="AO412" s="9"/>
      <c r="AP412" s="9"/>
      <c r="AQ412" s="9"/>
      <c r="AR412" s="8" t="s">
        <v>1479</v>
      </c>
      <c r="AS412" s="8" t="s">
        <v>1480</v>
      </c>
      <c r="AT412" s="9"/>
      <c r="AU412" s="8" t="s">
        <v>4399</v>
      </c>
      <c r="AV412" s="8" t="s">
        <v>108</v>
      </c>
      <c r="AW412" s="9"/>
      <c r="AX412" s="9"/>
      <c r="AY412" s="8" t="s">
        <v>4350</v>
      </c>
      <c r="AZ412" s="8" t="b">
        <v>0</v>
      </c>
      <c r="BA412" s="8" t="s">
        <v>110</v>
      </c>
      <c r="BB412" s="9"/>
      <c r="BC412" s="9"/>
      <c r="BD412" s="9"/>
      <c r="BE412" s="8" t="s">
        <v>3800</v>
      </c>
      <c r="BF412" s="9"/>
      <c r="BG412" s="9"/>
      <c r="BH412" s="9"/>
      <c r="BI412" s="9"/>
      <c r="BJ412" s="9"/>
      <c r="BK412" s="9"/>
      <c r="BL412" s="9"/>
      <c r="BM412" s="9"/>
      <c r="BN412" s="9"/>
      <c r="BO412" s="9"/>
      <c r="BP412" s="9"/>
      <c r="BQ412" s="9"/>
      <c r="BR412" s="9"/>
      <c r="BS412" s="9"/>
      <c r="BT412" s="9"/>
      <c r="BU412" s="9"/>
      <c r="BV412" s="9"/>
      <c r="BW412" s="9"/>
      <c r="BX412" s="9"/>
      <c r="BY412" s="9"/>
      <c r="BZ412" s="9"/>
      <c r="CA412" s="9"/>
      <c r="CB412" s="8" t="s">
        <v>4400</v>
      </c>
      <c r="CC412" s="9"/>
      <c r="CD412" s="9"/>
      <c r="CE412" s="8" t="s">
        <v>366</v>
      </c>
      <c r="CF412" s="8" t="s">
        <v>4401</v>
      </c>
      <c r="CG412" s="9"/>
      <c r="CH412" s="9"/>
      <c r="CI412" s="9"/>
      <c r="CJ412" s="9"/>
      <c r="CK412" s="9"/>
      <c r="CL412" s="9"/>
      <c r="CM412" s="9"/>
      <c r="CN412" s="9"/>
      <c r="CO412" s="9"/>
      <c r="CP412" s="9"/>
    </row>
    <row r="413">
      <c r="A413" s="7" t="s">
        <v>4402</v>
      </c>
      <c r="B413" s="8" t="s">
        <v>4403</v>
      </c>
      <c r="C413" s="8" t="s">
        <v>4404</v>
      </c>
      <c r="D413" s="8" t="s">
        <v>94</v>
      </c>
      <c r="E413" s="8" t="s">
        <v>95</v>
      </c>
      <c r="F413" s="9"/>
      <c r="G413" s="8" t="s">
        <v>4405</v>
      </c>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t="str">
        <f t="shared" si="35"/>
        <v/>
      </c>
      <c r="AK413" s="8"/>
      <c r="AL413" s="8"/>
      <c r="AM413" s="8" t="s">
        <v>1477</v>
      </c>
      <c r="AN413" s="8" t="s">
        <v>4406</v>
      </c>
      <c r="AO413" s="9"/>
      <c r="AP413" s="9"/>
      <c r="AQ413" s="9"/>
      <c r="AR413" s="8" t="s">
        <v>1479</v>
      </c>
      <c r="AS413" s="8" t="s">
        <v>1480</v>
      </c>
      <c r="AT413" s="9"/>
      <c r="AU413" s="8" t="s">
        <v>4407</v>
      </c>
      <c r="AV413" s="8" t="s">
        <v>108</v>
      </c>
      <c r="AW413" s="9"/>
      <c r="AX413" s="9"/>
      <c r="AY413" s="8" t="s">
        <v>4350</v>
      </c>
      <c r="AZ413" s="8" t="b">
        <v>0</v>
      </c>
      <c r="BA413" s="8" t="s">
        <v>110</v>
      </c>
      <c r="BB413" s="9"/>
      <c r="BC413" s="9"/>
      <c r="BD413" s="9"/>
      <c r="BE413" s="8" t="s">
        <v>1823</v>
      </c>
      <c r="BF413" s="9"/>
      <c r="BG413" s="9"/>
      <c r="BH413" s="9"/>
      <c r="BI413" s="9"/>
      <c r="BJ413" s="9"/>
      <c r="BK413" s="9"/>
      <c r="BL413" s="9"/>
      <c r="BM413" s="9"/>
      <c r="BN413" s="9"/>
      <c r="BO413" s="9"/>
      <c r="BP413" s="9"/>
      <c r="BQ413" s="9"/>
      <c r="BR413" s="9"/>
      <c r="BS413" s="9"/>
      <c r="BT413" s="9"/>
      <c r="BU413" s="9"/>
      <c r="BV413" s="9"/>
      <c r="BW413" s="9"/>
      <c r="BX413" s="9"/>
      <c r="BY413" s="9"/>
      <c r="BZ413" s="9"/>
      <c r="CA413" s="9"/>
      <c r="CB413" s="8" t="s">
        <v>4408</v>
      </c>
      <c r="CC413" s="9"/>
      <c r="CD413" s="9"/>
      <c r="CE413" s="8" t="s">
        <v>197</v>
      </c>
      <c r="CF413" s="8" t="s">
        <v>4409</v>
      </c>
      <c r="CG413" s="9"/>
      <c r="CH413" s="9"/>
      <c r="CI413" s="9"/>
      <c r="CJ413" s="9"/>
      <c r="CK413" s="9"/>
      <c r="CL413" s="9"/>
      <c r="CM413" s="9"/>
      <c r="CN413" s="9"/>
      <c r="CO413" s="9"/>
      <c r="CP413" s="9"/>
    </row>
    <row r="414">
      <c r="A414" s="7" t="s">
        <v>4410</v>
      </c>
      <c r="B414" s="8" t="s">
        <v>4411</v>
      </c>
      <c r="C414" s="8" t="s">
        <v>4412</v>
      </c>
      <c r="D414" s="8" t="s">
        <v>94</v>
      </c>
      <c r="E414" s="8" t="s">
        <v>95</v>
      </c>
      <c r="F414" s="9"/>
      <c r="G414" s="8" t="s">
        <v>4413</v>
      </c>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t="str">
        <f t="shared" si="35"/>
        <v/>
      </c>
      <c r="AK414" s="8"/>
      <c r="AL414" s="8"/>
      <c r="AM414" s="8" t="s">
        <v>1477</v>
      </c>
      <c r="AN414" s="8" t="s">
        <v>4414</v>
      </c>
      <c r="AO414" s="9"/>
      <c r="AP414" s="9"/>
      <c r="AQ414" s="9"/>
      <c r="AR414" s="8" t="s">
        <v>1479</v>
      </c>
      <c r="AS414" s="8" t="s">
        <v>1480</v>
      </c>
      <c r="AT414" s="9"/>
      <c r="AU414" s="8" t="s">
        <v>4415</v>
      </c>
      <c r="AV414" s="8" t="s">
        <v>108</v>
      </c>
      <c r="AW414" s="9"/>
      <c r="AX414" s="9"/>
      <c r="AY414" s="8" t="s">
        <v>4350</v>
      </c>
      <c r="AZ414" s="8" t="b">
        <v>0</v>
      </c>
      <c r="BA414" s="8" t="s">
        <v>110</v>
      </c>
      <c r="BB414" s="9"/>
      <c r="BC414" s="9"/>
      <c r="BD414" s="9"/>
      <c r="BE414" s="8" t="s">
        <v>4276</v>
      </c>
      <c r="BF414" s="9"/>
      <c r="BG414" s="9"/>
      <c r="BH414" s="9"/>
      <c r="BI414" s="9"/>
      <c r="BJ414" s="9"/>
      <c r="BK414" s="9"/>
      <c r="BL414" s="9"/>
      <c r="BM414" s="9"/>
      <c r="BN414" s="9"/>
      <c r="BO414" s="9"/>
      <c r="BP414" s="9"/>
      <c r="BQ414" s="9"/>
      <c r="BR414" s="9"/>
      <c r="BS414" s="9"/>
      <c r="BT414" s="9"/>
      <c r="BU414" s="9"/>
      <c r="BV414" s="9"/>
      <c r="BW414" s="9"/>
      <c r="BX414" s="9"/>
      <c r="BY414" s="9"/>
      <c r="BZ414" s="9"/>
      <c r="CA414" s="9"/>
      <c r="CB414" s="8" t="s">
        <v>4408</v>
      </c>
      <c r="CC414" s="9"/>
      <c r="CD414" s="9"/>
      <c r="CE414" s="8" t="s">
        <v>450</v>
      </c>
      <c r="CF414" s="8" t="s">
        <v>4416</v>
      </c>
      <c r="CG414" s="9"/>
      <c r="CH414" s="9"/>
      <c r="CI414" s="9"/>
      <c r="CJ414" s="9"/>
      <c r="CK414" s="9"/>
      <c r="CL414" s="9"/>
      <c r="CM414" s="9"/>
      <c r="CN414" s="9"/>
      <c r="CO414" s="9"/>
      <c r="CP414" s="9"/>
    </row>
    <row r="415">
      <c r="A415" s="7" t="s">
        <v>4417</v>
      </c>
      <c r="B415" s="8" t="s">
        <v>4418</v>
      </c>
      <c r="C415" s="8" t="s">
        <v>4419</v>
      </c>
      <c r="D415" s="8" t="s">
        <v>94</v>
      </c>
      <c r="E415" s="8" t="s">
        <v>95</v>
      </c>
      <c r="F415" s="9"/>
      <c r="G415" s="8" t="s">
        <v>4420</v>
      </c>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t="str">
        <f t="shared" si="35"/>
        <v/>
      </c>
      <c r="AK415" s="8"/>
      <c r="AL415" s="8"/>
      <c r="AM415" s="8" t="s">
        <v>1477</v>
      </c>
      <c r="AN415" s="8" t="s">
        <v>4421</v>
      </c>
      <c r="AO415" s="9"/>
      <c r="AP415" s="9"/>
      <c r="AQ415" s="9"/>
      <c r="AR415" s="8" t="s">
        <v>1479</v>
      </c>
      <c r="AS415" s="8" t="s">
        <v>1480</v>
      </c>
      <c r="AT415" s="9"/>
      <c r="AU415" s="8" t="s">
        <v>4422</v>
      </c>
      <c r="AV415" s="8" t="s">
        <v>108</v>
      </c>
      <c r="AW415" s="9"/>
      <c r="AX415" s="9"/>
      <c r="AY415" s="8" t="s">
        <v>4350</v>
      </c>
      <c r="AZ415" s="8" t="b">
        <v>0</v>
      </c>
      <c r="BA415" s="8" t="s">
        <v>110</v>
      </c>
      <c r="BB415" s="9"/>
      <c r="BC415" s="9"/>
      <c r="BD415" s="9"/>
      <c r="BE415" s="8" t="s">
        <v>3459</v>
      </c>
      <c r="BF415" s="9"/>
      <c r="BG415" s="9"/>
      <c r="BH415" s="9"/>
      <c r="BI415" s="9"/>
      <c r="BJ415" s="9"/>
      <c r="BK415" s="9"/>
      <c r="BL415" s="9"/>
      <c r="BM415" s="9"/>
      <c r="BN415" s="9"/>
      <c r="BO415" s="9"/>
      <c r="BP415" s="9"/>
      <c r="BQ415" s="9"/>
      <c r="BR415" s="9"/>
      <c r="BS415" s="9"/>
      <c r="BT415" s="9"/>
      <c r="BU415" s="9"/>
      <c r="BV415" s="9"/>
      <c r="BW415" s="9"/>
      <c r="BX415" s="9"/>
      <c r="BY415" s="9"/>
      <c r="BZ415" s="9"/>
      <c r="CA415" s="9"/>
      <c r="CB415" s="8" t="s">
        <v>4423</v>
      </c>
      <c r="CC415" s="9"/>
      <c r="CD415" s="9"/>
      <c r="CE415" s="8" t="s">
        <v>366</v>
      </c>
      <c r="CF415" s="8" t="s">
        <v>4424</v>
      </c>
      <c r="CG415" s="9"/>
      <c r="CH415" s="9"/>
      <c r="CI415" s="9"/>
      <c r="CJ415" s="9"/>
      <c r="CK415" s="9"/>
      <c r="CL415" s="9"/>
      <c r="CM415" s="9"/>
      <c r="CN415" s="9"/>
      <c r="CO415" s="9"/>
      <c r="CP415" s="9"/>
    </row>
    <row r="416">
      <c r="A416" s="7" t="s">
        <v>4425</v>
      </c>
      <c r="B416" s="8" t="s">
        <v>4426</v>
      </c>
      <c r="C416" s="8" t="s">
        <v>4427</v>
      </c>
      <c r="D416" s="8" t="s">
        <v>94</v>
      </c>
      <c r="E416" s="8" t="s">
        <v>95</v>
      </c>
      <c r="F416" s="9"/>
      <c r="G416" s="8" t="s">
        <v>4428</v>
      </c>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t="str">
        <f t="shared" si="35"/>
        <v/>
      </c>
      <c r="AK416" s="8"/>
      <c r="AL416" s="8"/>
      <c r="AM416" s="8" t="s">
        <v>1477</v>
      </c>
      <c r="AN416" s="8" t="s">
        <v>4429</v>
      </c>
      <c r="AO416" s="9"/>
      <c r="AP416" s="9"/>
      <c r="AQ416" s="9"/>
      <c r="AR416" s="8" t="s">
        <v>1479</v>
      </c>
      <c r="AS416" s="8" t="s">
        <v>1480</v>
      </c>
      <c r="AT416" s="9"/>
      <c r="AU416" s="8" t="s">
        <v>4430</v>
      </c>
      <c r="AV416" s="9"/>
      <c r="AW416" s="9"/>
      <c r="AX416" s="9"/>
      <c r="AY416" s="8" t="s">
        <v>4350</v>
      </c>
      <c r="AZ416" s="8" t="b">
        <v>0</v>
      </c>
      <c r="BA416" s="8" t="s">
        <v>190</v>
      </c>
      <c r="BB416" s="9"/>
      <c r="BC416" s="9"/>
      <c r="BD416" s="8" t="s">
        <v>112</v>
      </c>
      <c r="BE416" s="8" t="s">
        <v>2194</v>
      </c>
      <c r="BF416" s="9"/>
      <c r="BG416" s="9"/>
      <c r="BH416" s="9"/>
      <c r="BI416" s="9"/>
      <c r="BJ416" s="9"/>
      <c r="BK416" s="9"/>
      <c r="BL416" s="9"/>
      <c r="BM416" s="9"/>
      <c r="BN416" s="9"/>
      <c r="BO416" s="9"/>
      <c r="BP416" s="9"/>
      <c r="BQ416" s="9"/>
      <c r="BR416" s="8" t="s">
        <v>193</v>
      </c>
      <c r="BS416" s="8" t="s">
        <v>194</v>
      </c>
      <c r="BT416" s="8" t="s">
        <v>4431</v>
      </c>
      <c r="BU416" s="9"/>
      <c r="BV416" s="8" t="s">
        <v>4432</v>
      </c>
      <c r="BW416" s="9"/>
      <c r="BX416" s="9"/>
      <c r="BY416" s="9"/>
      <c r="BZ416" s="9"/>
      <c r="CA416" s="9"/>
      <c r="CB416" s="8" t="s">
        <v>4433</v>
      </c>
      <c r="CC416" s="9"/>
      <c r="CD416" s="9"/>
      <c r="CE416" s="8" t="s">
        <v>366</v>
      </c>
      <c r="CF416" s="8" t="s">
        <v>4434</v>
      </c>
      <c r="CG416" s="9"/>
      <c r="CH416" s="9"/>
      <c r="CI416" s="9"/>
      <c r="CJ416" s="9"/>
      <c r="CK416" s="9"/>
      <c r="CL416" s="9"/>
      <c r="CM416" s="9"/>
      <c r="CN416" s="9"/>
      <c r="CO416" s="9"/>
      <c r="CP416" s="9"/>
    </row>
    <row r="417">
      <c r="A417" s="7" t="s">
        <v>4435</v>
      </c>
      <c r="B417" s="8" t="s">
        <v>4436</v>
      </c>
      <c r="C417" s="8" t="s">
        <v>4437</v>
      </c>
      <c r="D417" s="8" t="s">
        <v>94</v>
      </c>
      <c r="E417" s="8" t="s">
        <v>95</v>
      </c>
      <c r="F417" s="9"/>
      <c r="G417" s="8" t="s">
        <v>4438</v>
      </c>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t="str">
        <f t="shared" si="35"/>
        <v/>
      </c>
      <c r="AK417" s="8"/>
      <c r="AL417" s="8"/>
      <c r="AM417" s="8" t="s">
        <v>1477</v>
      </c>
      <c r="AN417" s="8" t="s">
        <v>4439</v>
      </c>
      <c r="AO417" s="9"/>
      <c r="AP417" s="9"/>
      <c r="AQ417" s="9"/>
      <c r="AR417" s="8" t="s">
        <v>1479</v>
      </c>
      <c r="AS417" s="8" t="s">
        <v>1480</v>
      </c>
      <c r="AT417" s="9"/>
      <c r="AU417" s="8" t="s">
        <v>4440</v>
      </c>
      <c r="AV417" s="9"/>
      <c r="AW417" s="9"/>
      <c r="AX417" s="9"/>
      <c r="AY417" s="8" t="s">
        <v>4350</v>
      </c>
      <c r="AZ417" s="8" t="b">
        <v>0</v>
      </c>
      <c r="BA417" s="8" t="s">
        <v>190</v>
      </c>
      <c r="BB417" s="8" t="s">
        <v>191</v>
      </c>
      <c r="BC417" s="9"/>
      <c r="BD417" s="9"/>
      <c r="BE417" s="8" t="s">
        <v>3459</v>
      </c>
      <c r="BF417" s="9"/>
      <c r="BG417" s="9"/>
      <c r="BH417" s="9"/>
      <c r="BI417" s="9"/>
      <c r="BJ417" s="9"/>
      <c r="BK417" s="9"/>
      <c r="BL417" s="9"/>
      <c r="BM417" s="9"/>
      <c r="BN417" s="9"/>
      <c r="BO417" s="9"/>
      <c r="BP417" s="9"/>
      <c r="BQ417" s="9"/>
      <c r="BR417" s="8" t="s">
        <v>193</v>
      </c>
      <c r="BS417" s="8" t="s">
        <v>194</v>
      </c>
      <c r="BT417" s="8" t="s">
        <v>4441</v>
      </c>
      <c r="BU417" s="9"/>
      <c r="BV417" s="8" t="s">
        <v>4442</v>
      </c>
      <c r="BW417" s="9"/>
      <c r="BX417" s="9"/>
      <c r="BY417" s="9"/>
      <c r="BZ417" s="9"/>
      <c r="CA417" s="9"/>
      <c r="CB417" s="8" t="s">
        <v>3562</v>
      </c>
      <c r="CC417" s="9"/>
      <c r="CD417" s="9"/>
      <c r="CE417" s="8" t="s">
        <v>115</v>
      </c>
      <c r="CF417" s="8" t="s">
        <v>4443</v>
      </c>
      <c r="CG417" s="9"/>
      <c r="CH417" s="9"/>
      <c r="CI417" s="9"/>
      <c r="CJ417" s="9"/>
      <c r="CK417" s="9"/>
      <c r="CL417" s="9"/>
      <c r="CM417" s="9"/>
      <c r="CN417" s="9"/>
      <c r="CO417" s="9"/>
      <c r="CP417" s="9"/>
    </row>
    <row r="418">
      <c r="A418" s="7" t="s">
        <v>4444</v>
      </c>
      <c r="B418" s="8" t="s">
        <v>4445</v>
      </c>
      <c r="C418" s="8" t="s">
        <v>4446</v>
      </c>
      <c r="D418" s="8" t="s">
        <v>94</v>
      </c>
      <c r="E418" s="8" t="s">
        <v>95</v>
      </c>
      <c r="F418" s="9"/>
      <c r="G418" s="8" t="s">
        <v>4447</v>
      </c>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t="str">
        <f t="shared" si="35"/>
        <v/>
      </c>
      <c r="AK418" s="8"/>
      <c r="AL418" s="8"/>
      <c r="AM418" s="8" t="s">
        <v>1477</v>
      </c>
      <c r="AN418" s="8" t="s">
        <v>4448</v>
      </c>
      <c r="AO418" s="9"/>
      <c r="AP418" s="9"/>
      <c r="AQ418" s="9"/>
      <c r="AR418" s="8" t="s">
        <v>1479</v>
      </c>
      <c r="AS418" s="8" t="s">
        <v>1480</v>
      </c>
      <c r="AT418" s="9"/>
      <c r="AU418" s="8" t="s">
        <v>4449</v>
      </c>
      <c r="AV418" s="8" t="s">
        <v>108</v>
      </c>
      <c r="AW418" s="9"/>
      <c r="AX418" s="9"/>
      <c r="AY418" s="8" t="s">
        <v>4350</v>
      </c>
      <c r="AZ418" s="8" t="b">
        <v>0</v>
      </c>
      <c r="BA418" s="8" t="s">
        <v>110</v>
      </c>
      <c r="BB418" s="9"/>
      <c r="BC418" s="9"/>
      <c r="BD418" s="9"/>
      <c r="BE418" s="8" t="s">
        <v>4450</v>
      </c>
      <c r="BF418" s="9"/>
      <c r="BG418" s="9"/>
      <c r="BH418" s="9"/>
      <c r="BI418" s="9"/>
      <c r="BJ418" s="9"/>
      <c r="BK418" s="9"/>
      <c r="BL418" s="9"/>
      <c r="BM418" s="9"/>
      <c r="BN418" s="9"/>
      <c r="BO418" s="9"/>
      <c r="BP418" s="9"/>
      <c r="BQ418" s="9"/>
      <c r="BR418" s="9"/>
      <c r="BS418" s="9"/>
      <c r="BT418" s="9"/>
      <c r="BU418" s="9"/>
      <c r="BV418" s="9"/>
      <c r="BW418" s="9"/>
      <c r="BX418" s="9"/>
      <c r="BY418" s="9"/>
      <c r="BZ418" s="9"/>
      <c r="CA418" s="9"/>
      <c r="CB418" s="8" t="s">
        <v>4451</v>
      </c>
      <c r="CC418" s="9"/>
      <c r="CD418" s="9"/>
      <c r="CE418" s="8" t="s">
        <v>366</v>
      </c>
      <c r="CF418" s="8" t="s">
        <v>4452</v>
      </c>
      <c r="CG418" s="9"/>
      <c r="CH418" s="9"/>
      <c r="CI418" s="9"/>
      <c r="CJ418" s="9"/>
      <c r="CK418" s="9"/>
      <c r="CL418" s="9"/>
      <c r="CM418" s="9"/>
      <c r="CN418" s="9"/>
      <c r="CO418" s="9"/>
      <c r="CP418" s="9"/>
    </row>
    <row r="419">
      <c r="A419" s="7" t="s">
        <v>4453</v>
      </c>
      <c r="B419" s="8" t="s">
        <v>4454</v>
      </c>
      <c r="C419" s="8" t="s">
        <v>4455</v>
      </c>
      <c r="D419" s="8" t="s">
        <v>94</v>
      </c>
      <c r="E419" s="8" t="s">
        <v>95</v>
      </c>
      <c r="F419" s="9"/>
      <c r="G419" s="8" t="s">
        <v>4456</v>
      </c>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t="str">
        <f t="shared" si="35"/>
        <v/>
      </c>
      <c r="AK419" s="8"/>
      <c r="AL419" s="8"/>
      <c r="AM419" s="8" t="s">
        <v>1477</v>
      </c>
      <c r="AN419" s="8" t="s">
        <v>4457</v>
      </c>
      <c r="AO419" s="9"/>
      <c r="AP419" s="9"/>
      <c r="AQ419" s="9"/>
      <c r="AR419" s="8" t="s">
        <v>1479</v>
      </c>
      <c r="AS419" s="8" t="s">
        <v>1480</v>
      </c>
      <c r="AT419" s="9"/>
      <c r="AU419" s="8" t="s">
        <v>4458</v>
      </c>
      <c r="AV419" s="8" t="s">
        <v>108</v>
      </c>
      <c r="AW419" s="9"/>
      <c r="AX419" s="9"/>
      <c r="AY419" s="8" t="s">
        <v>4350</v>
      </c>
      <c r="AZ419" s="8" t="b">
        <v>0</v>
      </c>
      <c r="BA419" s="8" t="s">
        <v>110</v>
      </c>
      <c r="BB419" s="9"/>
      <c r="BC419" s="9"/>
      <c r="BD419" s="9"/>
      <c r="BE419" s="8" t="s">
        <v>401</v>
      </c>
      <c r="BF419" s="9"/>
      <c r="BG419" s="9"/>
      <c r="BH419" s="9"/>
      <c r="BI419" s="9"/>
      <c r="BJ419" s="9"/>
      <c r="BK419" s="9"/>
      <c r="BL419" s="9"/>
      <c r="BM419" s="9"/>
      <c r="BN419" s="9"/>
      <c r="BO419" s="9"/>
      <c r="BP419" s="9"/>
      <c r="BQ419" s="9"/>
      <c r="BR419" s="9"/>
      <c r="BS419" s="9"/>
      <c r="BT419" s="9"/>
      <c r="BU419" s="9"/>
      <c r="BV419" s="9"/>
      <c r="BW419" s="9"/>
      <c r="BX419" s="9"/>
      <c r="BY419" s="9"/>
      <c r="BZ419" s="9"/>
      <c r="CA419" s="9"/>
      <c r="CB419" s="8" t="s">
        <v>4459</v>
      </c>
      <c r="CC419" s="9"/>
      <c r="CD419" s="9"/>
      <c r="CE419" s="8" t="s">
        <v>115</v>
      </c>
      <c r="CF419" s="8" t="s">
        <v>4460</v>
      </c>
      <c r="CG419" s="9"/>
      <c r="CH419" s="9"/>
      <c r="CI419" s="9"/>
      <c r="CJ419" s="9"/>
      <c r="CK419" s="9"/>
      <c r="CL419" s="9"/>
      <c r="CM419" s="9"/>
      <c r="CN419" s="9"/>
      <c r="CO419" s="9"/>
      <c r="CP419" s="9"/>
    </row>
    <row r="420">
      <c r="A420" s="7" t="s">
        <v>4461</v>
      </c>
      <c r="B420" s="8" t="s">
        <v>4462</v>
      </c>
      <c r="C420" s="8" t="s">
        <v>4463</v>
      </c>
      <c r="D420" s="8" t="s">
        <v>94</v>
      </c>
      <c r="E420" s="8" t="s">
        <v>95</v>
      </c>
      <c r="F420" s="9"/>
      <c r="G420" s="8" t="s">
        <v>4464</v>
      </c>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t="str">
        <f t="shared" si="35"/>
        <v/>
      </c>
      <c r="AK420" s="8"/>
      <c r="AL420" s="8"/>
      <c r="AM420" s="8" t="s">
        <v>1477</v>
      </c>
      <c r="AN420" s="8" t="s">
        <v>4465</v>
      </c>
      <c r="AO420" s="9"/>
      <c r="AP420" s="9"/>
      <c r="AQ420" s="9"/>
      <c r="AR420" s="8" t="s">
        <v>1479</v>
      </c>
      <c r="AS420" s="8" t="s">
        <v>1480</v>
      </c>
      <c r="AT420" s="9"/>
      <c r="AU420" s="8" t="s">
        <v>4466</v>
      </c>
      <c r="AV420" s="9"/>
      <c r="AW420" s="9"/>
      <c r="AX420" s="9"/>
      <c r="AY420" s="8" t="s">
        <v>4350</v>
      </c>
      <c r="AZ420" s="8" t="b">
        <v>0</v>
      </c>
      <c r="BA420" s="8" t="s">
        <v>190</v>
      </c>
      <c r="BB420" s="8" t="s">
        <v>191</v>
      </c>
      <c r="BC420" s="9"/>
      <c r="BD420" s="9"/>
      <c r="BE420" s="8" t="s">
        <v>4467</v>
      </c>
      <c r="BF420" s="9"/>
      <c r="BG420" s="9"/>
      <c r="BH420" s="9"/>
      <c r="BI420" s="9"/>
      <c r="BJ420" s="9"/>
      <c r="BK420" s="9"/>
      <c r="BL420" s="9"/>
      <c r="BM420" s="9"/>
      <c r="BN420" s="9"/>
      <c r="BO420" s="9"/>
      <c r="BP420" s="9"/>
      <c r="BQ420" s="9"/>
      <c r="BR420" s="8" t="s">
        <v>193</v>
      </c>
      <c r="BS420" s="8" t="s">
        <v>194</v>
      </c>
      <c r="BT420" s="8" t="s">
        <v>1551</v>
      </c>
      <c r="BU420" s="9"/>
      <c r="BV420" s="8" t="s">
        <v>4468</v>
      </c>
      <c r="BW420" s="9"/>
      <c r="BX420" s="9"/>
      <c r="BY420" s="9"/>
      <c r="BZ420" s="9"/>
      <c r="CA420" s="9"/>
      <c r="CB420" s="8" t="s">
        <v>2995</v>
      </c>
      <c r="CC420" s="9"/>
      <c r="CD420" s="9"/>
      <c r="CE420" s="8" t="s">
        <v>450</v>
      </c>
      <c r="CF420" s="8" t="s">
        <v>4469</v>
      </c>
      <c r="CG420" s="9"/>
      <c r="CH420" s="9"/>
      <c r="CI420" s="9"/>
      <c r="CJ420" s="9"/>
      <c r="CK420" s="9"/>
      <c r="CL420" s="9"/>
      <c r="CM420" s="9"/>
      <c r="CN420" s="9"/>
      <c r="CO420" s="9"/>
      <c r="CP420" s="9"/>
    </row>
    <row r="421">
      <c r="A421" s="7" t="s">
        <v>4470</v>
      </c>
      <c r="B421" s="8" t="s">
        <v>4471</v>
      </c>
      <c r="C421" s="8" t="s">
        <v>4472</v>
      </c>
      <c r="D421" s="8" t="s">
        <v>94</v>
      </c>
      <c r="E421" s="8" t="s">
        <v>95</v>
      </c>
      <c r="F421" s="9"/>
      <c r="G421" s="8" t="s">
        <v>4473</v>
      </c>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t="str">
        <f t="shared" si="35"/>
        <v/>
      </c>
      <c r="AK421" s="8"/>
      <c r="AL421" s="8"/>
      <c r="AM421" s="8" t="s">
        <v>1477</v>
      </c>
      <c r="AN421" s="8" t="s">
        <v>4474</v>
      </c>
      <c r="AO421" s="9"/>
      <c r="AP421" s="9"/>
      <c r="AQ421" s="9"/>
      <c r="AR421" s="8" t="s">
        <v>1479</v>
      </c>
      <c r="AS421" s="8" t="s">
        <v>1480</v>
      </c>
      <c r="AT421" s="9"/>
      <c r="AU421" s="8" t="s">
        <v>4475</v>
      </c>
      <c r="AV421" s="8" t="s">
        <v>108</v>
      </c>
      <c r="AW421" s="9"/>
      <c r="AX421" s="9"/>
      <c r="AY421" s="8" t="s">
        <v>4350</v>
      </c>
      <c r="AZ421" s="8" t="b">
        <v>0</v>
      </c>
      <c r="BA421" s="8" t="s">
        <v>110</v>
      </c>
      <c r="BB421" s="9"/>
      <c r="BC421" s="9"/>
      <c r="BD421" s="9"/>
      <c r="BE421" s="8" t="s">
        <v>4476</v>
      </c>
      <c r="BF421" s="9"/>
      <c r="BG421" s="9"/>
      <c r="BH421" s="9"/>
      <c r="BI421" s="9"/>
      <c r="BJ421" s="9"/>
      <c r="BK421" s="9"/>
      <c r="BL421" s="9"/>
      <c r="BM421" s="9"/>
      <c r="BN421" s="9"/>
      <c r="BO421" s="9"/>
      <c r="BP421" s="9"/>
      <c r="BQ421" s="9"/>
      <c r="BR421" s="9"/>
      <c r="BS421" s="9"/>
      <c r="BT421" s="9"/>
      <c r="BU421" s="9"/>
      <c r="BV421" s="9"/>
      <c r="BW421" s="9"/>
      <c r="BX421" s="9"/>
      <c r="BY421" s="9"/>
      <c r="BZ421" s="9"/>
      <c r="CA421" s="9"/>
      <c r="CB421" s="8" t="s">
        <v>4477</v>
      </c>
      <c r="CC421" s="9"/>
      <c r="CD421" s="9"/>
      <c r="CE421" s="8" t="s">
        <v>366</v>
      </c>
      <c r="CF421" s="8" t="s">
        <v>4478</v>
      </c>
      <c r="CG421" s="9"/>
      <c r="CH421" s="9"/>
      <c r="CI421" s="9"/>
      <c r="CJ421" s="9"/>
      <c r="CK421" s="9"/>
      <c r="CL421" s="9"/>
      <c r="CM421" s="9"/>
      <c r="CN421" s="9"/>
      <c r="CO421" s="9"/>
      <c r="CP421" s="9"/>
    </row>
    <row r="422">
      <c r="A422" s="7" t="s">
        <v>4479</v>
      </c>
      <c r="B422" s="8" t="s">
        <v>4480</v>
      </c>
      <c r="C422" s="8" t="s">
        <v>4481</v>
      </c>
      <c r="D422" s="8" t="s">
        <v>94</v>
      </c>
      <c r="E422" s="8" t="s">
        <v>95</v>
      </c>
      <c r="F422" s="9"/>
      <c r="G422" s="8" t="s">
        <v>4482</v>
      </c>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t="str">
        <f t="shared" si="35"/>
        <v/>
      </c>
      <c r="AK422" s="8"/>
      <c r="AL422" s="8"/>
      <c r="AM422" s="8" t="s">
        <v>1477</v>
      </c>
      <c r="AN422" s="8" t="s">
        <v>4483</v>
      </c>
      <c r="AO422" s="9"/>
      <c r="AP422" s="9"/>
      <c r="AQ422" s="9"/>
      <c r="AR422" s="8" t="s">
        <v>1479</v>
      </c>
      <c r="AS422" s="8" t="s">
        <v>1480</v>
      </c>
      <c r="AT422" s="9"/>
      <c r="AU422" s="8" t="s">
        <v>4484</v>
      </c>
      <c r="AV422" s="8" t="s">
        <v>108</v>
      </c>
      <c r="AW422" s="9"/>
      <c r="AX422" s="9"/>
      <c r="AY422" s="8" t="s">
        <v>4350</v>
      </c>
      <c r="AZ422" s="8" t="b">
        <v>0</v>
      </c>
      <c r="BA422" s="8" t="s">
        <v>110</v>
      </c>
      <c r="BB422" s="9"/>
      <c r="BC422" s="9"/>
      <c r="BD422" s="9"/>
      <c r="BE422" s="8" t="s">
        <v>4485</v>
      </c>
      <c r="BF422" s="9"/>
      <c r="BG422" s="9"/>
      <c r="BH422" s="9"/>
      <c r="BI422" s="9"/>
      <c r="BJ422" s="9"/>
      <c r="BK422" s="9"/>
      <c r="BL422" s="9"/>
      <c r="BM422" s="9"/>
      <c r="BN422" s="9"/>
      <c r="BO422" s="9"/>
      <c r="BP422" s="9"/>
      <c r="BQ422" s="9"/>
      <c r="BR422" s="9"/>
      <c r="BS422" s="9"/>
      <c r="BT422" s="9"/>
      <c r="BU422" s="9"/>
      <c r="BV422" s="9"/>
      <c r="BW422" s="9"/>
      <c r="BX422" s="9"/>
      <c r="BY422" s="9"/>
      <c r="BZ422" s="9"/>
      <c r="CA422" s="9"/>
      <c r="CB422" s="8" t="s">
        <v>4486</v>
      </c>
      <c r="CC422" s="9"/>
      <c r="CD422" s="9"/>
      <c r="CE422" s="8" t="s">
        <v>366</v>
      </c>
      <c r="CF422" s="8" t="s">
        <v>4487</v>
      </c>
      <c r="CG422" s="9"/>
      <c r="CH422" s="9"/>
      <c r="CI422" s="9"/>
      <c r="CJ422" s="9"/>
      <c r="CK422" s="9"/>
      <c r="CL422" s="9"/>
      <c r="CM422" s="9"/>
      <c r="CN422" s="9"/>
      <c r="CO422" s="9"/>
      <c r="CP422" s="9"/>
    </row>
    <row r="423">
      <c r="A423" s="7" t="s">
        <v>4488</v>
      </c>
      <c r="B423" s="8" t="s">
        <v>4489</v>
      </c>
      <c r="C423" s="8" t="s">
        <v>4490</v>
      </c>
      <c r="D423" s="8" t="s">
        <v>94</v>
      </c>
      <c r="E423" s="8" t="s">
        <v>95</v>
      </c>
      <c r="F423" s="9"/>
      <c r="G423" s="8" t="s">
        <v>4491</v>
      </c>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t="str">
        <f t="shared" si="35"/>
        <v/>
      </c>
      <c r="AK423" s="8"/>
      <c r="AL423" s="8"/>
      <c r="AM423" s="8" t="s">
        <v>1477</v>
      </c>
      <c r="AN423" s="8" t="s">
        <v>4492</v>
      </c>
      <c r="AO423" s="9"/>
      <c r="AP423" s="9"/>
      <c r="AQ423" s="9"/>
      <c r="AR423" s="8" t="s">
        <v>1479</v>
      </c>
      <c r="AS423" s="8" t="s">
        <v>1480</v>
      </c>
      <c r="AT423" s="9"/>
      <c r="AU423" s="8" t="s">
        <v>4493</v>
      </c>
      <c r="AV423" s="8" t="s">
        <v>108</v>
      </c>
      <c r="AW423" s="9"/>
      <c r="AX423" s="9"/>
      <c r="AY423" s="8" t="s">
        <v>4350</v>
      </c>
      <c r="AZ423" s="8" t="b">
        <v>0</v>
      </c>
      <c r="BA423" s="8" t="s">
        <v>110</v>
      </c>
      <c r="BB423" s="9"/>
      <c r="BC423" s="9"/>
      <c r="BD423" s="9"/>
      <c r="BE423" s="8" t="s">
        <v>1882</v>
      </c>
      <c r="BF423" s="9"/>
      <c r="BG423" s="9"/>
      <c r="BH423" s="9"/>
      <c r="BI423" s="9"/>
      <c r="BJ423" s="9"/>
      <c r="BK423" s="9"/>
      <c r="BL423" s="9"/>
      <c r="BM423" s="9"/>
      <c r="BN423" s="9"/>
      <c r="BO423" s="9"/>
      <c r="BP423" s="9"/>
      <c r="BQ423" s="9"/>
      <c r="BR423" s="9"/>
      <c r="BS423" s="9"/>
      <c r="BT423" s="9"/>
      <c r="BU423" s="9"/>
      <c r="BV423" s="9"/>
      <c r="BW423" s="9"/>
      <c r="BX423" s="9"/>
      <c r="BY423" s="9"/>
      <c r="BZ423" s="9"/>
      <c r="CA423" s="9"/>
      <c r="CB423" s="8" t="s">
        <v>4494</v>
      </c>
      <c r="CC423" s="9"/>
      <c r="CD423" s="9"/>
      <c r="CE423" s="8" t="s">
        <v>197</v>
      </c>
      <c r="CF423" s="8" t="s">
        <v>4495</v>
      </c>
      <c r="CG423" s="9"/>
      <c r="CH423" s="9"/>
      <c r="CI423" s="9"/>
      <c r="CJ423" s="9"/>
      <c r="CK423" s="9"/>
      <c r="CL423" s="9"/>
      <c r="CM423" s="9"/>
      <c r="CN423" s="9"/>
      <c r="CO423" s="9"/>
      <c r="CP423" s="9"/>
    </row>
    <row r="424">
      <c r="A424" s="7" t="s">
        <v>4496</v>
      </c>
      <c r="B424" s="8" t="s">
        <v>4497</v>
      </c>
      <c r="C424" s="8" t="s">
        <v>4498</v>
      </c>
      <c r="D424" s="8" t="s">
        <v>94</v>
      </c>
      <c r="E424" s="8" t="s">
        <v>95</v>
      </c>
      <c r="F424" s="9"/>
      <c r="G424" s="8" t="s">
        <v>4499</v>
      </c>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t="str">
        <f t="shared" si="35"/>
        <v/>
      </c>
      <c r="AK424" s="8"/>
      <c r="AL424" s="8"/>
      <c r="AM424" s="8" t="s">
        <v>1477</v>
      </c>
      <c r="AN424" s="8" t="s">
        <v>4500</v>
      </c>
      <c r="AO424" s="9"/>
      <c r="AP424" s="9"/>
      <c r="AQ424" s="9"/>
      <c r="AR424" s="8" t="s">
        <v>1479</v>
      </c>
      <c r="AS424" s="8" t="s">
        <v>1480</v>
      </c>
      <c r="AT424" s="9"/>
      <c r="AU424" s="8" t="s">
        <v>4501</v>
      </c>
      <c r="AV424" s="9"/>
      <c r="AW424" s="9"/>
      <c r="AX424" s="9"/>
      <c r="AY424" s="8" t="s">
        <v>4350</v>
      </c>
      <c r="AZ424" s="8" t="b">
        <v>0</v>
      </c>
      <c r="BA424" s="8" t="s">
        <v>190</v>
      </c>
      <c r="BB424" s="8" t="s">
        <v>191</v>
      </c>
      <c r="BC424" s="8" t="s">
        <v>3363</v>
      </c>
      <c r="BD424" s="9"/>
      <c r="BE424" s="8" t="s">
        <v>1125</v>
      </c>
      <c r="BF424" s="9"/>
      <c r="BG424" s="9"/>
      <c r="BH424" s="9"/>
      <c r="BI424" s="9"/>
      <c r="BJ424" s="9"/>
      <c r="BK424" s="8" t="s">
        <v>1127</v>
      </c>
      <c r="BL424" s="9"/>
      <c r="BM424" s="9"/>
      <c r="BN424" s="9"/>
      <c r="BO424" s="9"/>
      <c r="BP424" s="9"/>
      <c r="BQ424" s="9"/>
      <c r="BR424" s="8" t="s">
        <v>193</v>
      </c>
      <c r="BS424" s="8" t="s">
        <v>194</v>
      </c>
      <c r="BT424" s="9"/>
      <c r="BU424" s="8" t="s">
        <v>4502</v>
      </c>
      <c r="BV424" s="9"/>
      <c r="BW424" s="9"/>
      <c r="BX424" s="9"/>
      <c r="BY424" s="9"/>
      <c r="BZ424" s="9"/>
      <c r="CA424" s="9"/>
      <c r="CB424" s="8" t="s">
        <v>4503</v>
      </c>
      <c r="CC424" s="9"/>
      <c r="CD424" s="9"/>
      <c r="CE424" s="8" t="s">
        <v>366</v>
      </c>
      <c r="CF424" s="8" t="s">
        <v>4504</v>
      </c>
      <c r="CG424" s="9"/>
      <c r="CH424" s="9"/>
      <c r="CI424" s="9"/>
      <c r="CJ424" s="9"/>
      <c r="CK424" s="9"/>
      <c r="CL424" s="9"/>
      <c r="CM424" s="9"/>
      <c r="CN424" s="9"/>
      <c r="CO424" s="9"/>
      <c r="CP424" s="9"/>
    </row>
    <row r="425">
      <c r="A425" s="7" t="s">
        <v>4505</v>
      </c>
      <c r="B425" s="8" t="s">
        <v>4506</v>
      </c>
      <c r="C425" s="8" t="s">
        <v>4507</v>
      </c>
      <c r="D425" s="8" t="s">
        <v>94</v>
      </c>
      <c r="E425" s="8" t="s">
        <v>95</v>
      </c>
      <c r="F425" s="9"/>
      <c r="G425" s="8" t="s">
        <v>4508</v>
      </c>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t="str">
        <f t="shared" si="35"/>
        <v/>
      </c>
      <c r="AK425" s="8"/>
      <c r="AL425" s="8"/>
      <c r="AM425" s="8" t="s">
        <v>1477</v>
      </c>
      <c r="AN425" s="8" t="s">
        <v>4509</v>
      </c>
      <c r="AO425" s="9"/>
      <c r="AP425" s="9"/>
      <c r="AQ425" s="9"/>
      <c r="AR425" s="8" t="s">
        <v>1479</v>
      </c>
      <c r="AS425" s="8" t="s">
        <v>1480</v>
      </c>
      <c r="AT425" s="9"/>
      <c r="AU425" s="8" t="s">
        <v>4510</v>
      </c>
      <c r="AV425" s="8" t="s">
        <v>108</v>
      </c>
      <c r="AW425" s="9"/>
      <c r="AX425" s="9"/>
      <c r="AY425" s="8" t="s">
        <v>4350</v>
      </c>
      <c r="AZ425" s="8" t="b">
        <v>0</v>
      </c>
      <c r="BA425" s="8" t="s">
        <v>110</v>
      </c>
      <c r="BB425" s="9"/>
      <c r="BC425" s="9"/>
      <c r="BD425" s="9"/>
      <c r="BE425" s="8" t="s">
        <v>2003</v>
      </c>
      <c r="BF425" s="9"/>
      <c r="BG425" s="9"/>
      <c r="BH425" s="9"/>
      <c r="BI425" s="9"/>
      <c r="BJ425" s="9"/>
      <c r="BK425" s="9"/>
      <c r="BL425" s="9"/>
      <c r="BM425" s="9"/>
      <c r="BN425" s="9"/>
      <c r="BO425" s="9"/>
      <c r="BP425" s="9"/>
      <c r="BQ425" s="9"/>
      <c r="BR425" s="9"/>
      <c r="BS425" s="9"/>
      <c r="BT425" s="9"/>
      <c r="BU425" s="9"/>
      <c r="BV425" s="9"/>
      <c r="BW425" s="9"/>
      <c r="BX425" s="9"/>
      <c r="BY425" s="9"/>
      <c r="BZ425" s="9"/>
      <c r="CA425" s="9"/>
      <c r="CB425" s="8" t="s">
        <v>4511</v>
      </c>
      <c r="CC425" s="9"/>
      <c r="CD425" s="9"/>
      <c r="CE425" s="8" t="s">
        <v>366</v>
      </c>
      <c r="CF425" s="8" t="s">
        <v>4512</v>
      </c>
      <c r="CG425" s="9"/>
      <c r="CH425" s="9"/>
      <c r="CI425" s="9"/>
      <c r="CJ425" s="9"/>
      <c r="CK425" s="9"/>
      <c r="CL425" s="9"/>
      <c r="CM425" s="9"/>
      <c r="CN425" s="9"/>
      <c r="CO425" s="9"/>
      <c r="CP425" s="9"/>
    </row>
    <row r="426">
      <c r="A426" s="7" t="s">
        <v>4513</v>
      </c>
      <c r="B426" s="8" t="s">
        <v>4514</v>
      </c>
      <c r="C426" s="8" t="s">
        <v>4515</v>
      </c>
      <c r="D426" s="8" t="s">
        <v>94</v>
      </c>
      <c r="E426" s="8" t="s">
        <v>95</v>
      </c>
      <c r="F426" s="9"/>
      <c r="G426" s="8" t="s">
        <v>4516</v>
      </c>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t="str">
        <f t="shared" si="35"/>
        <v/>
      </c>
      <c r="AK426" s="8"/>
      <c r="AL426" s="8"/>
      <c r="AM426" s="8" t="s">
        <v>1477</v>
      </c>
      <c r="AN426" s="8" t="s">
        <v>4517</v>
      </c>
      <c r="AO426" s="9"/>
      <c r="AP426" s="9"/>
      <c r="AQ426" s="9"/>
      <c r="AR426" s="8" t="s">
        <v>1479</v>
      </c>
      <c r="AS426" s="8" t="s">
        <v>1480</v>
      </c>
      <c r="AT426" s="9"/>
      <c r="AU426" s="8" t="s">
        <v>4518</v>
      </c>
      <c r="AV426" s="9"/>
      <c r="AW426" s="9"/>
      <c r="AX426" s="9"/>
      <c r="AY426" s="8" t="s">
        <v>4350</v>
      </c>
      <c r="AZ426" s="8" t="b">
        <v>0</v>
      </c>
      <c r="BA426" s="8" t="s">
        <v>190</v>
      </c>
      <c r="BB426" s="8" t="s">
        <v>191</v>
      </c>
      <c r="BC426" s="8" t="s">
        <v>3363</v>
      </c>
      <c r="BD426" s="9"/>
      <c r="BE426" s="8" t="s">
        <v>2881</v>
      </c>
      <c r="BF426" s="9"/>
      <c r="BG426" s="9"/>
      <c r="BH426" s="9"/>
      <c r="BI426" s="9"/>
      <c r="BJ426" s="9"/>
      <c r="BK426" s="8" t="s">
        <v>1138</v>
      </c>
      <c r="BL426" s="9"/>
      <c r="BM426" s="9"/>
      <c r="BN426" s="9"/>
      <c r="BO426" s="9"/>
      <c r="BP426" s="9"/>
      <c r="BQ426" s="9"/>
      <c r="BR426" s="8" t="s">
        <v>193</v>
      </c>
      <c r="BS426" s="8" t="s">
        <v>194</v>
      </c>
      <c r="BT426" s="9"/>
      <c r="BU426" s="9"/>
      <c r="BV426" s="8" t="s">
        <v>3870</v>
      </c>
      <c r="BW426" s="9"/>
      <c r="BX426" s="9"/>
      <c r="BY426" s="9"/>
      <c r="BZ426" s="9"/>
      <c r="CA426" s="9"/>
      <c r="CB426" s="8" t="s">
        <v>4519</v>
      </c>
      <c r="CC426" s="9"/>
      <c r="CD426" s="9"/>
      <c r="CE426" s="8" t="s">
        <v>115</v>
      </c>
      <c r="CF426" s="8" t="s">
        <v>4520</v>
      </c>
      <c r="CG426" s="9"/>
      <c r="CH426" s="9"/>
      <c r="CI426" s="9"/>
      <c r="CJ426" s="9"/>
      <c r="CK426" s="9"/>
      <c r="CL426" s="9"/>
      <c r="CM426" s="9"/>
      <c r="CN426" s="9"/>
      <c r="CO426" s="9"/>
      <c r="CP426" s="9"/>
    </row>
    <row r="427">
      <c r="A427" s="7" t="s">
        <v>4521</v>
      </c>
      <c r="B427" s="8" t="s">
        <v>4522</v>
      </c>
      <c r="C427" s="8" t="s">
        <v>4523</v>
      </c>
      <c r="D427" s="8" t="s">
        <v>94</v>
      </c>
      <c r="E427" s="8" t="s">
        <v>95</v>
      </c>
      <c r="F427" s="9"/>
      <c r="G427" s="8" t="s">
        <v>4524</v>
      </c>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t="str">
        <f t="shared" si="35"/>
        <v/>
      </c>
      <c r="AK427" s="8"/>
      <c r="AL427" s="8"/>
      <c r="AM427" s="8" t="s">
        <v>105</v>
      </c>
      <c r="AN427" s="8" t="s">
        <v>4525</v>
      </c>
      <c r="AO427" s="9"/>
      <c r="AP427" s="9"/>
      <c r="AQ427" s="9"/>
      <c r="AR427" s="9"/>
      <c r="AS427" s="9"/>
      <c r="AT427" s="9"/>
      <c r="AU427" s="8" t="s">
        <v>4526</v>
      </c>
      <c r="AV427" s="8" t="s">
        <v>108</v>
      </c>
      <c r="AW427" s="9"/>
      <c r="AX427" s="9"/>
      <c r="AY427" s="8" t="s">
        <v>4527</v>
      </c>
      <c r="AZ427" s="8" t="b">
        <v>0</v>
      </c>
      <c r="BA427" s="8" t="s">
        <v>110</v>
      </c>
      <c r="BB427" s="8" t="s">
        <v>773</v>
      </c>
      <c r="BC427" s="9"/>
      <c r="BD427" s="9"/>
      <c r="BE427" s="8" t="s">
        <v>4528</v>
      </c>
      <c r="BF427" s="9"/>
      <c r="BG427" s="9"/>
      <c r="BH427" s="9"/>
      <c r="BI427" s="9"/>
      <c r="BJ427" s="9"/>
      <c r="BK427" s="9"/>
      <c r="BL427" s="9"/>
      <c r="BM427" s="9"/>
      <c r="BN427" s="9"/>
      <c r="BO427" s="9"/>
      <c r="BP427" s="9"/>
      <c r="BQ427" s="9"/>
      <c r="BR427" s="9"/>
      <c r="BS427" s="9"/>
      <c r="BT427" s="9"/>
      <c r="BU427" s="9"/>
      <c r="BV427" s="9"/>
      <c r="BW427" s="9"/>
      <c r="BX427" s="9"/>
      <c r="BY427" s="9"/>
      <c r="BZ427" s="9"/>
      <c r="CA427" s="9"/>
      <c r="CB427" s="8" t="s">
        <v>4529</v>
      </c>
      <c r="CC427" s="9"/>
      <c r="CD427" s="9"/>
      <c r="CE427" s="8" t="s">
        <v>197</v>
      </c>
      <c r="CF427" s="8" t="s">
        <v>4530</v>
      </c>
      <c r="CG427" s="9"/>
      <c r="CH427" s="9"/>
      <c r="CI427" s="9"/>
      <c r="CJ427" s="9"/>
      <c r="CK427" s="9"/>
      <c r="CL427" s="9"/>
      <c r="CM427" s="9"/>
      <c r="CN427" s="9"/>
      <c r="CO427" s="9"/>
      <c r="CP427" s="9"/>
    </row>
    <row r="428">
      <c r="A428" s="7" t="s">
        <v>4531</v>
      </c>
      <c r="B428" s="8" t="s">
        <v>4532</v>
      </c>
      <c r="C428" s="8" t="s">
        <v>4533</v>
      </c>
      <c r="D428" s="8" t="s">
        <v>94</v>
      </c>
      <c r="E428" s="8" t="s">
        <v>95</v>
      </c>
      <c r="F428" s="9"/>
      <c r="G428" s="8" t="s">
        <v>4534</v>
      </c>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t="str">
        <f t="shared" si="35"/>
        <v/>
      </c>
      <c r="AK428" s="8"/>
      <c r="AL428" s="8"/>
      <c r="AM428" s="8" t="s">
        <v>105</v>
      </c>
      <c r="AN428" s="8" t="s">
        <v>3382</v>
      </c>
      <c r="AO428" s="9"/>
      <c r="AP428" s="8" t="s">
        <v>124</v>
      </c>
      <c r="AQ428" s="9"/>
      <c r="AR428" s="9"/>
      <c r="AS428" s="9"/>
      <c r="AT428" s="9"/>
      <c r="AU428" s="8" t="s">
        <v>4535</v>
      </c>
      <c r="AV428" s="8" t="s">
        <v>108</v>
      </c>
      <c r="AW428" s="9"/>
      <c r="AX428" s="9"/>
      <c r="AY428" s="8" t="s">
        <v>4527</v>
      </c>
      <c r="AZ428" s="8" t="b">
        <v>0</v>
      </c>
      <c r="BA428" s="8" t="s">
        <v>110</v>
      </c>
      <c r="BB428" s="8" t="s">
        <v>773</v>
      </c>
      <c r="BC428" s="9"/>
      <c r="BD428" s="9"/>
      <c r="BE428" s="8" t="s">
        <v>4536</v>
      </c>
      <c r="BF428" s="9"/>
      <c r="BG428" s="9"/>
      <c r="BH428" s="9"/>
      <c r="BI428" s="9"/>
      <c r="BJ428" s="9"/>
      <c r="BK428" s="9"/>
      <c r="BL428" s="9"/>
      <c r="BM428" s="9"/>
      <c r="BN428" s="9"/>
      <c r="BO428" s="9"/>
      <c r="BP428" s="9"/>
      <c r="BQ428" s="9"/>
      <c r="BR428" s="9"/>
      <c r="BS428" s="9"/>
      <c r="BT428" s="9"/>
      <c r="BU428" s="9"/>
      <c r="BV428" s="9"/>
      <c r="BW428" s="9"/>
      <c r="BX428" s="9"/>
      <c r="BY428" s="9"/>
      <c r="BZ428" s="9"/>
      <c r="CA428" s="9"/>
      <c r="CB428" s="8" t="s">
        <v>4537</v>
      </c>
      <c r="CC428" s="9"/>
      <c r="CD428" s="9"/>
      <c r="CE428" s="8" t="s">
        <v>115</v>
      </c>
      <c r="CF428" s="8" t="s">
        <v>4538</v>
      </c>
      <c r="CG428" s="9"/>
      <c r="CH428" s="9"/>
      <c r="CI428" s="9"/>
      <c r="CJ428" s="9"/>
      <c r="CK428" s="9"/>
      <c r="CL428" s="9"/>
      <c r="CM428" s="9"/>
      <c r="CN428" s="9"/>
      <c r="CO428" s="9"/>
      <c r="CP428" s="9"/>
    </row>
    <row r="429">
      <c r="A429" s="7" t="s">
        <v>4539</v>
      </c>
      <c r="B429" s="8" t="s">
        <v>4540</v>
      </c>
      <c r="C429" s="8" t="s">
        <v>4541</v>
      </c>
      <c r="D429" s="8" t="s">
        <v>94</v>
      </c>
      <c r="E429" s="8" t="s">
        <v>95</v>
      </c>
      <c r="F429" s="9"/>
      <c r="G429" s="8" t="s">
        <v>4542</v>
      </c>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t="str">
        <f t="shared" si="35"/>
        <v/>
      </c>
      <c r="AK429" s="8"/>
      <c r="AL429" s="8"/>
      <c r="AM429" s="8" t="s">
        <v>105</v>
      </c>
      <c r="AN429" s="8" t="s">
        <v>4543</v>
      </c>
      <c r="AO429" s="9"/>
      <c r="AP429" s="9"/>
      <c r="AQ429" s="9"/>
      <c r="AR429" s="9"/>
      <c r="AS429" s="9"/>
      <c r="AT429" s="9"/>
      <c r="AU429" s="8" t="s">
        <v>4544</v>
      </c>
      <c r="AV429" s="9"/>
      <c r="AW429" s="9"/>
      <c r="AX429" s="9"/>
      <c r="AY429" s="8" t="s">
        <v>4527</v>
      </c>
      <c r="AZ429" s="8" t="b">
        <v>0</v>
      </c>
      <c r="BA429" s="8" t="s">
        <v>190</v>
      </c>
      <c r="BB429" s="8" t="s">
        <v>191</v>
      </c>
      <c r="BC429" s="9"/>
      <c r="BD429" s="9"/>
      <c r="BE429" s="8" t="s">
        <v>4545</v>
      </c>
      <c r="BF429" s="9"/>
      <c r="BG429" s="9"/>
      <c r="BH429" s="9"/>
      <c r="BI429" s="9"/>
      <c r="BJ429" s="9"/>
      <c r="BK429" s="9"/>
      <c r="BL429" s="9"/>
      <c r="BM429" s="9"/>
      <c r="BN429" s="9"/>
      <c r="BO429" s="9"/>
      <c r="BP429" s="9"/>
      <c r="BQ429" s="9"/>
      <c r="BR429" s="8" t="s">
        <v>193</v>
      </c>
      <c r="BS429" s="8" t="s">
        <v>194</v>
      </c>
      <c r="BT429" s="9"/>
      <c r="BU429" s="9"/>
      <c r="BV429" s="9"/>
      <c r="BW429" s="9"/>
      <c r="BX429" s="9"/>
      <c r="BY429" s="9"/>
      <c r="BZ429" s="9"/>
      <c r="CA429" s="9"/>
      <c r="CB429" s="8" t="s">
        <v>4546</v>
      </c>
      <c r="CC429" s="9"/>
      <c r="CD429" s="9"/>
      <c r="CE429" s="8" t="s">
        <v>412</v>
      </c>
      <c r="CF429" s="8" t="s">
        <v>4547</v>
      </c>
      <c r="CG429" s="9"/>
      <c r="CH429" s="9"/>
      <c r="CI429" s="9"/>
      <c r="CJ429" s="9"/>
      <c r="CK429" s="9"/>
      <c r="CL429" s="9"/>
      <c r="CM429" s="9"/>
      <c r="CN429" s="9"/>
      <c r="CO429" s="9"/>
      <c r="CP429" s="9"/>
    </row>
    <row r="430">
      <c r="A430" s="7" t="s">
        <v>4548</v>
      </c>
      <c r="B430" s="8" t="s">
        <v>4549</v>
      </c>
      <c r="C430" s="8" t="s">
        <v>4550</v>
      </c>
      <c r="D430" s="8" t="s">
        <v>94</v>
      </c>
      <c r="E430" s="8" t="s">
        <v>95</v>
      </c>
      <c r="F430" s="9"/>
      <c r="G430" s="8" t="s">
        <v>4551</v>
      </c>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t="str">
        <f t="shared" si="35"/>
        <v/>
      </c>
      <c r="AK430" s="8"/>
      <c r="AL430" s="8"/>
      <c r="AM430" s="8" t="s">
        <v>105</v>
      </c>
      <c r="AN430" s="8" t="s">
        <v>4552</v>
      </c>
      <c r="AO430" s="9"/>
      <c r="AP430" s="9"/>
      <c r="AQ430" s="9"/>
      <c r="AR430" s="9"/>
      <c r="AS430" s="9"/>
      <c r="AT430" s="9"/>
      <c r="AU430" s="8" t="s">
        <v>4553</v>
      </c>
      <c r="AV430" s="9"/>
      <c r="AW430" s="9"/>
      <c r="AX430" s="9"/>
      <c r="AY430" s="8" t="s">
        <v>4527</v>
      </c>
      <c r="AZ430" s="8" t="b">
        <v>0</v>
      </c>
      <c r="BA430" s="8" t="s">
        <v>190</v>
      </c>
      <c r="BB430" s="8" t="s">
        <v>191</v>
      </c>
      <c r="BC430" s="9"/>
      <c r="BD430" s="9"/>
      <c r="BE430" s="8" t="s">
        <v>4554</v>
      </c>
      <c r="BF430" s="9"/>
      <c r="BG430" s="9"/>
      <c r="BH430" s="9"/>
      <c r="BI430" s="9"/>
      <c r="BJ430" s="9"/>
      <c r="BK430" s="9"/>
      <c r="BL430" s="9"/>
      <c r="BM430" s="9"/>
      <c r="BN430" s="9"/>
      <c r="BO430" s="9"/>
      <c r="BP430" s="9"/>
      <c r="BQ430" s="9"/>
      <c r="BR430" s="8" t="s">
        <v>193</v>
      </c>
      <c r="BS430" s="8" t="s">
        <v>194</v>
      </c>
      <c r="BT430" s="9"/>
      <c r="BU430" s="9"/>
      <c r="BV430" s="8" t="s">
        <v>4555</v>
      </c>
      <c r="BW430" s="9"/>
      <c r="BX430" s="9"/>
      <c r="BY430" s="9"/>
      <c r="BZ430" s="9"/>
      <c r="CA430" s="9"/>
      <c r="CB430" s="8" t="s">
        <v>4546</v>
      </c>
      <c r="CC430" s="9"/>
      <c r="CD430" s="9"/>
      <c r="CE430" s="8" t="s">
        <v>412</v>
      </c>
      <c r="CF430" s="8" t="s">
        <v>4556</v>
      </c>
      <c r="CG430" s="9"/>
      <c r="CH430" s="9"/>
      <c r="CI430" s="9"/>
      <c r="CJ430" s="9"/>
      <c r="CK430" s="9"/>
      <c r="CL430" s="9"/>
      <c r="CM430" s="9"/>
      <c r="CN430" s="9"/>
      <c r="CO430" s="9"/>
      <c r="CP430" s="9"/>
    </row>
    <row r="431">
      <c r="A431" s="7" t="s">
        <v>4557</v>
      </c>
      <c r="B431" s="8" t="s">
        <v>4558</v>
      </c>
      <c r="C431" s="8" t="s">
        <v>4559</v>
      </c>
      <c r="D431" s="8" t="s">
        <v>94</v>
      </c>
      <c r="E431" s="8" t="s">
        <v>95</v>
      </c>
      <c r="F431" s="9"/>
      <c r="G431" s="8" t="s">
        <v>4560</v>
      </c>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t="str">
        <f t="shared" si="35"/>
        <v/>
      </c>
      <c r="AK431" s="8"/>
      <c r="AL431" s="8"/>
      <c r="AM431" s="8" t="s">
        <v>591</v>
      </c>
      <c r="AN431" s="8" t="s">
        <v>4561</v>
      </c>
      <c r="AO431" s="9"/>
      <c r="AP431" s="8" t="s">
        <v>713</v>
      </c>
      <c r="AQ431" s="9"/>
      <c r="AR431" s="8" t="s">
        <v>592</v>
      </c>
      <c r="AS431" s="8" t="s">
        <v>593</v>
      </c>
      <c r="AT431" s="9"/>
      <c r="AU431" s="8" t="s">
        <v>4562</v>
      </c>
      <c r="AV431" s="8" t="s">
        <v>108</v>
      </c>
      <c r="AW431" s="9"/>
      <c r="AX431" s="9"/>
      <c r="AY431" s="8" t="s">
        <v>4527</v>
      </c>
      <c r="AZ431" s="8" t="b">
        <v>0</v>
      </c>
      <c r="BA431" s="8" t="s">
        <v>110</v>
      </c>
      <c r="BB431" s="8" t="s">
        <v>773</v>
      </c>
      <c r="BC431" s="9"/>
      <c r="BD431" s="9"/>
      <c r="BE431" s="8" t="s">
        <v>4563</v>
      </c>
      <c r="BF431" s="9"/>
      <c r="BG431" s="9"/>
      <c r="BH431" s="9"/>
      <c r="BI431" s="9"/>
      <c r="BJ431" s="9"/>
      <c r="BK431" s="9"/>
      <c r="BL431" s="9"/>
      <c r="BM431" s="9"/>
      <c r="BN431" s="9"/>
      <c r="BO431" s="9"/>
      <c r="BP431" s="9"/>
      <c r="BQ431" s="9"/>
      <c r="BR431" s="9"/>
      <c r="BS431" s="9"/>
      <c r="BT431" s="9"/>
      <c r="BU431" s="9"/>
      <c r="BV431" s="9"/>
      <c r="BW431" s="9"/>
      <c r="BX431" s="9"/>
      <c r="BY431" s="9"/>
      <c r="BZ431" s="9"/>
      <c r="CA431" s="9"/>
      <c r="CB431" s="8" t="s">
        <v>4564</v>
      </c>
      <c r="CC431" s="9"/>
      <c r="CD431" s="9"/>
      <c r="CE431" s="8" t="s">
        <v>197</v>
      </c>
      <c r="CF431" s="8" t="s">
        <v>4565</v>
      </c>
      <c r="CG431" s="9"/>
      <c r="CH431" s="9"/>
      <c r="CI431" s="9"/>
      <c r="CJ431" s="9"/>
      <c r="CK431" s="9"/>
      <c r="CL431" s="9"/>
      <c r="CM431" s="9"/>
      <c r="CN431" s="9"/>
      <c r="CO431" s="9"/>
      <c r="CP431" s="9"/>
    </row>
    <row r="432">
      <c r="A432" s="7" t="s">
        <v>4566</v>
      </c>
      <c r="B432" s="8" t="s">
        <v>4567</v>
      </c>
      <c r="C432" s="8" t="s">
        <v>4568</v>
      </c>
      <c r="D432" s="8" t="s">
        <v>94</v>
      </c>
      <c r="E432" s="8" t="s">
        <v>95</v>
      </c>
      <c r="F432" s="9"/>
      <c r="G432" s="8" t="s">
        <v>4569</v>
      </c>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t="str">
        <f t="shared" si="35"/>
        <v/>
      </c>
      <c r="AK432" s="8"/>
      <c r="AL432" s="8"/>
      <c r="AM432" s="8" t="s">
        <v>591</v>
      </c>
      <c r="AN432" s="8" t="s">
        <v>4164</v>
      </c>
      <c r="AO432" s="9"/>
      <c r="AP432" s="8" t="s">
        <v>703</v>
      </c>
      <c r="AQ432" s="9"/>
      <c r="AR432" s="8" t="s">
        <v>592</v>
      </c>
      <c r="AS432" s="8" t="s">
        <v>593</v>
      </c>
      <c r="AT432" s="9"/>
      <c r="AU432" s="8" t="s">
        <v>4570</v>
      </c>
      <c r="AV432" s="9"/>
      <c r="AW432" s="9"/>
      <c r="AX432" s="9"/>
      <c r="AY432" s="8" t="s">
        <v>4527</v>
      </c>
      <c r="AZ432" s="8" t="b">
        <v>0</v>
      </c>
      <c r="BA432" s="8" t="s">
        <v>190</v>
      </c>
      <c r="BB432" s="8" t="s">
        <v>191</v>
      </c>
      <c r="BC432" s="9"/>
      <c r="BD432" s="9"/>
      <c r="BE432" s="8" t="s">
        <v>4571</v>
      </c>
      <c r="BF432" s="9"/>
      <c r="BG432" s="9"/>
      <c r="BH432" s="9"/>
      <c r="BI432" s="9"/>
      <c r="BJ432" s="9"/>
      <c r="BK432" s="9"/>
      <c r="BL432" s="9"/>
      <c r="BM432" s="9"/>
      <c r="BN432" s="9"/>
      <c r="BO432" s="9"/>
      <c r="BP432" s="9"/>
      <c r="BQ432" s="9"/>
      <c r="BR432" s="8" t="s">
        <v>193</v>
      </c>
      <c r="BS432" s="8" t="s">
        <v>194</v>
      </c>
      <c r="BT432" s="8" t="s">
        <v>4572</v>
      </c>
      <c r="BU432" s="9"/>
      <c r="BV432" s="8" t="s">
        <v>4573</v>
      </c>
      <c r="BW432" s="9"/>
      <c r="BX432" s="9"/>
      <c r="BY432" s="9"/>
      <c r="BZ432" s="9"/>
      <c r="CA432" s="9"/>
      <c r="CB432" s="8" t="s">
        <v>4574</v>
      </c>
      <c r="CC432" s="9"/>
      <c r="CD432" s="9"/>
      <c r="CE432" s="8" t="s">
        <v>412</v>
      </c>
      <c r="CF432" s="8" t="s">
        <v>4575</v>
      </c>
      <c r="CG432" s="9"/>
      <c r="CH432" s="9"/>
      <c r="CI432" s="9"/>
      <c r="CJ432" s="9"/>
      <c r="CK432" s="9"/>
      <c r="CL432" s="9"/>
      <c r="CM432" s="9"/>
      <c r="CN432" s="9"/>
      <c r="CO432" s="9"/>
      <c r="CP432" s="9"/>
    </row>
    <row r="433">
      <c r="A433" s="7" t="s">
        <v>4576</v>
      </c>
      <c r="B433" s="8" t="s">
        <v>4577</v>
      </c>
      <c r="C433" s="8" t="s">
        <v>4578</v>
      </c>
      <c r="D433" s="8" t="s">
        <v>94</v>
      </c>
      <c r="E433" s="8" t="s">
        <v>95</v>
      </c>
      <c r="F433" s="9"/>
      <c r="G433" s="8" t="s">
        <v>4579</v>
      </c>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t="str">
        <f t="shared" si="35"/>
        <v/>
      </c>
      <c r="AK433" s="8"/>
      <c r="AL433" s="8"/>
      <c r="AM433" s="8" t="s">
        <v>591</v>
      </c>
      <c r="AN433" s="8" t="s">
        <v>4580</v>
      </c>
      <c r="AO433" s="9"/>
      <c r="AP433" s="9"/>
      <c r="AQ433" s="9"/>
      <c r="AR433" s="8" t="s">
        <v>592</v>
      </c>
      <c r="AS433" s="8" t="s">
        <v>593</v>
      </c>
      <c r="AT433" s="9"/>
      <c r="AU433" s="8" t="s">
        <v>4581</v>
      </c>
      <c r="AV433" s="9"/>
      <c r="AW433" s="9"/>
      <c r="AX433" s="9"/>
      <c r="AY433" s="8" t="s">
        <v>4527</v>
      </c>
      <c r="AZ433" s="8" t="b">
        <v>0</v>
      </c>
      <c r="BA433" s="8" t="s">
        <v>190</v>
      </c>
      <c r="BB433" s="8" t="s">
        <v>191</v>
      </c>
      <c r="BC433" s="9"/>
      <c r="BD433" s="9"/>
      <c r="BE433" s="8" t="s">
        <v>4582</v>
      </c>
      <c r="BF433" s="9"/>
      <c r="BG433" s="9"/>
      <c r="BH433" s="9"/>
      <c r="BI433" s="9"/>
      <c r="BJ433" s="9"/>
      <c r="BK433" s="9"/>
      <c r="BL433" s="9"/>
      <c r="BM433" s="9"/>
      <c r="BN433" s="9"/>
      <c r="BO433" s="9"/>
      <c r="BP433" s="9"/>
      <c r="BQ433" s="9"/>
      <c r="BR433" s="8" t="s">
        <v>193</v>
      </c>
      <c r="BS433" s="8" t="s">
        <v>194</v>
      </c>
      <c r="BT433" s="9"/>
      <c r="BU433" s="9"/>
      <c r="BV433" s="9"/>
      <c r="BW433" s="9"/>
      <c r="BX433" s="9"/>
      <c r="BY433" s="9"/>
      <c r="BZ433" s="9"/>
      <c r="CA433" s="9"/>
      <c r="CB433" s="8" t="s">
        <v>4583</v>
      </c>
      <c r="CC433" s="9"/>
      <c r="CD433" s="9"/>
      <c r="CE433" s="8" t="s">
        <v>197</v>
      </c>
      <c r="CF433" s="8" t="s">
        <v>4584</v>
      </c>
      <c r="CG433" s="9"/>
      <c r="CH433" s="9"/>
      <c r="CI433" s="9"/>
      <c r="CJ433" s="9"/>
      <c r="CK433" s="9"/>
      <c r="CL433" s="9"/>
      <c r="CM433" s="9"/>
      <c r="CN433" s="9"/>
      <c r="CO433" s="9"/>
      <c r="CP433" s="9"/>
    </row>
    <row r="434">
      <c r="A434" s="7" t="s">
        <v>4585</v>
      </c>
      <c r="B434" s="8" t="s">
        <v>4586</v>
      </c>
      <c r="C434" s="8" t="s">
        <v>4587</v>
      </c>
      <c r="D434" s="8" t="s">
        <v>94</v>
      </c>
      <c r="E434" s="8" t="s">
        <v>95</v>
      </c>
      <c r="F434" s="9"/>
      <c r="G434" s="8" t="s">
        <v>4588</v>
      </c>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t="str">
        <f t="shared" si="35"/>
        <v/>
      </c>
      <c r="AK434" s="8"/>
      <c r="AL434" s="8"/>
      <c r="AM434" s="8" t="s">
        <v>591</v>
      </c>
      <c r="AN434" s="8" t="s">
        <v>2326</v>
      </c>
      <c r="AO434" s="9"/>
      <c r="AP434" s="8" t="s">
        <v>713</v>
      </c>
      <c r="AQ434" s="9"/>
      <c r="AR434" s="8" t="s">
        <v>592</v>
      </c>
      <c r="AS434" s="8" t="s">
        <v>593</v>
      </c>
      <c r="AT434" s="9"/>
      <c r="AU434" s="8" t="s">
        <v>4589</v>
      </c>
      <c r="AV434" s="8" t="s">
        <v>108</v>
      </c>
      <c r="AW434" s="9"/>
      <c r="AX434" s="9"/>
      <c r="AY434" s="8" t="s">
        <v>4527</v>
      </c>
      <c r="AZ434" s="8" t="b">
        <v>0</v>
      </c>
      <c r="BA434" s="8" t="s">
        <v>110</v>
      </c>
      <c r="BB434" s="9"/>
      <c r="BC434" s="9"/>
      <c r="BD434" s="9"/>
      <c r="BE434" s="8" t="s">
        <v>4590</v>
      </c>
      <c r="BF434" s="8" t="s">
        <v>94</v>
      </c>
      <c r="BG434" s="8" t="s">
        <v>95</v>
      </c>
      <c r="BH434" s="8" t="s">
        <v>4591</v>
      </c>
      <c r="BI434" s="9"/>
      <c r="BJ434" s="9"/>
      <c r="BK434" s="9"/>
      <c r="BL434" s="9"/>
      <c r="BM434" s="9"/>
      <c r="BN434" s="9"/>
      <c r="BO434" s="9"/>
      <c r="BP434" s="9"/>
      <c r="BQ434" s="9"/>
      <c r="BR434" s="9"/>
      <c r="BS434" s="9"/>
      <c r="BT434" s="9"/>
      <c r="BU434" s="9"/>
      <c r="BV434" s="9"/>
      <c r="BW434" s="9"/>
      <c r="BX434" s="9"/>
      <c r="BY434" s="9"/>
      <c r="BZ434" s="9"/>
      <c r="CA434" s="9"/>
      <c r="CB434" s="8" t="s">
        <v>4592</v>
      </c>
      <c r="CC434" s="9"/>
      <c r="CD434" s="9"/>
      <c r="CE434" s="8" t="s">
        <v>450</v>
      </c>
      <c r="CF434" s="8" t="s">
        <v>4593</v>
      </c>
      <c r="CG434" s="9"/>
      <c r="CH434" s="9"/>
      <c r="CI434" s="9"/>
      <c r="CJ434" s="9"/>
      <c r="CK434" s="9"/>
      <c r="CL434" s="9"/>
      <c r="CM434" s="9"/>
      <c r="CN434" s="9"/>
      <c r="CO434" s="9"/>
      <c r="CP434" s="9"/>
    </row>
    <row r="435">
      <c r="A435" s="7" t="s">
        <v>4594</v>
      </c>
      <c r="B435" s="8" t="s">
        <v>4595</v>
      </c>
      <c r="C435" s="8" t="s">
        <v>4596</v>
      </c>
      <c r="D435" s="8" t="s">
        <v>94</v>
      </c>
      <c r="E435" s="8" t="s">
        <v>95</v>
      </c>
      <c r="F435" s="9"/>
      <c r="G435" s="8" t="s">
        <v>4597</v>
      </c>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t="str">
        <f t="shared" si="35"/>
        <v/>
      </c>
      <c r="AK435" s="8"/>
      <c r="AL435" s="8"/>
      <c r="AM435" s="8" t="s">
        <v>1477</v>
      </c>
      <c r="AN435" s="8" t="s">
        <v>4598</v>
      </c>
      <c r="AO435" s="9"/>
      <c r="AP435" s="9"/>
      <c r="AQ435" s="9"/>
      <c r="AR435" s="8" t="s">
        <v>1479</v>
      </c>
      <c r="AS435" s="8" t="s">
        <v>1480</v>
      </c>
      <c r="AT435" s="9"/>
      <c r="AU435" s="8" t="s">
        <v>4599</v>
      </c>
      <c r="AV435" s="9"/>
      <c r="AW435" s="9"/>
      <c r="AX435" s="9"/>
      <c r="AY435" s="8" t="s">
        <v>4527</v>
      </c>
      <c r="AZ435" s="8" t="b">
        <v>0</v>
      </c>
      <c r="BA435" s="8" t="s">
        <v>190</v>
      </c>
      <c r="BB435" s="8" t="s">
        <v>191</v>
      </c>
      <c r="BC435" s="9"/>
      <c r="BD435" s="9"/>
      <c r="BE435" s="8" t="s">
        <v>4600</v>
      </c>
      <c r="BF435" s="9"/>
      <c r="BG435" s="9"/>
      <c r="BH435" s="9"/>
      <c r="BI435" s="9"/>
      <c r="BJ435" s="9"/>
      <c r="BK435" s="9"/>
      <c r="BL435" s="9"/>
      <c r="BM435" s="9"/>
      <c r="BN435" s="9"/>
      <c r="BO435" s="9"/>
      <c r="BP435" s="9"/>
      <c r="BQ435" s="9"/>
      <c r="BR435" s="8" t="s">
        <v>193</v>
      </c>
      <c r="BS435" s="8" t="s">
        <v>194</v>
      </c>
      <c r="BT435" s="9"/>
      <c r="BU435" s="9"/>
      <c r="BV435" s="8" t="s">
        <v>4601</v>
      </c>
      <c r="BW435" s="9"/>
      <c r="BX435" s="9"/>
      <c r="BY435" s="9"/>
      <c r="BZ435" s="9"/>
      <c r="CA435" s="9"/>
      <c r="CB435" s="8" t="s">
        <v>4602</v>
      </c>
      <c r="CC435" s="9"/>
      <c r="CD435" s="9"/>
      <c r="CE435" s="8" t="s">
        <v>450</v>
      </c>
      <c r="CF435" s="8" t="s">
        <v>4603</v>
      </c>
      <c r="CG435" s="9"/>
      <c r="CH435" s="9"/>
      <c r="CI435" s="9"/>
      <c r="CJ435" s="9"/>
      <c r="CK435" s="9"/>
      <c r="CL435" s="9"/>
      <c r="CM435" s="9"/>
      <c r="CN435" s="9"/>
      <c r="CO435" s="9"/>
      <c r="CP435" s="9"/>
    </row>
    <row r="436">
      <c r="A436" s="7" t="s">
        <v>4604</v>
      </c>
      <c r="B436" s="8" t="s">
        <v>4605</v>
      </c>
      <c r="C436" s="8" t="s">
        <v>4606</v>
      </c>
      <c r="D436" s="8" t="s">
        <v>94</v>
      </c>
      <c r="E436" s="8" t="s">
        <v>95</v>
      </c>
      <c r="F436" s="9"/>
      <c r="G436" s="8" t="s">
        <v>4607</v>
      </c>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t="str">
        <f t="shared" si="35"/>
        <v/>
      </c>
      <c r="AK436" s="8"/>
      <c r="AL436" s="8"/>
      <c r="AM436" s="8" t="s">
        <v>1477</v>
      </c>
      <c r="AN436" s="8" t="s">
        <v>4608</v>
      </c>
      <c r="AO436" s="9"/>
      <c r="AP436" s="9"/>
      <c r="AQ436" s="9"/>
      <c r="AR436" s="8" t="s">
        <v>1479</v>
      </c>
      <c r="AS436" s="8" t="s">
        <v>1480</v>
      </c>
      <c r="AT436" s="9"/>
      <c r="AU436" s="8" t="s">
        <v>4609</v>
      </c>
      <c r="AV436" s="8" t="s">
        <v>108</v>
      </c>
      <c r="AW436" s="9"/>
      <c r="AX436" s="9"/>
      <c r="AY436" s="8" t="s">
        <v>4527</v>
      </c>
      <c r="AZ436" s="8" t="b">
        <v>0</v>
      </c>
      <c r="BA436" s="8" t="s">
        <v>110</v>
      </c>
      <c r="BB436" s="9"/>
      <c r="BC436" s="9"/>
      <c r="BD436" s="9"/>
      <c r="BE436" s="8" t="s">
        <v>3800</v>
      </c>
      <c r="BF436" s="9"/>
      <c r="BG436" s="9"/>
      <c r="BH436" s="9"/>
      <c r="BI436" s="9"/>
      <c r="BJ436" s="9"/>
      <c r="BK436" s="9"/>
      <c r="BL436" s="9"/>
      <c r="BM436" s="9"/>
      <c r="BN436" s="9"/>
      <c r="BO436" s="9"/>
      <c r="BP436" s="9"/>
      <c r="BQ436" s="9"/>
      <c r="BR436" s="9"/>
      <c r="BS436" s="9"/>
      <c r="BT436" s="9"/>
      <c r="BU436" s="9"/>
      <c r="BV436" s="9"/>
      <c r="BW436" s="9"/>
      <c r="BX436" s="9"/>
      <c r="BY436" s="9"/>
      <c r="BZ436" s="9"/>
      <c r="CA436" s="9"/>
      <c r="CB436" s="8" t="s">
        <v>4602</v>
      </c>
      <c r="CC436" s="9"/>
      <c r="CD436" s="9"/>
      <c r="CE436" s="8" t="s">
        <v>115</v>
      </c>
      <c r="CF436" s="8" t="s">
        <v>4610</v>
      </c>
      <c r="CG436" s="9"/>
      <c r="CH436" s="9"/>
      <c r="CI436" s="9"/>
      <c r="CJ436" s="9"/>
      <c r="CK436" s="9"/>
      <c r="CL436" s="9"/>
      <c r="CM436" s="9"/>
      <c r="CN436" s="9"/>
      <c r="CO436" s="9"/>
      <c r="CP436" s="9"/>
    </row>
    <row r="437">
      <c r="A437" s="7" t="s">
        <v>4611</v>
      </c>
      <c r="B437" s="8" t="s">
        <v>4612</v>
      </c>
      <c r="C437" s="8" t="s">
        <v>4613</v>
      </c>
      <c r="D437" s="8" t="s">
        <v>94</v>
      </c>
      <c r="E437" s="8" t="s">
        <v>95</v>
      </c>
      <c r="F437" s="9"/>
      <c r="G437" s="8" t="s">
        <v>4614</v>
      </c>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t="str">
        <f t="shared" si="35"/>
        <v/>
      </c>
      <c r="AK437" s="8"/>
      <c r="AL437" s="8"/>
      <c r="AM437" s="8" t="s">
        <v>1477</v>
      </c>
      <c r="AN437" s="8" t="s">
        <v>4615</v>
      </c>
      <c r="AO437" s="9"/>
      <c r="AP437" s="9"/>
      <c r="AQ437" s="9"/>
      <c r="AR437" s="8" t="s">
        <v>1479</v>
      </c>
      <c r="AS437" s="8" t="s">
        <v>1480</v>
      </c>
      <c r="AT437" s="9"/>
      <c r="AU437" s="8" t="s">
        <v>4616</v>
      </c>
      <c r="AV437" s="9"/>
      <c r="AW437" s="9"/>
      <c r="AX437" s="9"/>
      <c r="AY437" s="8" t="s">
        <v>4527</v>
      </c>
      <c r="AZ437" s="8" t="b">
        <v>0</v>
      </c>
      <c r="BA437" s="8" t="s">
        <v>190</v>
      </c>
      <c r="BB437" s="8" t="s">
        <v>191</v>
      </c>
      <c r="BC437" s="9"/>
      <c r="BD437" s="9"/>
      <c r="BE437" s="8" t="s">
        <v>4617</v>
      </c>
      <c r="BF437" s="9"/>
      <c r="BG437" s="9"/>
      <c r="BH437" s="9"/>
      <c r="BI437" s="9"/>
      <c r="BJ437" s="9"/>
      <c r="BK437" s="9"/>
      <c r="BL437" s="9"/>
      <c r="BM437" s="9"/>
      <c r="BN437" s="9"/>
      <c r="BO437" s="9"/>
      <c r="BP437" s="9"/>
      <c r="BQ437" s="9"/>
      <c r="BR437" s="8" t="s">
        <v>193</v>
      </c>
      <c r="BS437" s="8" t="s">
        <v>194</v>
      </c>
      <c r="BT437" s="9"/>
      <c r="BU437" s="9"/>
      <c r="BV437" s="8" t="s">
        <v>4286</v>
      </c>
      <c r="BW437" s="9"/>
      <c r="BX437" s="9"/>
      <c r="BY437" s="9"/>
      <c r="BZ437" s="9"/>
      <c r="CA437" s="9"/>
      <c r="CB437" s="8" t="s">
        <v>4602</v>
      </c>
      <c r="CC437" s="9"/>
      <c r="CD437" s="9"/>
      <c r="CE437" s="8" t="s">
        <v>903</v>
      </c>
      <c r="CF437" s="8" t="s">
        <v>4618</v>
      </c>
      <c r="CG437" s="9"/>
      <c r="CH437" s="9"/>
      <c r="CI437" s="9"/>
      <c r="CJ437" s="9"/>
      <c r="CK437" s="9"/>
      <c r="CL437" s="9"/>
      <c r="CM437" s="9"/>
      <c r="CN437" s="9"/>
      <c r="CO437" s="9"/>
      <c r="CP437" s="9"/>
    </row>
    <row r="438">
      <c r="A438" s="7" t="s">
        <v>4619</v>
      </c>
      <c r="B438" s="8" t="s">
        <v>4620</v>
      </c>
      <c r="C438" s="8" t="s">
        <v>4621</v>
      </c>
      <c r="D438" s="8" t="s">
        <v>94</v>
      </c>
      <c r="E438" s="8" t="s">
        <v>95</v>
      </c>
      <c r="F438" s="9"/>
      <c r="G438" s="8" t="s">
        <v>4622</v>
      </c>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t="str">
        <f t="shared" si="35"/>
        <v/>
      </c>
      <c r="AK438" s="8"/>
      <c r="AL438" s="8"/>
      <c r="AM438" s="8" t="s">
        <v>1477</v>
      </c>
      <c r="AN438" s="8" t="s">
        <v>4623</v>
      </c>
      <c r="AO438" s="9"/>
      <c r="AP438" s="9"/>
      <c r="AQ438" s="9"/>
      <c r="AR438" s="8" t="s">
        <v>1479</v>
      </c>
      <c r="AS438" s="8" t="s">
        <v>1480</v>
      </c>
      <c r="AT438" s="9"/>
      <c r="AU438" s="8" t="s">
        <v>4624</v>
      </c>
      <c r="AV438" s="8" t="s">
        <v>108</v>
      </c>
      <c r="AW438" s="9"/>
      <c r="AX438" s="9"/>
      <c r="AY438" s="8" t="s">
        <v>4527</v>
      </c>
      <c r="AZ438" s="8" t="b">
        <v>0</v>
      </c>
      <c r="BA438" s="8" t="s">
        <v>110</v>
      </c>
      <c r="BB438" s="9"/>
      <c r="BC438" s="9"/>
      <c r="BD438" s="9"/>
      <c r="BE438" s="8" t="s">
        <v>2362</v>
      </c>
      <c r="BF438" s="9"/>
      <c r="BG438" s="9"/>
      <c r="BH438" s="9"/>
      <c r="BI438" s="9"/>
      <c r="BJ438" s="9"/>
      <c r="BK438" s="9"/>
      <c r="BL438" s="9"/>
      <c r="BM438" s="9"/>
      <c r="BN438" s="9"/>
      <c r="BO438" s="9"/>
      <c r="BP438" s="9"/>
      <c r="BQ438" s="9"/>
      <c r="BR438" s="9"/>
      <c r="BS438" s="9"/>
      <c r="BT438" s="9"/>
      <c r="BU438" s="9"/>
      <c r="BV438" s="9"/>
      <c r="BW438" s="9"/>
      <c r="BX438" s="9"/>
      <c r="BY438" s="9"/>
      <c r="BZ438" s="9"/>
      <c r="CA438" s="9"/>
      <c r="CB438" s="8" t="s">
        <v>665</v>
      </c>
      <c r="CC438" s="9"/>
      <c r="CD438" s="9"/>
      <c r="CE438" s="8" t="s">
        <v>115</v>
      </c>
      <c r="CF438" s="8" t="s">
        <v>4625</v>
      </c>
      <c r="CG438" s="9"/>
      <c r="CH438" s="9"/>
      <c r="CI438" s="9"/>
      <c r="CJ438" s="9"/>
      <c r="CK438" s="9"/>
      <c r="CL438" s="9"/>
      <c r="CM438" s="9"/>
      <c r="CN438" s="9"/>
      <c r="CO438" s="9"/>
      <c r="CP438" s="9"/>
    </row>
    <row r="439">
      <c r="A439" s="7" t="s">
        <v>4626</v>
      </c>
      <c r="B439" s="8" t="s">
        <v>4627</v>
      </c>
      <c r="C439" s="8" t="s">
        <v>4628</v>
      </c>
      <c r="D439" s="8" t="s">
        <v>94</v>
      </c>
      <c r="E439" s="8" t="s">
        <v>95</v>
      </c>
      <c r="F439" s="9"/>
      <c r="G439" s="8" t="s">
        <v>4629</v>
      </c>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t="str">
        <f t="shared" si="35"/>
        <v/>
      </c>
      <c r="AK439" s="8"/>
      <c r="AL439" s="8"/>
      <c r="AM439" s="8" t="s">
        <v>1477</v>
      </c>
      <c r="AN439" s="8" t="s">
        <v>4630</v>
      </c>
      <c r="AO439" s="9"/>
      <c r="AP439" s="9"/>
      <c r="AQ439" s="9"/>
      <c r="AR439" s="8" t="s">
        <v>1479</v>
      </c>
      <c r="AS439" s="8" t="s">
        <v>1480</v>
      </c>
      <c r="AT439" s="9"/>
      <c r="AU439" s="8" t="s">
        <v>4631</v>
      </c>
      <c r="AV439" s="9"/>
      <c r="AW439" s="9"/>
      <c r="AX439" s="9"/>
      <c r="AY439" s="8" t="s">
        <v>4527</v>
      </c>
      <c r="AZ439" s="8" t="b">
        <v>0</v>
      </c>
      <c r="BA439" s="8" t="s">
        <v>190</v>
      </c>
      <c r="BB439" s="8" t="s">
        <v>191</v>
      </c>
      <c r="BC439" s="9"/>
      <c r="BD439" s="9"/>
      <c r="BE439" s="8" t="s">
        <v>4632</v>
      </c>
      <c r="BF439" s="9"/>
      <c r="BG439" s="9"/>
      <c r="BH439" s="9"/>
      <c r="BI439" s="9"/>
      <c r="BJ439" s="9"/>
      <c r="BK439" s="9"/>
      <c r="BL439" s="9"/>
      <c r="BM439" s="9"/>
      <c r="BN439" s="9"/>
      <c r="BO439" s="9"/>
      <c r="BP439" s="9"/>
      <c r="BQ439" s="9"/>
      <c r="BR439" s="8" t="s">
        <v>193</v>
      </c>
      <c r="BS439" s="8" t="s">
        <v>2456</v>
      </c>
      <c r="BT439" s="9"/>
      <c r="BU439" s="9"/>
      <c r="BV439" s="8" t="s">
        <v>4633</v>
      </c>
      <c r="BW439" s="9"/>
      <c r="BX439" s="9"/>
      <c r="BY439" s="9"/>
      <c r="BZ439" s="9"/>
      <c r="CA439" s="9"/>
      <c r="CB439" s="8" t="s">
        <v>665</v>
      </c>
      <c r="CC439" s="9"/>
      <c r="CD439" s="9"/>
      <c r="CE439" s="8" t="s">
        <v>197</v>
      </c>
      <c r="CF439" s="8" t="s">
        <v>4634</v>
      </c>
      <c r="CG439" s="9"/>
      <c r="CH439" s="9"/>
      <c r="CI439" s="9"/>
      <c r="CJ439" s="9"/>
      <c r="CK439" s="9"/>
      <c r="CL439" s="9"/>
      <c r="CM439" s="9"/>
      <c r="CN439" s="9"/>
      <c r="CO439" s="9"/>
      <c r="CP439" s="9"/>
    </row>
    <row r="440">
      <c r="A440" s="7" t="s">
        <v>4635</v>
      </c>
      <c r="B440" s="8" t="s">
        <v>4636</v>
      </c>
      <c r="C440" s="8" t="s">
        <v>4637</v>
      </c>
      <c r="D440" s="8" t="s">
        <v>94</v>
      </c>
      <c r="E440" s="8" t="s">
        <v>95</v>
      </c>
      <c r="F440" s="9"/>
      <c r="G440" s="8" t="s">
        <v>4638</v>
      </c>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t="str">
        <f t="shared" si="35"/>
        <v/>
      </c>
      <c r="AK440" s="8"/>
      <c r="AL440" s="8"/>
      <c r="AM440" s="8" t="s">
        <v>1477</v>
      </c>
      <c r="AN440" s="8" t="s">
        <v>4639</v>
      </c>
      <c r="AO440" s="9"/>
      <c r="AP440" s="9"/>
      <c r="AQ440" s="9"/>
      <c r="AR440" s="8" t="s">
        <v>1479</v>
      </c>
      <c r="AS440" s="8" t="s">
        <v>1480</v>
      </c>
      <c r="AT440" s="9"/>
      <c r="AU440" s="8" t="s">
        <v>4640</v>
      </c>
      <c r="AV440" s="8" t="s">
        <v>108</v>
      </c>
      <c r="AW440" s="9"/>
      <c r="AX440" s="9"/>
      <c r="AY440" s="8" t="s">
        <v>4527</v>
      </c>
      <c r="AZ440" s="8" t="b">
        <v>0</v>
      </c>
      <c r="BA440" s="8" t="s">
        <v>110</v>
      </c>
      <c r="BB440" s="9"/>
      <c r="BC440" s="9"/>
      <c r="BD440" s="9"/>
      <c r="BE440" s="8" t="s">
        <v>2362</v>
      </c>
      <c r="BF440" s="9"/>
      <c r="BG440" s="9"/>
      <c r="BH440" s="9"/>
      <c r="BI440" s="9"/>
      <c r="BJ440" s="9"/>
      <c r="BK440" s="9"/>
      <c r="BL440" s="9"/>
      <c r="BM440" s="9"/>
      <c r="BN440" s="9"/>
      <c r="BO440" s="9"/>
      <c r="BP440" s="9"/>
      <c r="BQ440" s="9"/>
      <c r="BR440" s="9"/>
      <c r="BS440" s="9"/>
      <c r="BT440" s="9"/>
      <c r="BU440" s="9"/>
      <c r="BV440" s="9"/>
      <c r="BW440" s="9"/>
      <c r="BX440" s="9"/>
      <c r="BY440" s="9"/>
      <c r="BZ440" s="9"/>
      <c r="CA440" s="9"/>
      <c r="CB440" s="8" t="s">
        <v>665</v>
      </c>
      <c r="CC440" s="9"/>
      <c r="CD440" s="9"/>
      <c r="CE440" s="8" t="s">
        <v>115</v>
      </c>
      <c r="CF440" s="8" t="s">
        <v>4641</v>
      </c>
      <c r="CG440" s="9"/>
      <c r="CH440" s="9"/>
      <c r="CI440" s="9"/>
      <c r="CJ440" s="9"/>
      <c r="CK440" s="9"/>
      <c r="CL440" s="9"/>
      <c r="CM440" s="9"/>
      <c r="CN440" s="9"/>
      <c r="CO440" s="9"/>
      <c r="CP440" s="9"/>
    </row>
    <row r="441">
      <c r="A441" s="7" t="s">
        <v>4642</v>
      </c>
      <c r="B441" s="8" t="s">
        <v>4643</v>
      </c>
      <c r="C441" s="8" t="s">
        <v>4644</v>
      </c>
      <c r="D441" s="8" t="s">
        <v>94</v>
      </c>
      <c r="E441" s="8" t="s">
        <v>95</v>
      </c>
      <c r="F441" s="9"/>
      <c r="G441" s="8" t="s">
        <v>4645</v>
      </c>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t="str">
        <f t="shared" si="35"/>
        <v/>
      </c>
      <c r="AK441" s="8"/>
      <c r="AL441" s="8"/>
      <c r="AM441" s="8" t="s">
        <v>1477</v>
      </c>
      <c r="AN441" s="8" t="s">
        <v>4646</v>
      </c>
      <c r="AO441" s="9"/>
      <c r="AP441" s="9"/>
      <c r="AQ441" s="9"/>
      <c r="AR441" s="8" t="s">
        <v>1479</v>
      </c>
      <c r="AS441" s="8" t="s">
        <v>1480</v>
      </c>
      <c r="AT441" s="9"/>
      <c r="AU441" s="8" t="s">
        <v>4647</v>
      </c>
      <c r="AV441" s="8" t="s">
        <v>108</v>
      </c>
      <c r="AW441" s="9"/>
      <c r="AX441" s="9"/>
      <c r="AY441" s="8" t="s">
        <v>4527</v>
      </c>
      <c r="AZ441" s="8" t="b">
        <v>0</v>
      </c>
      <c r="BA441" s="8" t="s">
        <v>110</v>
      </c>
      <c r="BB441" s="9"/>
      <c r="BC441" s="9"/>
      <c r="BD441" s="9"/>
      <c r="BE441" s="8" t="s">
        <v>2362</v>
      </c>
      <c r="BF441" s="9"/>
      <c r="BG441" s="9"/>
      <c r="BH441" s="9"/>
      <c r="BI441" s="9"/>
      <c r="BJ441" s="9"/>
      <c r="BK441" s="9"/>
      <c r="BL441" s="9"/>
      <c r="BM441" s="9"/>
      <c r="BN441" s="9"/>
      <c r="BO441" s="9"/>
      <c r="BP441" s="9"/>
      <c r="BQ441" s="9"/>
      <c r="BR441" s="9"/>
      <c r="BS441" s="9"/>
      <c r="BT441" s="9"/>
      <c r="BU441" s="9"/>
      <c r="BV441" s="9"/>
      <c r="BW441" s="9"/>
      <c r="BX441" s="9"/>
      <c r="BY441" s="9"/>
      <c r="BZ441" s="9"/>
      <c r="CA441" s="9"/>
      <c r="CB441" s="8" t="s">
        <v>665</v>
      </c>
      <c r="CC441" s="9"/>
      <c r="CD441" s="9"/>
      <c r="CE441" s="8" t="s">
        <v>115</v>
      </c>
      <c r="CF441" s="8" t="s">
        <v>4648</v>
      </c>
      <c r="CG441" s="9"/>
      <c r="CH441" s="9"/>
      <c r="CI441" s="9"/>
      <c r="CJ441" s="9"/>
      <c r="CK441" s="9"/>
      <c r="CL441" s="9"/>
      <c r="CM441" s="9"/>
      <c r="CN441" s="9"/>
      <c r="CO441" s="9"/>
      <c r="CP441" s="9"/>
    </row>
    <row r="442">
      <c r="A442" s="7" t="s">
        <v>4649</v>
      </c>
      <c r="B442" s="8" t="s">
        <v>4650</v>
      </c>
      <c r="C442" s="8" t="s">
        <v>4651</v>
      </c>
      <c r="D442" s="8" t="s">
        <v>94</v>
      </c>
      <c r="E442" s="8" t="s">
        <v>95</v>
      </c>
      <c r="F442" s="9"/>
      <c r="G442" s="8" t="s">
        <v>4652</v>
      </c>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t="str">
        <f t="shared" si="35"/>
        <v/>
      </c>
      <c r="AK442" s="8"/>
      <c r="AL442" s="8"/>
      <c r="AM442" s="8" t="s">
        <v>1477</v>
      </c>
      <c r="AN442" s="8" t="s">
        <v>4653</v>
      </c>
      <c r="AO442" s="9"/>
      <c r="AP442" s="9"/>
      <c r="AQ442" s="9"/>
      <c r="AR442" s="8" t="s">
        <v>1479</v>
      </c>
      <c r="AS442" s="8" t="s">
        <v>1480</v>
      </c>
      <c r="AT442" s="9"/>
      <c r="AU442" s="8" t="s">
        <v>4654</v>
      </c>
      <c r="AV442" s="8" t="s">
        <v>108</v>
      </c>
      <c r="AW442" s="9"/>
      <c r="AX442" s="9"/>
      <c r="AY442" s="8" t="s">
        <v>4527</v>
      </c>
      <c r="AZ442" s="8" t="b">
        <v>0</v>
      </c>
      <c r="BA442" s="8" t="s">
        <v>110</v>
      </c>
      <c r="BB442" s="9"/>
      <c r="BC442" s="9"/>
      <c r="BD442" s="9"/>
      <c r="BE442" s="8" t="s">
        <v>1823</v>
      </c>
      <c r="BF442" s="9"/>
      <c r="BG442" s="9"/>
      <c r="BH442" s="9"/>
      <c r="BI442" s="9"/>
      <c r="BJ442" s="9"/>
      <c r="BK442" s="9"/>
      <c r="BL442" s="9"/>
      <c r="BM442" s="9"/>
      <c r="BN442" s="9"/>
      <c r="BO442" s="9"/>
      <c r="BP442" s="9"/>
      <c r="BQ442" s="9"/>
      <c r="BR442" s="9"/>
      <c r="BS442" s="9"/>
      <c r="BT442" s="9"/>
      <c r="BU442" s="9"/>
      <c r="BV442" s="9"/>
      <c r="BW442" s="9"/>
      <c r="BX442" s="9"/>
      <c r="BY442" s="9"/>
      <c r="BZ442" s="9"/>
      <c r="CA442" s="9"/>
      <c r="CB442" s="8" t="s">
        <v>4655</v>
      </c>
      <c r="CC442" s="9"/>
      <c r="CD442" s="9"/>
      <c r="CE442" s="8" t="s">
        <v>366</v>
      </c>
      <c r="CF442" s="8" t="s">
        <v>4656</v>
      </c>
      <c r="CG442" s="9"/>
      <c r="CH442" s="9"/>
      <c r="CI442" s="9"/>
      <c r="CJ442" s="9"/>
      <c r="CK442" s="9"/>
      <c r="CL442" s="9"/>
      <c r="CM442" s="9"/>
      <c r="CN442" s="9"/>
      <c r="CO442" s="9"/>
      <c r="CP442" s="9"/>
    </row>
    <row r="443">
      <c r="A443" s="7" t="s">
        <v>4657</v>
      </c>
      <c r="B443" s="8" t="s">
        <v>4658</v>
      </c>
      <c r="C443" s="8" t="s">
        <v>4659</v>
      </c>
      <c r="D443" s="8" t="s">
        <v>94</v>
      </c>
      <c r="E443" s="8" t="s">
        <v>95</v>
      </c>
      <c r="F443" s="9"/>
      <c r="G443" s="8" t="s">
        <v>4660</v>
      </c>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t="str">
        <f t="shared" si="35"/>
        <v/>
      </c>
      <c r="AK443" s="8"/>
      <c r="AL443" s="8"/>
      <c r="AM443" s="8" t="s">
        <v>1477</v>
      </c>
      <c r="AN443" s="8" t="s">
        <v>4661</v>
      </c>
      <c r="AO443" s="9"/>
      <c r="AP443" s="9"/>
      <c r="AQ443" s="9"/>
      <c r="AR443" s="8" t="s">
        <v>1479</v>
      </c>
      <c r="AS443" s="8" t="s">
        <v>1480</v>
      </c>
      <c r="AT443" s="9"/>
      <c r="AU443" s="8" t="s">
        <v>4662</v>
      </c>
      <c r="AV443" s="8" t="s">
        <v>108</v>
      </c>
      <c r="AW443" s="9"/>
      <c r="AX443" s="9"/>
      <c r="AY443" s="8" t="s">
        <v>4527</v>
      </c>
      <c r="AZ443" s="8" t="b">
        <v>0</v>
      </c>
      <c r="BA443" s="8" t="s">
        <v>110</v>
      </c>
      <c r="BB443" s="9"/>
      <c r="BC443" s="9"/>
      <c r="BD443" s="9"/>
      <c r="BE443" s="8" t="s">
        <v>4260</v>
      </c>
      <c r="BF443" s="9"/>
      <c r="BG443" s="9"/>
      <c r="BH443" s="9"/>
      <c r="BI443" s="9"/>
      <c r="BJ443" s="9"/>
      <c r="BK443" s="9"/>
      <c r="BL443" s="9"/>
      <c r="BM443" s="9"/>
      <c r="BN443" s="9"/>
      <c r="BO443" s="9"/>
      <c r="BP443" s="9"/>
      <c r="BQ443" s="9"/>
      <c r="BR443" s="9"/>
      <c r="BS443" s="9"/>
      <c r="BT443" s="9"/>
      <c r="BU443" s="9"/>
      <c r="BV443" s="9"/>
      <c r="BW443" s="9"/>
      <c r="BX443" s="9"/>
      <c r="BY443" s="9"/>
      <c r="BZ443" s="9"/>
      <c r="CA443" s="9"/>
      <c r="CB443" s="8" t="s">
        <v>4655</v>
      </c>
      <c r="CC443" s="9"/>
      <c r="CD443" s="9"/>
      <c r="CE443" s="8" t="s">
        <v>366</v>
      </c>
      <c r="CF443" s="8" t="s">
        <v>4663</v>
      </c>
      <c r="CG443" s="9"/>
      <c r="CH443" s="9"/>
      <c r="CI443" s="9"/>
      <c r="CJ443" s="9"/>
      <c r="CK443" s="9"/>
      <c r="CL443" s="9"/>
      <c r="CM443" s="9"/>
      <c r="CN443" s="9"/>
      <c r="CO443" s="9"/>
      <c r="CP443" s="9"/>
    </row>
    <row r="444">
      <c r="A444" s="7" t="s">
        <v>4664</v>
      </c>
      <c r="B444" s="8" t="s">
        <v>4665</v>
      </c>
      <c r="C444" s="8" t="s">
        <v>4666</v>
      </c>
      <c r="D444" s="8" t="s">
        <v>94</v>
      </c>
      <c r="E444" s="8" t="s">
        <v>95</v>
      </c>
      <c r="F444" s="9"/>
      <c r="G444" s="8" t="s">
        <v>4667</v>
      </c>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t="str">
        <f t="shared" si="35"/>
        <v/>
      </c>
      <c r="AK444" s="8"/>
      <c r="AL444" s="8"/>
      <c r="AM444" s="8" t="s">
        <v>1477</v>
      </c>
      <c r="AN444" s="8" t="s">
        <v>4668</v>
      </c>
      <c r="AO444" s="9"/>
      <c r="AP444" s="9"/>
      <c r="AQ444" s="9"/>
      <c r="AR444" s="8" t="s">
        <v>1479</v>
      </c>
      <c r="AS444" s="8" t="s">
        <v>1480</v>
      </c>
      <c r="AT444" s="9"/>
      <c r="AU444" s="8" t="s">
        <v>4669</v>
      </c>
      <c r="AV444" s="8" t="s">
        <v>108</v>
      </c>
      <c r="AW444" s="9"/>
      <c r="AX444" s="9"/>
      <c r="AY444" s="8" t="s">
        <v>4527</v>
      </c>
      <c r="AZ444" s="8" t="b">
        <v>0</v>
      </c>
      <c r="BA444" s="8" t="s">
        <v>110</v>
      </c>
      <c r="BB444" s="9"/>
      <c r="BC444" s="9"/>
      <c r="BD444" s="9"/>
      <c r="BE444" s="8" t="s">
        <v>2619</v>
      </c>
      <c r="BF444" s="9"/>
      <c r="BG444" s="9"/>
      <c r="BH444" s="9"/>
      <c r="BI444" s="9"/>
      <c r="BJ444" s="9"/>
      <c r="BK444" s="9"/>
      <c r="BL444" s="9"/>
      <c r="BM444" s="9"/>
      <c r="BN444" s="9"/>
      <c r="BO444" s="9"/>
      <c r="BP444" s="9"/>
      <c r="BQ444" s="9"/>
      <c r="BR444" s="9"/>
      <c r="BS444" s="9"/>
      <c r="BT444" s="9"/>
      <c r="BU444" s="9"/>
      <c r="BV444" s="9"/>
      <c r="BW444" s="9"/>
      <c r="BX444" s="9"/>
      <c r="BY444" s="9"/>
      <c r="BZ444" s="9"/>
      <c r="CA444" s="9"/>
      <c r="CB444" s="8" t="s">
        <v>4670</v>
      </c>
      <c r="CC444" s="9"/>
      <c r="CD444" s="9"/>
      <c r="CE444" s="8" t="s">
        <v>366</v>
      </c>
      <c r="CF444" s="8" t="s">
        <v>4671</v>
      </c>
      <c r="CG444" s="9"/>
      <c r="CH444" s="9"/>
      <c r="CI444" s="9"/>
      <c r="CJ444" s="9"/>
      <c r="CK444" s="9"/>
      <c r="CL444" s="9"/>
      <c r="CM444" s="9"/>
      <c r="CN444" s="9"/>
      <c r="CO444" s="9"/>
      <c r="CP444" s="9"/>
    </row>
    <row r="445">
      <c r="A445" s="7" t="s">
        <v>4672</v>
      </c>
      <c r="B445" s="8" t="s">
        <v>4673</v>
      </c>
      <c r="C445" s="8" t="s">
        <v>4674</v>
      </c>
      <c r="D445" s="8" t="s">
        <v>94</v>
      </c>
      <c r="E445" s="8" t="s">
        <v>95</v>
      </c>
      <c r="F445" s="9"/>
      <c r="G445" s="8" t="s">
        <v>4675</v>
      </c>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t="str">
        <f t="shared" si="35"/>
        <v/>
      </c>
      <c r="AK445" s="8"/>
      <c r="AL445" s="8"/>
      <c r="AM445" s="8" t="s">
        <v>1477</v>
      </c>
      <c r="AN445" s="8" t="s">
        <v>4676</v>
      </c>
      <c r="AO445" s="9"/>
      <c r="AP445" s="9"/>
      <c r="AQ445" s="9"/>
      <c r="AR445" s="8" t="s">
        <v>1479</v>
      </c>
      <c r="AS445" s="8" t="s">
        <v>1480</v>
      </c>
      <c r="AT445" s="9"/>
      <c r="AU445" s="8" t="s">
        <v>4677</v>
      </c>
      <c r="AV445" s="8" t="s">
        <v>108</v>
      </c>
      <c r="AW445" s="9"/>
      <c r="AX445" s="9"/>
      <c r="AY445" s="8" t="s">
        <v>4527</v>
      </c>
      <c r="AZ445" s="8" t="b">
        <v>0</v>
      </c>
      <c r="BA445" s="8" t="s">
        <v>110</v>
      </c>
      <c r="BB445" s="9"/>
      <c r="BC445" s="9"/>
      <c r="BD445" s="9"/>
      <c r="BE445" s="8" t="s">
        <v>4582</v>
      </c>
      <c r="BF445" s="9"/>
      <c r="BG445" s="9"/>
      <c r="BH445" s="9"/>
      <c r="BI445" s="9"/>
      <c r="BJ445" s="9"/>
      <c r="BK445" s="9"/>
      <c r="BL445" s="9"/>
      <c r="BM445" s="9"/>
      <c r="BN445" s="9"/>
      <c r="BO445" s="9"/>
      <c r="BP445" s="9"/>
      <c r="BQ445" s="9"/>
      <c r="BR445" s="9"/>
      <c r="BS445" s="9"/>
      <c r="BT445" s="9"/>
      <c r="BU445" s="9"/>
      <c r="BV445" s="9"/>
      <c r="BW445" s="9"/>
      <c r="BX445" s="9"/>
      <c r="BY445" s="9"/>
      <c r="BZ445" s="9"/>
      <c r="CA445" s="9"/>
      <c r="CB445" s="8" t="s">
        <v>2487</v>
      </c>
      <c r="CC445" s="9"/>
      <c r="CD445" s="9"/>
      <c r="CE445" s="8" t="s">
        <v>366</v>
      </c>
      <c r="CF445" s="8" t="s">
        <v>4678</v>
      </c>
      <c r="CG445" s="9"/>
      <c r="CH445" s="9"/>
      <c r="CI445" s="9"/>
      <c r="CJ445" s="9"/>
      <c r="CK445" s="9"/>
      <c r="CL445" s="9"/>
      <c r="CM445" s="9"/>
      <c r="CN445" s="9"/>
      <c r="CO445" s="9"/>
      <c r="CP445" s="9"/>
    </row>
    <row r="446">
      <c r="A446" s="7" t="s">
        <v>4679</v>
      </c>
      <c r="B446" s="8" t="s">
        <v>4680</v>
      </c>
      <c r="C446" s="8" t="s">
        <v>4681</v>
      </c>
      <c r="D446" s="8" t="s">
        <v>94</v>
      </c>
      <c r="E446" s="8" t="s">
        <v>95</v>
      </c>
      <c r="F446" s="9"/>
      <c r="G446" s="8" t="s">
        <v>4682</v>
      </c>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t="str">
        <f t="shared" si="35"/>
        <v/>
      </c>
      <c r="AK446" s="8"/>
      <c r="AL446" s="8"/>
      <c r="AM446" s="8" t="s">
        <v>1477</v>
      </c>
      <c r="AN446" s="8" t="s">
        <v>4683</v>
      </c>
      <c r="AO446" s="9"/>
      <c r="AP446" s="9"/>
      <c r="AQ446" s="9"/>
      <c r="AR446" s="8" t="s">
        <v>1479</v>
      </c>
      <c r="AS446" s="8" t="s">
        <v>1480</v>
      </c>
      <c r="AT446" s="9"/>
      <c r="AU446" s="8" t="s">
        <v>4684</v>
      </c>
      <c r="AV446" s="8" t="s">
        <v>108</v>
      </c>
      <c r="AW446" s="9"/>
      <c r="AX446" s="9"/>
      <c r="AY446" s="8" t="s">
        <v>4527</v>
      </c>
      <c r="AZ446" s="8" t="b">
        <v>0</v>
      </c>
      <c r="BA446" s="8" t="s">
        <v>110</v>
      </c>
      <c r="BB446" s="9"/>
      <c r="BC446" s="9"/>
      <c r="BD446" s="9"/>
      <c r="BE446" s="8" t="s">
        <v>1461</v>
      </c>
      <c r="BF446" s="9"/>
      <c r="BG446" s="9"/>
      <c r="BH446" s="9"/>
      <c r="BI446" s="9"/>
      <c r="BJ446" s="9"/>
      <c r="BK446" s="9"/>
      <c r="BL446" s="9"/>
      <c r="BM446" s="9"/>
      <c r="BN446" s="9"/>
      <c r="BO446" s="9"/>
      <c r="BP446" s="9"/>
      <c r="BQ446" s="9"/>
      <c r="BR446" s="9"/>
      <c r="BS446" s="9"/>
      <c r="BT446" s="9"/>
      <c r="BU446" s="9"/>
      <c r="BV446" s="9"/>
      <c r="BW446" s="9"/>
      <c r="BX446" s="9"/>
      <c r="BY446" s="9"/>
      <c r="BZ446" s="9"/>
      <c r="CA446" s="9"/>
      <c r="CB446" s="8" t="s">
        <v>4685</v>
      </c>
      <c r="CC446" s="9"/>
      <c r="CD446" s="9"/>
      <c r="CE446" s="8" t="s">
        <v>115</v>
      </c>
      <c r="CF446" s="8" t="s">
        <v>4686</v>
      </c>
      <c r="CG446" s="9"/>
      <c r="CH446" s="9"/>
      <c r="CI446" s="9"/>
      <c r="CJ446" s="9"/>
      <c r="CK446" s="9"/>
      <c r="CL446" s="9"/>
      <c r="CM446" s="9"/>
      <c r="CN446" s="9"/>
      <c r="CO446" s="9"/>
      <c r="CP446" s="9"/>
    </row>
    <row r="447">
      <c r="A447" s="7" t="s">
        <v>4687</v>
      </c>
      <c r="B447" s="8" t="s">
        <v>4688</v>
      </c>
      <c r="C447" s="8" t="s">
        <v>4689</v>
      </c>
      <c r="D447" s="8" t="s">
        <v>94</v>
      </c>
      <c r="E447" s="8" t="s">
        <v>95</v>
      </c>
      <c r="F447" s="9"/>
      <c r="G447" s="8" t="s">
        <v>4690</v>
      </c>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t="str">
        <f t="shared" si="35"/>
        <v/>
      </c>
      <c r="AK447" s="8"/>
      <c r="AL447" s="8"/>
      <c r="AM447" s="8" t="s">
        <v>1477</v>
      </c>
      <c r="AN447" s="8" t="s">
        <v>4691</v>
      </c>
      <c r="AO447" s="9"/>
      <c r="AP447" s="9"/>
      <c r="AQ447" s="9"/>
      <c r="AR447" s="8" t="s">
        <v>1479</v>
      </c>
      <c r="AS447" s="8" t="s">
        <v>1480</v>
      </c>
      <c r="AT447" s="9"/>
      <c r="AU447" s="8" t="s">
        <v>4692</v>
      </c>
      <c r="AV447" s="8" t="s">
        <v>108</v>
      </c>
      <c r="AW447" s="9"/>
      <c r="AX447" s="9"/>
      <c r="AY447" s="8" t="s">
        <v>4527</v>
      </c>
      <c r="AZ447" s="8" t="b">
        <v>0</v>
      </c>
      <c r="BA447" s="8" t="s">
        <v>110</v>
      </c>
      <c r="BB447" s="9"/>
      <c r="BC447" s="9"/>
      <c r="BD447" s="9"/>
      <c r="BE447" s="8" t="s">
        <v>2003</v>
      </c>
      <c r="BF447" s="9"/>
      <c r="BG447" s="9"/>
      <c r="BH447" s="9"/>
      <c r="BI447" s="9"/>
      <c r="BJ447" s="9"/>
      <c r="BK447" s="9"/>
      <c r="BL447" s="9"/>
      <c r="BM447" s="9"/>
      <c r="BN447" s="9"/>
      <c r="BO447" s="9"/>
      <c r="BP447" s="9"/>
      <c r="BQ447" s="9"/>
      <c r="BR447" s="9"/>
      <c r="BS447" s="9"/>
      <c r="BT447" s="9"/>
      <c r="BU447" s="9"/>
      <c r="BV447" s="9"/>
      <c r="BW447" s="9"/>
      <c r="BX447" s="9"/>
      <c r="BY447" s="9"/>
      <c r="BZ447" s="9"/>
      <c r="CA447" s="9"/>
      <c r="CB447" s="8" t="s">
        <v>4693</v>
      </c>
      <c r="CC447" s="9"/>
      <c r="CD447" s="9"/>
      <c r="CE447" s="8" t="s">
        <v>412</v>
      </c>
      <c r="CF447" s="8" t="s">
        <v>4694</v>
      </c>
      <c r="CG447" s="9"/>
      <c r="CH447" s="9"/>
      <c r="CI447" s="9"/>
      <c r="CJ447" s="9"/>
      <c r="CK447" s="9"/>
      <c r="CL447" s="9"/>
      <c r="CM447" s="9"/>
      <c r="CN447" s="9"/>
      <c r="CO447" s="9"/>
      <c r="CP447" s="9"/>
    </row>
    <row r="448">
      <c r="A448" s="7" t="s">
        <v>4695</v>
      </c>
      <c r="B448" s="8" t="s">
        <v>4696</v>
      </c>
      <c r="C448" s="8" t="s">
        <v>4697</v>
      </c>
      <c r="D448" s="8" t="s">
        <v>94</v>
      </c>
      <c r="E448" s="8" t="s">
        <v>95</v>
      </c>
      <c r="F448" s="9"/>
      <c r="G448" s="8" t="s">
        <v>4698</v>
      </c>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t="str">
        <f t="shared" si="35"/>
        <v/>
      </c>
      <c r="AK448" s="8"/>
      <c r="AL448" s="8"/>
      <c r="AM448" s="8" t="s">
        <v>1477</v>
      </c>
      <c r="AN448" s="8" t="s">
        <v>4699</v>
      </c>
      <c r="AO448" s="9"/>
      <c r="AP448" s="9"/>
      <c r="AQ448" s="9"/>
      <c r="AR448" s="8" t="s">
        <v>1479</v>
      </c>
      <c r="AS448" s="8" t="s">
        <v>1480</v>
      </c>
      <c r="AT448" s="9"/>
      <c r="AU448" s="8" t="s">
        <v>4700</v>
      </c>
      <c r="AV448" s="8" t="s">
        <v>108</v>
      </c>
      <c r="AW448" s="9"/>
      <c r="AX448" s="9"/>
      <c r="AY448" s="8" t="s">
        <v>4527</v>
      </c>
      <c r="AZ448" s="8" t="b">
        <v>0</v>
      </c>
      <c r="BA448" s="8" t="s">
        <v>110</v>
      </c>
      <c r="BB448" s="9"/>
      <c r="BC448" s="9"/>
      <c r="BD448" s="9"/>
      <c r="BE448" s="8" t="s">
        <v>2495</v>
      </c>
      <c r="BF448" s="9"/>
      <c r="BG448" s="9"/>
      <c r="BH448" s="9"/>
      <c r="BI448" s="9"/>
      <c r="BJ448" s="9"/>
      <c r="BK448" s="9"/>
      <c r="BL448" s="9"/>
      <c r="BM448" s="9"/>
      <c r="BN448" s="9"/>
      <c r="BO448" s="9"/>
      <c r="BP448" s="9"/>
      <c r="BQ448" s="9"/>
      <c r="BR448" s="9"/>
      <c r="BS448" s="9"/>
      <c r="BT448" s="9"/>
      <c r="BU448" s="9"/>
      <c r="BV448" s="9"/>
      <c r="BW448" s="9"/>
      <c r="BX448" s="9"/>
      <c r="BY448" s="9"/>
      <c r="BZ448" s="9"/>
      <c r="CA448" s="9"/>
      <c r="CB448" s="8" t="s">
        <v>665</v>
      </c>
      <c r="CC448" s="9"/>
      <c r="CD448" s="9"/>
      <c r="CE448" s="8" t="s">
        <v>366</v>
      </c>
      <c r="CF448" s="8" t="s">
        <v>4701</v>
      </c>
      <c r="CG448" s="9"/>
      <c r="CH448" s="9"/>
      <c r="CI448" s="9"/>
      <c r="CJ448" s="9"/>
      <c r="CK448" s="9"/>
      <c r="CL448" s="9"/>
      <c r="CM448" s="9"/>
      <c r="CN448" s="9"/>
      <c r="CO448" s="9"/>
      <c r="CP448" s="9"/>
    </row>
    <row r="449">
      <c r="A449" s="7" t="s">
        <v>4702</v>
      </c>
      <c r="B449" s="8" t="s">
        <v>4703</v>
      </c>
      <c r="C449" s="8" t="s">
        <v>4704</v>
      </c>
      <c r="D449" s="8" t="s">
        <v>94</v>
      </c>
      <c r="E449" s="8" t="s">
        <v>95</v>
      </c>
      <c r="F449" s="9"/>
      <c r="G449" s="8" t="s">
        <v>4705</v>
      </c>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t="str">
        <f t="shared" si="35"/>
        <v/>
      </c>
      <c r="AK449" s="8"/>
      <c r="AL449" s="8"/>
      <c r="AM449" s="8" t="s">
        <v>1477</v>
      </c>
      <c r="AN449" s="8" t="s">
        <v>4706</v>
      </c>
      <c r="AO449" s="9"/>
      <c r="AP449" s="9"/>
      <c r="AQ449" s="9"/>
      <c r="AR449" s="8" t="s">
        <v>1479</v>
      </c>
      <c r="AS449" s="8" t="s">
        <v>1480</v>
      </c>
      <c r="AT449" s="9"/>
      <c r="AU449" s="8" t="s">
        <v>4707</v>
      </c>
      <c r="AV449" s="8" t="s">
        <v>108</v>
      </c>
      <c r="AW449" s="9"/>
      <c r="AX449" s="9"/>
      <c r="AY449" s="8" t="s">
        <v>4527</v>
      </c>
      <c r="AZ449" s="8" t="b">
        <v>0</v>
      </c>
      <c r="BA449" s="8" t="s">
        <v>110</v>
      </c>
      <c r="BB449" s="9"/>
      <c r="BC449" s="9"/>
      <c r="BD449" s="9"/>
      <c r="BE449" s="8" t="s">
        <v>4582</v>
      </c>
      <c r="BF449" s="9"/>
      <c r="BG449" s="9"/>
      <c r="BH449" s="9"/>
      <c r="BI449" s="9"/>
      <c r="BJ449" s="9"/>
      <c r="BK449" s="9"/>
      <c r="BL449" s="9"/>
      <c r="BM449" s="9"/>
      <c r="BN449" s="9"/>
      <c r="BO449" s="9"/>
      <c r="BP449" s="9"/>
      <c r="BQ449" s="9"/>
      <c r="BR449" s="9"/>
      <c r="BS449" s="9"/>
      <c r="BT449" s="9"/>
      <c r="BU449" s="9"/>
      <c r="BV449" s="9"/>
      <c r="BW449" s="9"/>
      <c r="BX449" s="9"/>
      <c r="BY449" s="9"/>
      <c r="BZ449" s="9"/>
      <c r="CA449" s="9"/>
      <c r="CB449" s="8" t="s">
        <v>4708</v>
      </c>
      <c r="CC449" s="9"/>
      <c r="CD449" s="9"/>
      <c r="CE449" s="8" t="s">
        <v>412</v>
      </c>
      <c r="CF449" s="8" t="s">
        <v>4709</v>
      </c>
      <c r="CG449" s="9"/>
      <c r="CH449" s="9"/>
      <c r="CI449" s="9"/>
      <c r="CJ449" s="9"/>
      <c r="CK449" s="9"/>
      <c r="CL449" s="9"/>
      <c r="CM449" s="9"/>
      <c r="CN449" s="9"/>
      <c r="CO449" s="9"/>
      <c r="CP449" s="9"/>
    </row>
    <row r="450">
      <c r="A450" s="7" t="s">
        <v>4710</v>
      </c>
      <c r="B450" s="8" t="s">
        <v>4711</v>
      </c>
      <c r="C450" s="8" t="s">
        <v>4712</v>
      </c>
      <c r="D450" s="8" t="s">
        <v>94</v>
      </c>
      <c r="E450" s="8" t="s">
        <v>95</v>
      </c>
      <c r="F450" s="9"/>
      <c r="G450" s="8" t="s">
        <v>4713</v>
      </c>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t="str">
        <f t="shared" si="35"/>
        <v/>
      </c>
      <c r="AK450" s="8"/>
      <c r="AL450" s="8"/>
      <c r="AM450" s="8" t="s">
        <v>1477</v>
      </c>
      <c r="AN450" s="8" t="s">
        <v>4714</v>
      </c>
      <c r="AO450" s="9"/>
      <c r="AP450" s="9"/>
      <c r="AQ450" s="9"/>
      <c r="AR450" s="8" t="s">
        <v>1479</v>
      </c>
      <c r="AS450" s="8" t="s">
        <v>1480</v>
      </c>
      <c r="AT450" s="9"/>
      <c r="AU450" s="8" t="s">
        <v>4715</v>
      </c>
      <c r="AV450" s="8" t="s">
        <v>108</v>
      </c>
      <c r="AW450" s="9"/>
      <c r="AX450" s="9"/>
      <c r="AY450" s="8" t="s">
        <v>4527</v>
      </c>
      <c r="AZ450" s="8" t="b">
        <v>0</v>
      </c>
      <c r="BA450" s="8" t="s">
        <v>110</v>
      </c>
      <c r="BB450" s="9"/>
      <c r="BC450" s="9"/>
      <c r="BD450" s="9"/>
      <c r="BE450" s="8" t="s">
        <v>4716</v>
      </c>
      <c r="BF450" s="9"/>
      <c r="BG450" s="9"/>
      <c r="BH450" s="9"/>
      <c r="BI450" s="9"/>
      <c r="BJ450" s="9"/>
      <c r="BK450" s="9"/>
      <c r="BL450" s="9"/>
      <c r="BM450" s="9"/>
      <c r="BN450" s="9"/>
      <c r="BO450" s="9"/>
      <c r="BP450" s="9"/>
      <c r="BQ450" s="9"/>
      <c r="BR450" s="9"/>
      <c r="BS450" s="9"/>
      <c r="BT450" s="9"/>
      <c r="BU450" s="9"/>
      <c r="BV450" s="9"/>
      <c r="BW450" s="9"/>
      <c r="BX450" s="9"/>
      <c r="BY450" s="9"/>
      <c r="BZ450" s="9"/>
      <c r="CA450" s="9"/>
      <c r="CB450" s="8" t="s">
        <v>3254</v>
      </c>
      <c r="CC450" s="9"/>
      <c r="CD450" s="9"/>
      <c r="CE450" s="8" t="s">
        <v>366</v>
      </c>
      <c r="CF450" s="8" t="s">
        <v>4717</v>
      </c>
      <c r="CG450" s="9"/>
      <c r="CH450" s="9"/>
      <c r="CI450" s="9"/>
      <c r="CJ450" s="9"/>
      <c r="CK450" s="9"/>
      <c r="CL450" s="9"/>
      <c r="CM450" s="9"/>
      <c r="CN450" s="9"/>
      <c r="CO450" s="9"/>
      <c r="CP450" s="9"/>
    </row>
    <row r="451">
      <c r="A451" s="4" t="s">
        <v>4718</v>
      </c>
      <c r="B451" s="5" t="s">
        <v>4719</v>
      </c>
      <c r="C451" s="5" t="s">
        <v>4720</v>
      </c>
      <c r="D451" s="5" t="s">
        <v>94</v>
      </c>
      <c r="E451" s="5" t="s">
        <v>95</v>
      </c>
      <c r="F451" s="6"/>
      <c r="G451" s="5" t="s">
        <v>4721</v>
      </c>
      <c r="H451" s="5" t="s">
        <v>100</v>
      </c>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t="str">
        <f t="shared" si="35"/>
        <v/>
      </c>
      <c r="AK451" s="5"/>
      <c r="AL451" s="5"/>
      <c r="AM451" s="5" t="s">
        <v>3026</v>
      </c>
      <c r="AN451" s="5" t="s">
        <v>4722</v>
      </c>
      <c r="AO451" s="5" t="s">
        <v>3028</v>
      </c>
      <c r="AP451" s="6"/>
      <c r="AQ451" s="6"/>
      <c r="AR451" s="6"/>
      <c r="AS451" s="6"/>
      <c r="AT451" s="6"/>
      <c r="AU451" s="5" t="s">
        <v>4723</v>
      </c>
      <c r="AV451" s="5" t="s">
        <v>108</v>
      </c>
      <c r="AW451" s="6"/>
      <c r="AX451" s="6"/>
      <c r="AY451" s="5" t="s">
        <v>4527</v>
      </c>
      <c r="AZ451" s="5" t="b">
        <v>0</v>
      </c>
      <c r="BA451" s="5" t="s">
        <v>110</v>
      </c>
      <c r="BB451" s="6"/>
      <c r="BC451" s="6"/>
      <c r="BD451" s="6"/>
      <c r="BE451" s="5" t="s">
        <v>4724</v>
      </c>
      <c r="BF451" s="6"/>
      <c r="BG451" s="6"/>
      <c r="BH451" s="6"/>
      <c r="BI451" s="6"/>
      <c r="BJ451" s="6"/>
      <c r="BK451" s="6"/>
      <c r="BL451" s="6"/>
      <c r="BM451" s="6"/>
      <c r="BN451" s="6"/>
      <c r="BO451" s="6"/>
      <c r="BP451" s="6"/>
      <c r="BQ451" s="6"/>
      <c r="BR451" s="6"/>
      <c r="BS451" s="6"/>
      <c r="BT451" s="6"/>
      <c r="BU451" s="6"/>
      <c r="BV451" s="6"/>
      <c r="BW451" s="6"/>
      <c r="BX451" s="6"/>
      <c r="BY451" s="5" t="s">
        <v>3740</v>
      </c>
      <c r="BZ451" s="6"/>
      <c r="CA451" s="6"/>
      <c r="CB451" s="5" t="s">
        <v>3776</v>
      </c>
      <c r="CC451" s="6"/>
      <c r="CD451" s="6"/>
      <c r="CE451" s="5" t="s">
        <v>197</v>
      </c>
      <c r="CF451" s="5" t="s">
        <v>4725</v>
      </c>
      <c r="CG451" s="6"/>
      <c r="CH451" s="6"/>
      <c r="CI451" s="6"/>
      <c r="CJ451" s="6"/>
      <c r="CK451" s="6"/>
      <c r="CL451" s="6"/>
      <c r="CM451" s="6"/>
      <c r="CN451" s="6"/>
      <c r="CO451" s="6"/>
      <c r="CP451" s="6"/>
    </row>
    <row r="452">
      <c r="A452" s="7" t="s">
        <v>4726</v>
      </c>
      <c r="B452" s="8" t="s">
        <v>4727</v>
      </c>
      <c r="C452" s="8" t="s">
        <v>4728</v>
      </c>
      <c r="D452" s="8" t="s">
        <v>94</v>
      </c>
      <c r="E452" s="8" t="s">
        <v>95</v>
      </c>
      <c r="F452" s="9"/>
      <c r="G452" s="8" t="s">
        <v>4729</v>
      </c>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t="str">
        <f t="shared" si="35"/>
        <v/>
      </c>
      <c r="AK452" s="8"/>
      <c r="AL452" s="8"/>
      <c r="AM452" s="8" t="s">
        <v>3026</v>
      </c>
      <c r="AN452" s="8" t="s">
        <v>4730</v>
      </c>
      <c r="AO452" s="8" t="s">
        <v>3028</v>
      </c>
      <c r="AP452" s="9"/>
      <c r="AQ452" s="9"/>
      <c r="AR452" s="9"/>
      <c r="AS452" s="9"/>
      <c r="AT452" s="9"/>
      <c r="AU452" s="8" t="s">
        <v>4731</v>
      </c>
      <c r="AV452" s="8" t="s">
        <v>108</v>
      </c>
      <c r="AW452" s="9"/>
      <c r="AX452" s="9"/>
      <c r="AY452" s="8" t="s">
        <v>4527</v>
      </c>
      <c r="AZ452" s="8" t="b">
        <v>0</v>
      </c>
      <c r="BA452" s="8" t="s">
        <v>110</v>
      </c>
      <c r="BB452" s="9"/>
      <c r="BC452" s="9"/>
      <c r="BD452" s="9"/>
      <c r="BE452" s="8" t="s">
        <v>4732</v>
      </c>
      <c r="BF452" s="9"/>
      <c r="BG452" s="9"/>
      <c r="BH452" s="9"/>
      <c r="BI452" s="9"/>
      <c r="BJ452" s="9"/>
      <c r="BK452" s="9"/>
      <c r="BL452" s="9"/>
      <c r="BM452" s="9"/>
      <c r="BN452" s="9"/>
      <c r="BO452" s="9"/>
      <c r="BP452" s="9"/>
      <c r="BQ452" s="9"/>
      <c r="BR452" s="9"/>
      <c r="BS452" s="9"/>
      <c r="BT452" s="9"/>
      <c r="BU452" s="9"/>
      <c r="BV452" s="9"/>
      <c r="BW452" s="9"/>
      <c r="BX452" s="9"/>
      <c r="BY452" s="8" t="s">
        <v>3740</v>
      </c>
      <c r="BZ452" s="9"/>
      <c r="CA452" s="9"/>
      <c r="CB452" s="8" t="s">
        <v>3776</v>
      </c>
      <c r="CC452" s="9"/>
      <c r="CD452" s="9"/>
      <c r="CE452" s="8" t="s">
        <v>197</v>
      </c>
      <c r="CF452" s="8" t="s">
        <v>4733</v>
      </c>
      <c r="CG452" s="9"/>
      <c r="CH452" s="9"/>
      <c r="CI452" s="9"/>
      <c r="CJ452" s="9"/>
      <c r="CK452" s="9"/>
      <c r="CL452" s="9"/>
      <c r="CM452" s="9"/>
      <c r="CN452" s="9"/>
      <c r="CO452" s="9"/>
      <c r="CP452" s="9"/>
    </row>
    <row r="453">
      <c r="A453" s="4" t="s">
        <v>4734</v>
      </c>
      <c r="B453" s="5" t="s">
        <v>4735</v>
      </c>
      <c r="C453" s="5" t="s">
        <v>4736</v>
      </c>
      <c r="D453" s="5" t="s">
        <v>94</v>
      </c>
      <c r="E453" s="5" t="s">
        <v>95</v>
      </c>
      <c r="F453" s="6"/>
      <c r="G453" s="5" t="s">
        <v>4737</v>
      </c>
      <c r="H453" s="5" t="s">
        <v>100</v>
      </c>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t="str">
        <f t="shared" si="35"/>
        <v/>
      </c>
      <c r="AK453" s="5"/>
      <c r="AL453" s="5"/>
      <c r="AM453" s="5" t="s">
        <v>3026</v>
      </c>
      <c r="AN453" s="5" t="s">
        <v>4738</v>
      </c>
      <c r="AO453" s="5" t="s">
        <v>3028</v>
      </c>
      <c r="AP453" s="6"/>
      <c r="AQ453" s="6"/>
      <c r="AR453" s="6"/>
      <c r="AS453" s="6"/>
      <c r="AT453" s="6"/>
      <c r="AU453" s="5" t="s">
        <v>4739</v>
      </c>
      <c r="AV453" s="5" t="s">
        <v>108</v>
      </c>
      <c r="AW453" s="6"/>
      <c r="AX453" s="6"/>
      <c r="AY453" s="5" t="s">
        <v>4527</v>
      </c>
      <c r="AZ453" s="5" t="b">
        <v>0</v>
      </c>
      <c r="BA453" s="5" t="s">
        <v>110</v>
      </c>
      <c r="BB453" s="6"/>
      <c r="BC453" s="6"/>
      <c r="BD453" s="6"/>
      <c r="BE453" s="5" t="s">
        <v>4740</v>
      </c>
      <c r="BF453" s="6"/>
      <c r="BG453" s="6"/>
      <c r="BH453" s="6"/>
      <c r="BI453" s="6"/>
      <c r="BJ453" s="6"/>
      <c r="BK453" s="6"/>
      <c r="BL453" s="6"/>
      <c r="BM453" s="6"/>
      <c r="BN453" s="6"/>
      <c r="BO453" s="6"/>
      <c r="BP453" s="6"/>
      <c r="BQ453" s="6"/>
      <c r="BR453" s="6"/>
      <c r="BS453" s="6"/>
      <c r="BT453" s="6"/>
      <c r="BU453" s="6"/>
      <c r="BV453" s="6"/>
      <c r="BW453" s="6"/>
      <c r="BX453" s="6"/>
      <c r="BY453" s="5" t="s">
        <v>3740</v>
      </c>
      <c r="BZ453" s="6"/>
      <c r="CA453" s="6"/>
      <c r="CB453" s="5" t="s">
        <v>3776</v>
      </c>
      <c r="CC453" s="6"/>
      <c r="CD453" s="6"/>
      <c r="CE453" s="5" t="s">
        <v>197</v>
      </c>
      <c r="CF453" s="5" t="s">
        <v>4741</v>
      </c>
      <c r="CG453" s="6"/>
      <c r="CH453" s="6"/>
      <c r="CI453" s="6"/>
      <c r="CJ453" s="6"/>
      <c r="CK453" s="6"/>
      <c r="CL453" s="6"/>
      <c r="CM453" s="6"/>
      <c r="CN453" s="6"/>
      <c r="CO453" s="6"/>
      <c r="CP453" s="6"/>
    </row>
    <row r="454">
      <c r="A454" s="7" t="s">
        <v>4742</v>
      </c>
      <c r="B454" s="8" t="s">
        <v>4743</v>
      </c>
      <c r="C454" s="8" t="s">
        <v>4744</v>
      </c>
      <c r="D454" s="8" t="s">
        <v>94</v>
      </c>
      <c r="E454" s="8" t="s">
        <v>95</v>
      </c>
      <c r="F454" s="9"/>
      <c r="G454" s="8" t="s">
        <v>4183</v>
      </c>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t="str">
        <f t="shared" si="35"/>
        <v/>
      </c>
      <c r="AK454" s="8"/>
      <c r="AL454" s="8"/>
      <c r="AM454" s="8" t="s">
        <v>3026</v>
      </c>
      <c r="AN454" s="8" t="s">
        <v>4745</v>
      </c>
      <c r="AO454" s="8" t="s">
        <v>3028</v>
      </c>
      <c r="AP454" s="9"/>
      <c r="AQ454" s="9"/>
      <c r="AR454" s="9"/>
      <c r="AS454" s="9"/>
      <c r="AT454" s="9"/>
      <c r="AU454" s="8" t="s">
        <v>4746</v>
      </c>
      <c r="AV454" s="8" t="s">
        <v>108</v>
      </c>
      <c r="AW454" s="9"/>
      <c r="AX454" s="9"/>
      <c r="AY454" s="8" t="s">
        <v>4527</v>
      </c>
      <c r="AZ454" s="8" t="b">
        <v>0</v>
      </c>
      <c r="BA454" s="8" t="s">
        <v>110</v>
      </c>
      <c r="BB454" s="9"/>
      <c r="BC454" s="9"/>
      <c r="BD454" s="9"/>
      <c r="BE454" s="8" t="s">
        <v>2693</v>
      </c>
      <c r="BF454" s="9"/>
      <c r="BG454" s="9"/>
      <c r="BH454" s="9"/>
      <c r="BI454" s="9"/>
      <c r="BJ454" s="9"/>
      <c r="BK454" s="9"/>
      <c r="BL454" s="9"/>
      <c r="BM454" s="9"/>
      <c r="BN454" s="9"/>
      <c r="BO454" s="9"/>
      <c r="BP454" s="9"/>
      <c r="BQ454" s="9"/>
      <c r="BR454" s="9"/>
      <c r="BS454" s="9"/>
      <c r="BT454" s="9"/>
      <c r="BU454" s="9"/>
      <c r="BV454" s="9"/>
      <c r="BW454" s="9"/>
      <c r="BX454" s="9"/>
      <c r="BY454" s="8" t="s">
        <v>3740</v>
      </c>
      <c r="BZ454" s="9"/>
      <c r="CA454" s="9"/>
      <c r="CB454" s="8" t="s">
        <v>4747</v>
      </c>
      <c r="CC454" s="9"/>
      <c r="CD454" s="9"/>
      <c r="CE454" s="8" t="s">
        <v>115</v>
      </c>
      <c r="CF454" s="8" t="s">
        <v>4748</v>
      </c>
      <c r="CG454" s="9"/>
      <c r="CH454" s="9"/>
      <c r="CI454" s="9"/>
      <c r="CJ454" s="9"/>
      <c r="CK454" s="9"/>
      <c r="CL454" s="9"/>
      <c r="CM454" s="9"/>
      <c r="CN454" s="9"/>
      <c r="CO454" s="9"/>
      <c r="CP454" s="9"/>
    </row>
    <row r="455">
      <c r="A455" s="7" t="s">
        <v>4749</v>
      </c>
      <c r="B455" s="8" t="s">
        <v>4750</v>
      </c>
      <c r="C455" s="8" t="s">
        <v>4751</v>
      </c>
      <c r="D455" s="8" t="s">
        <v>94</v>
      </c>
      <c r="E455" s="8" t="s">
        <v>95</v>
      </c>
      <c r="F455" s="9"/>
      <c r="G455" s="8" t="s">
        <v>4752</v>
      </c>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t="str">
        <f t="shared" si="35"/>
        <v/>
      </c>
      <c r="AK455" s="8"/>
      <c r="AL455" s="8"/>
      <c r="AM455" s="8" t="s">
        <v>3624</v>
      </c>
      <c r="AN455" s="8" t="s">
        <v>4753</v>
      </c>
      <c r="AO455" s="9"/>
      <c r="AP455" s="9"/>
      <c r="AQ455" s="9"/>
      <c r="AR455" s="9"/>
      <c r="AS455" s="9"/>
      <c r="AT455" s="9"/>
      <c r="AU455" s="8" t="s">
        <v>4754</v>
      </c>
      <c r="AV455" s="9"/>
      <c r="AW455" s="9"/>
      <c r="AX455" s="9"/>
      <c r="AY455" s="8" t="s">
        <v>4527</v>
      </c>
      <c r="AZ455" s="8" t="b">
        <v>0</v>
      </c>
      <c r="BA455" s="8" t="s">
        <v>190</v>
      </c>
      <c r="BB455" s="8" t="s">
        <v>191</v>
      </c>
      <c r="BC455" s="9"/>
      <c r="BD455" s="9"/>
      <c r="BE455" s="8" t="s">
        <v>4755</v>
      </c>
      <c r="BF455" s="9"/>
      <c r="BG455" s="9"/>
      <c r="BH455" s="9"/>
      <c r="BI455" s="9"/>
      <c r="BJ455" s="9"/>
      <c r="BK455" s="9"/>
      <c r="BL455" s="9"/>
      <c r="BM455" s="9"/>
      <c r="BN455" s="9"/>
      <c r="BO455" s="9"/>
      <c r="BP455" s="9"/>
      <c r="BQ455" s="9"/>
      <c r="BR455" s="8" t="s">
        <v>193</v>
      </c>
      <c r="BS455" s="8" t="s">
        <v>194</v>
      </c>
      <c r="BT455" s="9"/>
      <c r="BU455" s="9"/>
      <c r="BV455" s="8" t="s">
        <v>4756</v>
      </c>
      <c r="BW455" s="9"/>
      <c r="BX455" s="9"/>
      <c r="BY455" s="8" t="s">
        <v>2419</v>
      </c>
      <c r="BZ455" s="9"/>
      <c r="CA455" s="9"/>
      <c r="CB455" s="8" t="s">
        <v>4503</v>
      </c>
      <c r="CC455" s="9"/>
      <c r="CD455" s="9"/>
      <c r="CE455" s="8" t="s">
        <v>197</v>
      </c>
      <c r="CF455" s="8" t="s">
        <v>4757</v>
      </c>
      <c r="CG455" s="9"/>
      <c r="CH455" s="9"/>
      <c r="CI455" s="9"/>
      <c r="CJ455" s="9"/>
      <c r="CK455" s="9"/>
      <c r="CL455" s="9"/>
      <c r="CM455" s="9"/>
      <c r="CN455" s="9"/>
      <c r="CO455" s="9"/>
      <c r="CP455" s="9"/>
    </row>
    <row r="456">
      <c r="A456" s="7" t="s">
        <v>4758</v>
      </c>
      <c r="B456" s="8" t="s">
        <v>4759</v>
      </c>
      <c r="C456" s="8" t="s">
        <v>4759</v>
      </c>
      <c r="D456" s="8" t="s">
        <v>2900</v>
      </c>
      <c r="E456" s="9"/>
      <c r="F456" s="9"/>
      <c r="G456" s="8" t="s">
        <v>4760</v>
      </c>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t="str">
        <f t="shared" si="35"/>
        <v/>
      </c>
      <c r="AK456" s="8"/>
      <c r="AL456" s="8"/>
      <c r="AM456" s="9"/>
      <c r="AN456" s="9"/>
      <c r="AO456" s="9"/>
      <c r="AP456" s="9"/>
      <c r="AQ456" s="9"/>
      <c r="AR456" s="9"/>
      <c r="AS456" s="9"/>
      <c r="AT456" s="9"/>
      <c r="AU456" s="9"/>
      <c r="AV456" s="9"/>
      <c r="AW456" s="9"/>
      <c r="AX456" s="9"/>
      <c r="AY456" s="8" t="s">
        <v>4527</v>
      </c>
      <c r="AZ456" s="8" t="b">
        <v>0</v>
      </c>
      <c r="BA456" s="8" t="s">
        <v>190</v>
      </c>
      <c r="BB456" s="8" t="s">
        <v>4761</v>
      </c>
      <c r="BC456" s="8" t="s">
        <v>4762</v>
      </c>
      <c r="BD456" s="8" t="s">
        <v>4763</v>
      </c>
      <c r="BE456" s="9"/>
      <c r="BF456" s="8" t="s">
        <v>2900</v>
      </c>
      <c r="BG456" s="8" t="s">
        <v>4764</v>
      </c>
      <c r="BH456" s="9"/>
      <c r="BI456" s="9"/>
      <c r="BJ456" s="9"/>
      <c r="BK456" s="9"/>
      <c r="BL456" s="9"/>
      <c r="BM456" s="9"/>
      <c r="BN456" s="9"/>
      <c r="BO456" s="9"/>
      <c r="BP456" s="9"/>
      <c r="BQ456" s="9"/>
      <c r="BR456" s="9"/>
      <c r="BS456" s="9"/>
      <c r="BT456" s="9"/>
      <c r="BU456" s="9"/>
      <c r="BV456" s="9"/>
      <c r="BW456" s="9"/>
      <c r="BX456" s="9"/>
      <c r="BY456" s="9"/>
      <c r="BZ456" s="9"/>
      <c r="CA456" s="9"/>
      <c r="CB456" s="8" t="s">
        <v>4765</v>
      </c>
      <c r="CC456" s="9"/>
      <c r="CD456" s="9"/>
      <c r="CE456" s="8" t="s">
        <v>366</v>
      </c>
      <c r="CF456" s="8" t="s">
        <v>4766</v>
      </c>
      <c r="CG456" s="9"/>
      <c r="CH456" s="9"/>
      <c r="CI456" s="9"/>
      <c r="CJ456" s="9"/>
      <c r="CK456" s="9"/>
      <c r="CL456" s="9"/>
      <c r="CM456" s="9"/>
      <c r="CN456" s="9"/>
      <c r="CO456" s="9"/>
      <c r="CP456" s="9"/>
    </row>
    <row r="457">
      <c r="A457" s="7" t="s">
        <v>4767</v>
      </c>
      <c r="B457" s="8" t="s">
        <v>4768</v>
      </c>
      <c r="C457" s="8" t="s">
        <v>4768</v>
      </c>
      <c r="D457" s="8" t="s">
        <v>354</v>
      </c>
      <c r="E457" s="8" t="s">
        <v>355</v>
      </c>
      <c r="F457" s="9"/>
      <c r="G457" s="8" t="s">
        <v>4769</v>
      </c>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t="str">
        <f t="shared" si="35"/>
        <v/>
      </c>
      <c r="AK457" s="8"/>
      <c r="AL457" s="8"/>
      <c r="AM457" s="8" t="s">
        <v>4770</v>
      </c>
      <c r="AN457" s="9"/>
      <c r="AO457" s="9"/>
      <c r="AP457" s="9"/>
      <c r="AQ457" s="9"/>
      <c r="AR457" s="9"/>
      <c r="AS457" s="9"/>
      <c r="AT457" s="9"/>
      <c r="AU457" s="9"/>
      <c r="AV457" s="9"/>
      <c r="AW457" s="8" t="s">
        <v>476</v>
      </c>
      <c r="AX457" s="8" t="s">
        <v>197</v>
      </c>
      <c r="AY457" s="8" t="s">
        <v>4527</v>
      </c>
      <c r="AZ457" s="8" t="b">
        <v>0</v>
      </c>
      <c r="BA457" s="8" t="s">
        <v>190</v>
      </c>
      <c r="BB457" s="9"/>
      <c r="BC457" s="9"/>
      <c r="BD457" s="8" t="s">
        <v>4771</v>
      </c>
      <c r="BE457" s="8" t="s">
        <v>4772</v>
      </c>
      <c r="BF457" s="8" t="s">
        <v>354</v>
      </c>
      <c r="BG457" s="8" t="s">
        <v>355</v>
      </c>
      <c r="BH457" s="8" t="s">
        <v>4770</v>
      </c>
      <c r="BI457" s="8" t="s">
        <v>4773</v>
      </c>
      <c r="BJ457" s="8" t="s">
        <v>4774</v>
      </c>
      <c r="BK457" s="8" t="s">
        <v>412</v>
      </c>
      <c r="BL457" s="9"/>
      <c r="BM457" s="9"/>
      <c r="BN457" s="9"/>
      <c r="BO457" s="9"/>
      <c r="BP457" s="9"/>
      <c r="BQ457" s="9"/>
      <c r="BR457" s="9"/>
      <c r="BS457" s="9"/>
      <c r="BT457" s="9"/>
      <c r="BU457" s="9"/>
      <c r="BV457" s="9"/>
      <c r="BW457" s="9"/>
      <c r="BX457" s="9"/>
      <c r="BY457" s="9"/>
      <c r="BZ457" s="9"/>
      <c r="CA457" s="9"/>
      <c r="CB457" s="8" t="s">
        <v>4775</v>
      </c>
      <c r="CC457" s="9"/>
      <c r="CD457" s="9"/>
      <c r="CE457" s="8" t="s">
        <v>366</v>
      </c>
      <c r="CF457" s="8" t="s">
        <v>4776</v>
      </c>
      <c r="CG457" s="9"/>
      <c r="CH457" s="9"/>
      <c r="CI457" s="9"/>
      <c r="CJ457" s="9"/>
      <c r="CK457" s="9"/>
      <c r="CL457" s="9"/>
      <c r="CM457" s="9"/>
      <c r="CN457" s="9"/>
      <c r="CO457" s="9"/>
      <c r="CP457" s="9"/>
    </row>
    <row r="458">
      <c r="A458" s="7" t="s">
        <v>4777</v>
      </c>
      <c r="B458" s="8" t="s">
        <v>4778</v>
      </c>
      <c r="C458" s="8" t="s">
        <v>4779</v>
      </c>
      <c r="D458" s="8" t="s">
        <v>94</v>
      </c>
      <c r="E458" s="8" t="s">
        <v>95</v>
      </c>
      <c r="F458" s="9"/>
      <c r="G458" s="8" t="s">
        <v>4780</v>
      </c>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t="str">
        <f t="shared" si="35"/>
        <v/>
      </c>
      <c r="AK458" s="8"/>
      <c r="AL458" s="8"/>
      <c r="AM458" s="8" t="s">
        <v>3500</v>
      </c>
      <c r="AN458" s="8" t="s">
        <v>4781</v>
      </c>
      <c r="AO458" s="9"/>
      <c r="AP458" s="9"/>
      <c r="AQ458" s="9"/>
      <c r="AR458" s="9"/>
      <c r="AS458" s="9"/>
      <c r="AT458" s="9"/>
      <c r="AU458" s="8" t="s">
        <v>4782</v>
      </c>
      <c r="AV458" s="9"/>
      <c r="AW458" s="9"/>
      <c r="AX458" s="9"/>
      <c r="AY458" s="8" t="s">
        <v>4527</v>
      </c>
      <c r="AZ458" s="8" t="b">
        <v>0</v>
      </c>
      <c r="BA458" s="8" t="s">
        <v>190</v>
      </c>
      <c r="BB458" s="8" t="s">
        <v>191</v>
      </c>
      <c r="BC458" s="8" t="s">
        <v>1767</v>
      </c>
      <c r="BD458" s="9"/>
      <c r="BE458" s="8" t="s">
        <v>4783</v>
      </c>
      <c r="BF458" s="9"/>
      <c r="BG458" s="9"/>
      <c r="BH458" s="9"/>
      <c r="BI458" s="8" t="s">
        <v>115</v>
      </c>
      <c r="BJ458" s="8" t="s">
        <v>4784</v>
      </c>
      <c r="BK458" s="9"/>
      <c r="BL458" s="9"/>
      <c r="BM458" s="8" t="s">
        <v>4785</v>
      </c>
      <c r="BN458" s="8" t="s">
        <v>4786</v>
      </c>
      <c r="BO458" s="9"/>
      <c r="BP458" s="9"/>
      <c r="BQ458" s="9"/>
      <c r="BR458" s="8" t="s">
        <v>193</v>
      </c>
      <c r="BS458" s="8" t="s">
        <v>194</v>
      </c>
      <c r="BT458" s="9"/>
      <c r="BU458" s="9"/>
      <c r="BV458" s="8" t="s">
        <v>4313</v>
      </c>
      <c r="BW458" s="9"/>
      <c r="BX458" s="9"/>
      <c r="BY458" s="9"/>
      <c r="BZ458" s="9"/>
      <c r="CA458" s="9"/>
      <c r="CB458" s="9"/>
      <c r="CC458" s="9"/>
      <c r="CD458" s="9"/>
      <c r="CE458" s="8" t="s">
        <v>115</v>
      </c>
      <c r="CF458" s="8" t="s">
        <v>4787</v>
      </c>
      <c r="CG458" s="9"/>
      <c r="CH458" s="9"/>
      <c r="CI458" s="9"/>
      <c r="CJ458" s="9"/>
      <c r="CK458" s="9"/>
      <c r="CL458" s="9"/>
      <c r="CM458" s="9"/>
      <c r="CN458" s="9"/>
      <c r="CO458" s="9"/>
      <c r="CP458" s="9"/>
    </row>
    <row r="459">
      <c r="A459" s="7" t="s">
        <v>4788</v>
      </c>
      <c r="B459" s="8" t="s">
        <v>4789</v>
      </c>
      <c r="C459" s="8" t="s">
        <v>4790</v>
      </c>
      <c r="D459" s="8" t="s">
        <v>94</v>
      </c>
      <c r="E459" s="8" t="s">
        <v>95</v>
      </c>
      <c r="F459" s="9"/>
      <c r="G459" s="8" t="s">
        <v>4791</v>
      </c>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t="str">
        <f t="shared" si="35"/>
        <v/>
      </c>
      <c r="AK459" s="8"/>
      <c r="AL459" s="8"/>
      <c r="AM459" s="8" t="s">
        <v>3500</v>
      </c>
      <c r="AN459" s="8" t="s">
        <v>4792</v>
      </c>
      <c r="AO459" s="9"/>
      <c r="AP459" s="9"/>
      <c r="AQ459" s="9"/>
      <c r="AR459" s="9"/>
      <c r="AS459" s="9"/>
      <c r="AT459" s="9"/>
      <c r="AU459" s="8" t="s">
        <v>4793</v>
      </c>
      <c r="AV459" s="9"/>
      <c r="AW459" s="9"/>
      <c r="AX459" s="9"/>
      <c r="AY459" s="8" t="s">
        <v>4527</v>
      </c>
      <c r="AZ459" s="8" t="b">
        <v>0</v>
      </c>
      <c r="BA459" s="8" t="s">
        <v>190</v>
      </c>
      <c r="BB459" s="8" t="s">
        <v>191</v>
      </c>
      <c r="BC459" s="8" t="s">
        <v>1767</v>
      </c>
      <c r="BD459" s="9"/>
      <c r="BE459" s="8" t="s">
        <v>4794</v>
      </c>
      <c r="BF459" s="9"/>
      <c r="BG459" s="9"/>
      <c r="BH459" s="9"/>
      <c r="BI459" s="8" t="s">
        <v>4795</v>
      </c>
      <c r="BJ459" s="8" t="s">
        <v>4796</v>
      </c>
      <c r="BK459" s="9"/>
      <c r="BL459" s="9"/>
      <c r="BM459" s="8" t="s">
        <v>4785</v>
      </c>
      <c r="BN459" s="8" t="s">
        <v>4786</v>
      </c>
      <c r="BO459" s="9"/>
      <c r="BP459" s="9"/>
      <c r="BQ459" s="9"/>
      <c r="BR459" s="8" t="s">
        <v>193</v>
      </c>
      <c r="BS459" s="8" t="s">
        <v>194</v>
      </c>
      <c r="BT459" s="9"/>
      <c r="BU459" s="9"/>
      <c r="BV459" s="8" t="s">
        <v>3640</v>
      </c>
      <c r="BW459" s="9"/>
      <c r="BX459" s="9"/>
      <c r="BY459" s="9"/>
      <c r="BZ459" s="9"/>
      <c r="CA459" s="9"/>
      <c r="CB459" s="9"/>
      <c r="CC459" s="9"/>
      <c r="CD459" s="9"/>
      <c r="CE459" s="8" t="s">
        <v>115</v>
      </c>
      <c r="CF459" s="8" t="s">
        <v>4797</v>
      </c>
      <c r="CG459" s="9"/>
      <c r="CH459" s="9"/>
      <c r="CI459" s="9"/>
      <c r="CJ459" s="9"/>
      <c r="CK459" s="9"/>
      <c r="CL459" s="9"/>
      <c r="CM459" s="9"/>
      <c r="CN459" s="9"/>
      <c r="CO459" s="9"/>
      <c r="CP459" s="9"/>
    </row>
    <row r="460">
      <c r="A460" s="7" t="s">
        <v>4798</v>
      </c>
      <c r="B460" s="8" t="s">
        <v>4799</v>
      </c>
      <c r="C460" s="8" t="s">
        <v>4800</v>
      </c>
      <c r="D460" s="8" t="s">
        <v>94</v>
      </c>
      <c r="E460" s="8" t="s">
        <v>95</v>
      </c>
      <c r="F460" s="9"/>
      <c r="G460" s="8" t="s">
        <v>4801</v>
      </c>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t="str">
        <f t="shared" si="35"/>
        <v/>
      </c>
      <c r="AK460" s="8"/>
      <c r="AL460" s="8"/>
      <c r="AM460" s="8" t="s">
        <v>3500</v>
      </c>
      <c r="AN460" s="8" t="s">
        <v>4802</v>
      </c>
      <c r="AO460" s="9"/>
      <c r="AP460" s="9"/>
      <c r="AQ460" s="9"/>
      <c r="AR460" s="9"/>
      <c r="AS460" s="9"/>
      <c r="AT460" s="9"/>
      <c r="AU460" s="8" t="s">
        <v>4803</v>
      </c>
      <c r="AV460" s="9"/>
      <c r="AW460" s="9"/>
      <c r="AX460" s="9"/>
      <c r="AY460" s="8" t="s">
        <v>4527</v>
      </c>
      <c r="AZ460" s="8" t="b">
        <v>0</v>
      </c>
      <c r="BA460" s="8" t="s">
        <v>190</v>
      </c>
      <c r="BB460" s="8" t="s">
        <v>191</v>
      </c>
      <c r="BC460" s="8" t="s">
        <v>1767</v>
      </c>
      <c r="BD460" s="9"/>
      <c r="BE460" s="8" t="s">
        <v>4804</v>
      </c>
      <c r="BF460" s="9"/>
      <c r="BG460" s="9"/>
      <c r="BH460" s="9"/>
      <c r="BI460" s="9"/>
      <c r="BJ460" s="9"/>
      <c r="BK460" s="9"/>
      <c r="BL460" s="9"/>
      <c r="BM460" s="9"/>
      <c r="BN460" s="9"/>
      <c r="BO460" s="9"/>
      <c r="BP460" s="9"/>
      <c r="BQ460" s="9"/>
      <c r="BR460" s="8" t="s">
        <v>193</v>
      </c>
      <c r="BS460" s="8" t="s">
        <v>194</v>
      </c>
      <c r="BT460" s="9"/>
      <c r="BU460" s="9"/>
      <c r="BV460" s="9"/>
      <c r="BW460" s="9"/>
      <c r="BX460" s="9"/>
      <c r="BY460" s="9"/>
      <c r="BZ460" s="9"/>
      <c r="CA460" s="9"/>
      <c r="CB460" s="9"/>
      <c r="CC460" s="9"/>
      <c r="CD460" s="9"/>
      <c r="CE460" s="8" t="s">
        <v>115</v>
      </c>
      <c r="CF460" s="8" t="s">
        <v>4805</v>
      </c>
      <c r="CG460" s="9"/>
      <c r="CH460" s="9"/>
      <c r="CI460" s="9"/>
      <c r="CJ460" s="9"/>
      <c r="CK460" s="9"/>
      <c r="CL460" s="9"/>
      <c r="CM460" s="9"/>
      <c r="CN460" s="9"/>
      <c r="CO460" s="9"/>
      <c r="CP460" s="9"/>
    </row>
    <row r="461">
      <c r="A461" s="7" t="s">
        <v>4806</v>
      </c>
      <c r="B461" s="8" t="s">
        <v>4807</v>
      </c>
      <c r="C461" s="8" t="s">
        <v>4807</v>
      </c>
      <c r="D461" s="8" t="s">
        <v>354</v>
      </c>
      <c r="E461" s="8" t="s">
        <v>355</v>
      </c>
      <c r="F461" s="9"/>
      <c r="G461" s="8" t="s">
        <v>4808</v>
      </c>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t="str">
        <f t="shared" si="35"/>
        <v/>
      </c>
      <c r="AK461" s="8"/>
      <c r="AL461" s="8"/>
      <c r="AM461" s="8" t="s">
        <v>4809</v>
      </c>
      <c r="AN461" s="9"/>
      <c r="AO461" s="9"/>
      <c r="AP461" s="9"/>
      <c r="AQ461" s="9"/>
      <c r="AR461" s="8" t="s">
        <v>4810</v>
      </c>
      <c r="AS461" s="8" t="s">
        <v>4811</v>
      </c>
      <c r="AT461" s="9"/>
      <c r="AU461" s="8" t="s">
        <v>4812</v>
      </c>
      <c r="AV461" s="9"/>
      <c r="AW461" s="8" t="s">
        <v>450</v>
      </c>
      <c r="AX461" s="8" t="s">
        <v>197</v>
      </c>
      <c r="AY461" s="8" t="s">
        <v>4527</v>
      </c>
      <c r="AZ461" s="8" t="b">
        <v>0</v>
      </c>
      <c r="BA461" s="8" t="s">
        <v>190</v>
      </c>
      <c r="BB461" s="8" t="s">
        <v>1222</v>
      </c>
      <c r="BC461" s="9"/>
      <c r="BD461" s="9"/>
      <c r="BE461" s="8" t="s">
        <v>1223</v>
      </c>
      <c r="BF461" s="9"/>
      <c r="BG461" s="9"/>
      <c r="BH461" s="9"/>
      <c r="BI461" s="8" t="s">
        <v>4813</v>
      </c>
      <c r="BJ461" s="8" t="s">
        <v>4123</v>
      </c>
      <c r="BK461" s="9"/>
      <c r="BL461" s="9"/>
      <c r="BM461" s="9"/>
      <c r="BN461" s="9"/>
      <c r="BO461" s="9"/>
      <c r="BP461" s="9"/>
      <c r="BQ461" s="9"/>
      <c r="BR461" s="8" t="s">
        <v>193</v>
      </c>
      <c r="BS461" s="8" t="s">
        <v>194</v>
      </c>
      <c r="BT461" s="9"/>
      <c r="BU461" s="9"/>
      <c r="BV461" s="8" t="s">
        <v>4814</v>
      </c>
      <c r="BW461" s="9"/>
      <c r="BX461" s="9"/>
      <c r="BY461" s="9"/>
      <c r="BZ461" s="9"/>
      <c r="CA461" s="9"/>
      <c r="CB461" s="8" t="s">
        <v>4815</v>
      </c>
      <c r="CC461" s="9"/>
      <c r="CD461" s="9"/>
      <c r="CE461" s="8" t="s">
        <v>366</v>
      </c>
      <c r="CF461" s="9"/>
      <c r="CG461" s="9"/>
      <c r="CH461" s="9"/>
      <c r="CI461" s="9"/>
      <c r="CJ461" s="9"/>
      <c r="CK461" s="9"/>
      <c r="CL461" s="9"/>
      <c r="CM461" s="9"/>
      <c r="CN461" s="9"/>
      <c r="CO461" s="9"/>
      <c r="CP461" s="9"/>
    </row>
    <row r="462">
      <c r="A462" s="7" t="s">
        <v>4816</v>
      </c>
      <c r="B462" s="8" t="s">
        <v>4817</v>
      </c>
      <c r="C462" s="8" t="s">
        <v>4818</v>
      </c>
      <c r="D462" s="8" t="s">
        <v>94</v>
      </c>
      <c r="E462" s="8" t="s">
        <v>95</v>
      </c>
      <c r="F462" s="9"/>
      <c r="G462" s="8" t="s">
        <v>4819</v>
      </c>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t="str">
        <f t="shared" si="35"/>
        <v/>
      </c>
      <c r="AK462" s="8"/>
      <c r="AL462" s="8"/>
      <c r="AM462" s="8" t="s">
        <v>105</v>
      </c>
      <c r="AN462" s="8" t="s">
        <v>4820</v>
      </c>
      <c r="AO462" s="9"/>
      <c r="AP462" s="9"/>
      <c r="AQ462" s="9"/>
      <c r="AR462" s="9"/>
      <c r="AS462" s="9"/>
      <c r="AT462" s="9"/>
      <c r="AU462" s="8" t="s">
        <v>4821</v>
      </c>
      <c r="AV462" s="9"/>
      <c r="AW462" s="9"/>
      <c r="AX462" s="9"/>
      <c r="AY462" s="8" t="s">
        <v>4822</v>
      </c>
      <c r="AZ462" s="8" t="b">
        <v>0</v>
      </c>
      <c r="BA462" s="8" t="s">
        <v>190</v>
      </c>
      <c r="BB462" s="8" t="s">
        <v>191</v>
      </c>
      <c r="BC462" s="9"/>
      <c r="BD462" s="9"/>
      <c r="BE462" s="8" t="s">
        <v>4823</v>
      </c>
      <c r="BF462" s="9"/>
      <c r="BG462" s="9"/>
      <c r="BH462" s="9"/>
      <c r="BI462" s="9"/>
      <c r="BJ462" s="9"/>
      <c r="BK462" s="9"/>
      <c r="BL462" s="9"/>
      <c r="BM462" s="9"/>
      <c r="BN462" s="9"/>
      <c r="BO462" s="9"/>
      <c r="BP462" s="9"/>
      <c r="BQ462" s="9"/>
      <c r="BR462" s="8" t="s">
        <v>193</v>
      </c>
      <c r="BS462" s="8" t="s">
        <v>4824</v>
      </c>
      <c r="BT462" s="9"/>
      <c r="BU462" s="9"/>
      <c r="BV462" s="9"/>
      <c r="BW462" s="9"/>
      <c r="BX462" s="9"/>
      <c r="BY462" s="9"/>
      <c r="BZ462" s="9"/>
      <c r="CA462" s="9"/>
      <c r="CB462" s="8" t="s">
        <v>4825</v>
      </c>
      <c r="CC462" s="9"/>
      <c r="CD462" s="9"/>
      <c r="CE462" s="8" t="s">
        <v>903</v>
      </c>
      <c r="CF462" s="8" t="s">
        <v>4826</v>
      </c>
      <c r="CG462" s="9"/>
      <c r="CH462" s="9"/>
      <c r="CI462" s="9"/>
      <c r="CJ462" s="9"/>
      <c r="CK462" s="9"/>
      <c r="CL462" s="9"/>
      <c r="CM462" s="9"/>
      <c r="CN462" s="9"/>
      <c r="CO462" s="9"/>
      <c r="CP462" s="9"/>
    </row>
    <row r="463">
      <c r="A463" s="7" t="s">
        <v>4827</v>
      </c>
      <c r="B463" s="8" t="s">
        <v>4828</v>
      </c>
      <c r="C463" s="8" t="s">
        <v>4829</v>
      </c>
      <c r="D463" s="8" t="s">
        <v>94</v>
      </c>
      <c r="E463" s="8" t="s">
        <v>95</v>
      </c>
      <c r="F463" s="9"/>
      <c r="G463" s="8" t="s">
        <v>4675</v>
      </c>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t="str">
        <f t="shared" si="35"/>
        <v/>
      </c>
      <c r="AK463" s="8"/>
      <c r="AL463" s="8"/>
      <c r="AM463" s="8" t="s">
        <v>105</v>
      </c>
      <c r="AN463" s="8" t="s">
        <v>4830</v>
      </c>
      <c r="AO463" s="9"/>
      <c r="AP463" s="8" t="s">
        <v>713</v>
      </c>
      <c r="AQ463" s="9"/>
      <c r="AR463" s="9"/>
      <c r="AS463" s="9"/>
      <c r="AT463" s="9"/>
      <c r="AU463" s="8" t="s">
        <v>4831</v>
      </c>
      <c r="AV463" s="9"/>
      <c r="AW463" s="9"/>
      <c r="AX463" s="9"/>
      <c r="AY463" s="8" t="s">
        <v>4822</v>
      </c>
      <c r="AZ463" s="8" t="b">
        <v>0</v>
      </c>
      <c r="BA463" s="8" t="s">
        <v>190</v>
      </c>
      <c r="BB463" s="8" t="s">
        <v>191</v>
      </c>
      <c r="BC463" s="9"/>
      <c r="BD463" s="9"/>
      <c r="BE463" s="8" t="s">
        <v>4832</v>
      </c>
      <c r="BF463" s="9"/>
      <c r="BG463" s="9"/>
      <c r="BH463" s="9"/>
      <c r="BI463" s="9"/>
      <c r="BJ463" s="9"/>
      <c r="BK463" s="9"/>
      <c r="BL463" s="9"/>
      <c r="BM463" s="9"/>
      <c r="BN463" s="9"/>
      <c r="BO463" s="9"/>
      <c r="BP463" s="9"/>
      <c r="BQ463" s="9"/>
      <c r="BR463" s="8" t="s">
        <v>193</v>
      </c>
      <c r="BS463" s="8" t="s">
        <v>194</v>
      </c>
      <c r="BT463" s="8" t="s">
        <v>1551</v>
      </c>
      <c r="BU463" s="9"/>
      <c r="BV463" s="8" t="s">
        <v>4833</v>
      </c>
      <c r="BW463" s="9"/>
      <c r="BX463" s="9"/>
      <c r="BY463" s="9"/>
      <c r="BZ463" s="9"/>
      <c r="CA463" s="9"/>
      <c r="CB463" s="8" t="s">
        <v>2487</v>
      </c>
      <c r="CC463" s="9"/>
      <c r="CD463" s="9"/>
      <c r="CE463" s="8" t="s">
        <v>197</v>
      </c>
      <c r="CF463" s="8" t="s">
        <v>4834</v>
      </c>
      <c r="CG463" s="9"/>
      <c r="CH463" s="9"/>
      <c r="CI463" s="9"/>
      <c r="CJ463" s="9"/>
      <c r="CK463" s="9"/>
      <c r="CL463" s="9"/>
      <c r="CM463" s="9"/>
      <c r="CN463" s="9"/>
      <c r="CO463" s="9"/>
      <c r="CP463" s="9"/>
    </row>
    <row r="464">
      <c r="A464" s="7" t="s">
        <v>4835</v>
      </c>
      <c r="B464" s="8" t="s">
        <v>4836</v>
      </c>
      <c r="C464" s="8" t="s">
        <v>4837</v>
      </c>
      <c r="D464" s="8" t="s">
        <v>94</v>
      </c>
      <c r="E464" s="8" t="s">
        <v>95</v>
      </c>
      <c r="F464" s="9"/>
      <c r="G464" s="8" t="s">
        <v>4838</v>
      </c>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t="str">
        <f t="shared" si="35"/>
        <v/>
      </c>
      <c r="AK464" s="8"/>
      <c r="AL464" s="8"/>
      <c r="AM464" s="8" t="s">
        <v>105</v>
      </c>
      <c r="AN464" s="8" t="s">
        <v>4839</v>
      </c>
      <c r="AO464" s="9"/>
      <c r="AP464" s="8" t="s">
        <v>734</v>
      </c>
      <c r="AQ464" s="9"/>
      <c r="AR464" s="9"/>
      <c r="AS464" s="9"/>
      <c r="AT464" s="9"/>
      <c r="AU464" s="8" t="s">
        <v>4840</v>
      </c>
      <c r="AV464" s="8" t="s">
        <v>108</v>
      </c>
      <c r="AW464" s="9"/>
      <c r="AX464" s="9"/>
      <c r="AY464" s="8" t="s">
        <v>4822</v>
      </c>
      <c r="AZ464" s="8" t="b">
        <v>0</v>
      </c>
      <c r="BA464" s="8" t="s">
        <v>110</v>
      </c>
      <c r="BB464" s="8" t="s">
        <v>277</v>
      </c>
      <c r="BC464" s="9"/>
      <c r="BD464" s="9"/>
      <c r="BE464" s="8" t="s">
        <v>4841</v>
      </c>
      <c r="BF464" s="9"/>
      <c r="BG464" s="9"/>
      <c r="BH464" s="9"/>
      <c r="BI464" s="9"/>
      <c r="BJ464" s="9"/>
      <c r="BK464" s="9"/>
      <c r="BL464" s="9"/>
      <c r="BM464" s="9"/>
      <c r="BN464" s="9"/>
      <c r="BO464" s="9"/>
      <c r="BP464" s="9"/>
      <c r="BQ464" s="9"/>
      <c r="BR464" s="9"/>
      <c r="BS464" s="9"/>
      <c r="BT464" s="9"/>
      <c r="BU464" s="9"/>
      <c r="BV464" s="9"/>
      <c r="BW464" s="9"/>
      <c r="BX464" s="9"/>
      <c r="BY464" s="9"/>
      <c r="BZ464" s="9"/>
      <c r="CA464" s="9"/>
      <c r="CB464" s="8" t="s">
        <v>4842</v>
      </c>
      <c r="CC464" s="9"/>
      <c r="CD464" s="9"/>
      <c r="CE464" s="8" t="s">
        <v>115</v>
      </c>
      <c r="CF464" s="8" t="s">
        <v>4843</v>
      </c>
      <c r="CG464" s="9"/>
      <c r="CH464" s="9"/>
      <c r="CI464" s="9"/>
      <c r="CJ464" s="9"/>
      <c r="CK464" s="9"/>
      <c r="CL464" s="9"/>
      <c r="CM464" s="9"/>
      <c r="CN464" s="9"/>
      <c r="CO464" s="9"/>
      <c r="CP464" s="9"/>
    </row>
    <row r="465">
      <c r="A465" s="7" t="s">
        <v>4844</v>
      </c>
      <c r="B465" s="8" t="s">
        <v>4845</v>
      </c>
      <c r="C465" s="8" t="s">
        <v>4846</v>
      </c>
      <c r="D465" s="8" t="s">
        <v>94</v>
      </c>
      <c r="E465" s="8" t="s">
        <v>95</v>
      </c>
      <c r="F465" s="9"/>
      <c r="G465" s="8" t="s">
        <v>4847</v>
      </c>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t="str">
        <f t="shared" si="35"/>
        <v/>
      </c>
      <c r="AK465" s="8"/>
      <c r="AL465" s="8"/>
      <c r="AM465" s="8" t="s">
        <v>1877</v>
      </c>
      <c r="AN465" s="8" t="s">
        <v>4848</v>
      </c>
      <c r="AO465" s="9"/>
      <c r="AP465" s="9"/>
      <c r="AQ465" s="9"/>
      <c r="AR465" s="8" t="s">
        <v>1879</v>
      </c>
      <c r="AS465" s="8" t="s">
        <v>1880</v>
      </c>
      <c r="AT465" s="9"/>
      <c r="AU465" s="8" t="s">
        <v>4849</v>
      </c>
      <c r="AV465" s="9"/>
      <c r="AW465" s="9"/>
      <c r="AX465" s="9"/>
      <c r="AY465" s="8" t="s">
        <v>4822</v>
      </c>
      <c r="AZ465" s="8" t="b">
        <v>0</v>
      </c>
      <c r="BA465" s="8" t="s">
        <v>190</v>
      </c>
      <c r="BB465" s="8" t="s">
        <v>191</v>
      </c>
      <c r="BC465" s="8" t="s">
        <v>629</v>
      </c>
      <c r="BD465" s="9"/>
      <c r="BE465" s="8" t="s">
        <v>4276</v>
      </c>
      <c r="BF465" s="9"/>
      <c r="BG465" s="9"/>
      <c r="BH465" s="9"/>
      <c r="BI465" s="9"/>
      <c r="BJ465" s="9"/>
      <c r="BK465" s="8" t="s">
        <v>3061</v>
      </c>
      <c r="BL465" s="9"/>
      <c r="BM465" s="9"/>
      <c r="BN465" s="9"/>
      <c r="BO465" s="9"/>
      <c r="BP465" s="9"/>
      <c r="BQ465" s="9"/>
      <c r="BR465" s="8" t="s">
        <v>193</v>
      </c>
      <c r="BS465" s="8" t="s">
        <v>2628</v>
      </c>
      <c r="BT465" s="9"/>
      <c r="BU465" s="9"/>
      <c r="BV465" s="8" t="s">
        <v>2629</v>
      </c>
      <c r="BW465" s="9"/>
      <c r="BX465" s="9"/>
      <c r="BY465" s="9"/>
      <c r="BZ465" s="9"/>
      <c r="CA465" s="9"/>
      <c r="CB465" s="8" t="s">
        <v>4125</v>
      </c>
      <c r="CC465" s="9"/>
      <c r="CD465" s="9"/>
      <c r="CE465" s="8" t="s">
        <v>115</v>
      </c>
      <c r="CF465" s="8" t="s">
        <v>4850</v>
      </c>
      <c r="CG465" s="9"/>
      <c r="CH465" s="9"/>
      <c r="CI465" s="9"/>
      <c r="CJ465" s="9"/>
      <c r="CK465" s="9"/>
      <c r="CL465" s="9"/>
      <c r="CM465" s="9"/>
      <c r="CN465" s="9"/>
      <c r="CO465" s="9"/>
      <c r="CP465" s="9"/>
    </row>
    <row r="466">
      <c r="A466" s="7" t="s">
        <v>4851</v>
      </c>
      <c r="B466" s="8" t="s">
        <v>4852</v>
      </c>
      <c r="C466" s="8" t="s">
        <v>4853</v>
      </c>
      <c r="D466" s="8" t="s">
        <v>94</v>
      </c>
      <c r="E466" s="8" t="s">
        <v>95</v>
      </c>
      <c r="F466" s="9"/>
      <c r="G466" s="8" t="s">
        <v>4854</v>
      </c>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t="str">
        <f t="shared" si="35"/>
        <v/>
      </c>
      <c r="AK466" s="8"/>
      <c r="AL466" s="8"/>
      <c r="AM466" s="8" t="s">
        <v>1877</v>
      </c>
      <c r="AN466" s="8" t="s">
        <v>641</v>
      </c>
      <c r="AO466" s="9"/>
      <c r="AP466" s="9"/>
      <c r="AQ466" s="9"/>
      <c r="AR466" s="8" t="s">
        <v>1879</v>
      </c>
      <c r="AS466" s="8" t="s">
        <v>1880</v>
      </c>
      <c r="AT466" s="9"/>
      <c r="AU466" s="8" t="s">
        <v>4855</v>
      </c>
      <c r="AV466" s="8" t="s">
        <v>108</v>
      </c>
      <c r="AW466" s="9"/>
      <c r="AX466" s="9"/>
      <c r="AY466" s="8" t="s">
        <v>4822</v>
      </c>
      <c r="AZ466" s="8" t="b">
        <v>0</v>
      </c>
      <c r="BA466" s="8" t="s">
        <v>110</v>
      </c>
      <c r="BB466" s="8" t="s">
        <v>2485</v>
      </c>
      <c r="BC466" s="9"/>
      <c r="BD466" s="9"/>
      <c r="BE466" s="8" t="s">
        <v>4856</v>
      </c>
      <c r="BF466" s="9"/>
      <c r="BG466" s="9"/>
      <c r="BH466" s="9"/>
      <c r="BI466" s="9"/>
      <c r="BJ466" s="9"/>
      <c r="BK466" s="9"/>
      <c r="BL466" s="9"/>
      <c r="BM466" s="9"/>
      <c r="BN466" s="9"/>
      <c r="BO466" s="9"/>
      <c r="BP466" s="9"/>
      <c r="BQ466" s="9"/>
      <c r="BR466" s="9"/>
      <c r="BS466" s="9"/>
      <c r="BT466" s="9"/>
      <c r="BU466" s="9"/>
      <c r="BV466" s="9"/>
      <c r="BW466" s="9"/>
      <c r="BX466" s="9"/>
      <c r="BY466" s="9"/>
      <c r="BZ466" s="9"/>
      <c r="CA466" s="9"/>
      <c r="CB466" s="8" t="s">
        <v>4125</v>
      </c>
      <c r="CC466" s="9"/>
      <c r="CD466" s="9"/>
      <c r="CE466" s="8" t="s">
        <v>115</v>
      </c>
      <c r="CF466" s="8" t="s">
        <v>4857</v>
      </c>
      <c r="CG466" s="9"/>
      <c r="CH466" s="9"/>
      <c r="CI466" s="9"/>
      <c r="CJ466" s="9"/>
      <c r="CK466" s="9"/>
      <c r="CL466" s="9"/>
      <c r="CM466" s="9"/>
      <c r="CN466" s="9"/>
      <c r="CO466" s="9"/>
      <c r="CP466" s="9"/>
    </row>
    <row r="467">
      <c r="A467" s="7" t="s">
        <v>4858</v>
      </c>
      <c r="B467" s="8" t="s">
        <v>4859</v>
      </c>
      <c r="C467" s="8" t="s">
        <v>4859</v>
      </c>
      <c r="D467" s="8" t="s">
        <v>94</v>
      </c>
      <c r="E467" s="8" t="s">
        <v>1546</v>
      </c>
      <c r="F467" s="9"/>
      <c r="G467" s="8" t="s">
        <v>4860</v>
      </c>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t="str">
        <f t="shared" si="35"/>
        <v/>
      </c>
      <c r="AK467" s="8"/>
      <c r="AL467" s="8"/>
      <c r="AM467" s="9"/>
      <c r="AN467" s="9"/>
      <c r="AO467" s="9"/>
      <c r="AP467" s="9"/>
      <c r="AQ467" s="9"/>
      <c r="AR467" s="9"/>
      <c r="AS467" s="9"/>
      <c r="AT467" s="9"/>
      <c r="AU467" s="8" t="s">
        <v>4861</v>
      </c>
      <c r="AV467" s="8" t="s">
        <v>108</v>
      </c>
      <c r="AW467" s="9"/>
      <c r="AX467" s="9"/>
      <c r="AY467" s="8" t="s">
        <v>4822</v>
      </c>
      <c r="AZ467" s="8" t="b">
        <v>0</v>
      </c>
      <c r="BA467" s="8" t="s">
        <v>110</v>
      </c>
      <c r="BB467" s="8" t="s">
        <v>4009</v>
      </c>
      <c r="BC467" s="8" t="s">
        <v>3363</v>
      </c>
      <c r="BD467" s="9"/>
      <c r="BE467" s="8" t="s">
        <v>4862</v>
      </c>
      <c r="BF467" s="9"/>
      <c r="BG467" s="9"/>
      <c r="BH467" s="9"/>
      <c r="BI467" s="9"/>
      <c r="BJ467" s="9"/>
      <c r="BK467" s="9"/>
      <c r="BL467" s="9"/>
      <c r="BM467" s="9"/>
      <c r="BN467" s="9"/>
      <c r="BO467" s="9"/>
      <c r="BP467" s="9"/>
      <c r="BQ467" s="9"/>
      <c r="BR467" s="9"/>
      <c r="BS467" s="9"/>
      <c r="BT467" s="9"/>
      <c r="BU467" s="9"/>
      <c r="BV467" s="9"/>
      <c r="BW467" s="9"/>
      <c r="BX467" s="9"/>
      <c r="BY467" s="9"/>
      <c r="BZ467" s="9"/>
      <c r="CA467" s="9"/>
      <c r="CB467" s="8" t="s">
        <v>4863</v>
      </c>
      <c r="CC467" s="9"/>
      <c r="CD467" s="9"/>
      <c r="CE467" s="8" t="s">
        <v>366</v>
      </c>
      <c r="CF467" s="8" t="s">
        <v>4864</v>
      </c>
      <c r="CG467" s="9"/>
      <c r="CH467" s="9"/>
      <c r="CI467" s="9"/>
      <c r="CJ467" s="9"/>
      <c r="CK467" s="9"/>
      <c r="CL467" s="9"/>
      <c r="CM467" s="9"/>
      <c r="CN467" s="9"/>
      <c r="CO467" s="9"/>
      <c r="CP467" s="9"/>
    </row>
    <row r="468">
      <c r="A468" s="7" t="s">
        <v>4865</v>
      </c>
      <c r="B468" s="8" t="s">
        <v>4866</v>
      </c>
      <c r="C468" s="8" t="s">
        <v>4866</v>
      </c>
      <c r="D468" s="8" t="s">
        <v>94</v>
      </c>
      <c r="E468" s="8" t="s">
        <v>1546</v>
      </c>
      <c r="F468" s="9"/>
      <c r="G468" s="8" t="s">
        <v>4867</v>
      </c>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t="str">
        <f t="shared" si="35"/>
        <v/>
      </c>
      <c r="AK468" s="8"/>
      <c r="AL468" s="8"/>
      <c r="AM468" s="9"/>
      <c r="AN468" s="9"/>
      <c r="AO468" s="9"/>
      <c r="AP468" s="9"/>
      <c r="AQ468" s="9"/>
      <c r="AR468" s="9"/>
      <c r="AS468" s="9"/>
      <c r="AT468" s="9"/>
      <c r="AU468" s="8" t="s">
        <v>4868</v>
      </c>
      <c r="AV468" s="8" t="s">
        <v>108</v>
      </c>
      <c r="AW468" s="9"/>
      <c r="AX468" s="9"/>
      <c r="AY468" s="8" t="s">
        <v>4822</v>
      </c>
      <c r="AZ468" s="8" t="b">
        <v>0</v>
      </c>
      <c r="BA468" s="8" t="s">
        <v>110</v>
      </c>
      <c r="BB468" s="8" t="s">
        <v>4009</v>
      </c>
      <c r="BC468" s="8" t="s">
        <v>3363</v>
      </c>
      <c r="BD468" s="9"/>
      <c r="BE468" s="8" t="s">
        <v>4869</v>
      </c>
      <c r="BF468" s="9"/>
      <c r="BG468" s="9"/>
      <c r="BH468" s="9"/>
      <c r="BI468" s="9"/>
      <c r="BJ468" s="9"/>
      <c r="BK468" s="9"/>
      <c r="BL468" s="9"/>
      <c r="BM468" s="9"/>
      <c r="BN468" s="9"/>
      <c r="BO468" s="9"/>
      <c r="BP468" s="9"/>
      <c r="BQ468" s="9"/>
      <c r="BR468" s="9"/>
      <c r="BS468" s="9"/>
      <c r="BT468" s="9"/>
      <c r="BU468" s="9"/>
      <c r="BV468" s="9"/>
      <c r="BW468" s="9"/>
      <c r="BX468" s="9"/>
      <c r="BY468" s="9"/>
      <c r="BZ468" s="9"/>
      <c r="CA468" s="9"/>
      <c r="CB468" s="8" t="s">
        <v>4863</v>
      </c>
      <c r="CC468" s="9"/>
      <c r="CD468" s="9"/>
      <c r="CE468" s="8" t="s">
        <v>366</v>
      </c>
      <c r="CF468" s="8" t="s">
        <v>4870</v>
      </c>
      <c r="CG468" s="9"/>
      <c r="CH468" s="9"/>
      <c r="CI468" s="9"/>
      <c r="CJ468" s="9"/>
      <c r="CK468" s="9"/>
      <c r="CL468" s="9"/>
      <c r="CM468" s="9"/>
      <c r="CN468" s="9"/>
      <c r="CO468" s="9"/>
      <c r="CP468" s="9"/>
    </row>
    <row r="469">
      <c r="A469" s="7" t="s">
        <v>4871</v>
      </c>
      <c r="B469" s="8" t="s">
        <v>4872</v>
      </c>
      <c r="C469" s="8" t="s">
        <v>4873</v>
      </c>
      <c r="D469" s="8" t="s">
        <v>94</v>
      </c>
      <c r="E469" s="8" t="s">
        <v>95</v>
      </c>
      <c r="F469" s="9"/>
      <c r="G469" s="8" t="s">
        <v>4874</v>
      </c>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t="str">
        <f t="shared" si="35"/>
        <v/>
      </c>
      <c r="AK469" s="8"/>
      <c r="AL469" s="8"/>
      <c r="AM469" s="8" t="s">
        <v>591</v>
      </c>
      <c r="AN469" s="8" t="s">
        <v>4164</v>
      </c>
      <c r="AO469" s="9"/>
      <c r="AP469" s="8" t="s">
        <v>4875</v>
      </c>
      <c r="AQ469" s="9"/>
      <c r="AR469" s="8" t="s">
        <v>592</v>
      </c>
      <c r="AS469" s="8" t="s">
        <v>593</v>
      </c>
      <c r="AT469" s="9"/>
      <c r="AU469" s="8" t="s">
        <v>4876</v>
      </c>
      <c r="AV469" s="8" t="s">
        <v>108</v>
      </c>
      <c r="AW469" s="9"/>
      <c r="AX469" s="9"/>
      <c r="AY469" s="8" t="s">
        <v>4822</v>
      </c>
      <c r="AZ469" s="8" t="b">
        <v>0</v>
      </c>
      <c r="BA469" s="8" t="s">
        <v>110</v>
      </c>
      <c r="BB469" s="8" t="s">
        <v>773</v>
      </c>
      <c r="BC469" s="9"/>
      <c r="BD469" s="9"/>
      <c r="BE469" s="8" t="s">
        <v>4877</v>
      </c>
      <c r="BF469" s="9"/>
      <c r="BG469" s="9"/>
      <c r="BH469" s="9"/>
      <c r="BI469" s="9"/>
      <c r="BJ469" s="9"/>
      <c r="BK469" s="9"/>
      <c r="BL469" s="9"/>
      <c r="BM469" s="9"/>
      <c r="BN469" s="9"/>
      <c r="BO469" s="9"/>
      <c r="BP469" s="9"/>
      <c r="BQ469" s="9"/>
      <c r="BR469" s="9"/>
      <c r="BS469" s="9"/>
      <c r="BT469" s="9"/>
      <c r="BU469" s="9"/>
      <c r="BV469" s="9"/>
      <c r="BW469" s="9"/>
      <c r="BX469" s="9"/>
      <c r="BY469" s="9"/>
      <c r="BZ469" s="9"/>
      <c r="CA469" s="9"/>
      <c r="CB469" s="8" t="s">
        <v>4878</v>
      </c>
      <c r="CC469" s="9"/>
      <c r="CD469" s="9"/>
      <c r="CE469" s="8" t="s">
        <v>115</v>
      </c>
      <c r="CF469" s="8" t="s">
        <v>4879</v>
      </c>
      <c r="CG469" s="9"/>
      <c r="CH469" s="9"/>
      <c r="CI469" s="9"/>
      <c r="CJ469" s="9"/>
      <c r="CK469" s="9"/>
      <c r="CL469" s="9"/>
      <c r="CM469" s="9"/>
      <c r="CN469" s="9"/>
      <c r="CO469" s="9"/>
      <c r="CP469" s="9"/>
    </row>
    <row r="470">
      <c r="A470" s="7" t="s">
        <v>4880</v>
      </c>
      <c r="B470" s="8" t="s">
        <v>4881</v>
      </c>
      <c r="C470" s="8" t="s">
        <v>4882</v>
      </c>
      <c r="D470" s="8" t="s">
        <v>94</v>
      </c>
      <c r="E470" s="8" t="s">
        <v>2732</v>
      </c>
      <c r="F470" s="9"/>
      <c r="G470" s="8" t="s">
        <v>4883</v>
      </c>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t="str">
        <f t="shared" si="35"/>
        <v/>
      </c>
      <c r="AK470" s="8"/>
      <c r="AL470" s="8"/>
      <c r="AM470" s="8" t="s">
        <v>4884</v>
      </c>
      <c r="AN470" s="8" t="s">
        <v>4885</v>
      </c>
      <c r="AO470" s="9"/>
      <c r="AP470" s="9"/>
      <c r="AQ470" s="9"/>
      <c r="AR470" s="9"/>
      <c r="AS470" s="9"/>
      <c r="AT470" s="9"/>
      <c r="AU470" s="9"/>
      <c r="AV470" s="9"/>
      <c r="AW470" s="9"/>
      <c r="AX470" s="9"/>
      <c r="AY470" s="8" t="s">
        <v>4822</v>
      </c>
      <c r="AZ470" s="8" t="b">
        <v>0</v>
      </c>
      <c r="BA470" s="8" t="s">
        <v>110</v>
      </c>
      <c r="BB470" s="8" t="s">
        <v>4886</v>
      </c>
      <c r="BC470" s="8" t="s">
        <v>629</v>
      </c>
      <c r="BD470" s="9"/>
      <c r="BE470" s="8" t="s">
        <v>1806</v>
      </c>
      <c r="BF470" s="9"/>
      <c r="BG470" s="9"/>
      <c r="BH470" s="9"/>
      <c r="BI470" s="9"/>
      <c r="BJ470" s="9"/>
      <c r="BK470" s="9"/>
      <c r="BL470" s="9"/>
      <c r="BM470" s="9"/>
      <c r="BN470" s="9"/>
      <c r="BO470" s="9"/>
      <c r="BP470" s="9"/>
      <c r="BQ470" s="9"/>
      <c r="BR470" s="9"/>
      <c r="BS470" s="9"/>
      <c r="BT470" s="9"/>
      <c r="BU470" s="9"/>
      <c r="BV470" s="9"/>
      <c r="BW470" s="9"/>
      <c r="BX470" s="9"/>
      <c r="BY470" s="9"/>
      <c r="BZ470" s="9"/>
      <c r="CA470" s="9"/>
      <c r="CB470" s="8" t="s">
        <v>4887</v>
      </c>
      <c r="CC470" s="9"/>
      <c r="CD470" s="9"/>
      <c r="CE470" s="8" t="s">
        <v>366</v>
      </c>
      <c r="CF470" s="8" t="s">
        <v>4888</v>
      </c>
      <c r="CG470" s="9"/>
      <c r="CH470" s="9"/>
      <c r="CI470" s="9"/>
      <c r="CJ470" s="9"/>
      <c r="CK470" s="9"/>
      <c r="CL470" s="9"/>
      <c r="CM470" s="9"/>
      <c r="CN470" s="9"/>
      <c r="CO470" s="9"/>
      <c r="CP470" s="9"/>
    </row>
    <row r="471">
      <c r="A471" s="7" t="s">
        <v>4889</v>
      </c>
      <c r="B471" s="8" t="s">
        <v>4890</v>
      </c>
      <c r="C471" s="8" t="s">
        <v>4891</v>
      </c>
      <c r="D471" s="8" t="s">
        <v>94</v>
      </c>
      <c r="E471" s="8" t="s">
        <v>95</v>
      </c>
      <c r="F471" s="9"/>
      <c r="G471" s="8" t="s">
        <v>4892</v>
      </c>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t="str">
        <f t="shared" si="35"/>
        <v/>
      </c>
      <c r="AK471" s="8"/>
      <c r="AL471" s="8"/>
      <c r="AM471" s="8" t="s">
        <v>591</v>
      </c>
      <c r="AN471" s="8" t="s">
        <v>939</v>
      </c>
      <c r="AO471" s="9"/>
      <c r="AP471" s="8" t="s">
        <v>713</v>
      </c>
      <c r="AQ471" s="9"/>
      <c r="AR471" s="8" t="s">
        <v>592</v>
      </c>
      <c r="AS471" s="8" t="s">
        <v>593</v>
      </c>
      <c r="AT471" s="9"/>
      <c r="AU471" s="8" t="s">
        <v>4893</v>
      </c>
      <c r="AV471" s="8" t="s">
        <v>108</v>
      </c>
      <c r="AW471" s="9"/>
      <c r="AX471" s="9"/>
      <c r="AY471" s="8" t="s">
        <v>4822</v>
      </c>
      <c r="AZ471" s="8" t="b">
        <v>0</v>
      </c>
      <c r="BA471" s="8" t="s">
        <v>110</v>
      </c>
      <c r="BB471" s="9"/>
      <c r="BC471" s="9"/>
      <c r="BD471" s="9"/>
      <c r="BE471" s="8" t="s">
        <v>4894</v>
      </c>
      <c r="BF471" s="9"/>
      <c r="BG471" s="9"/>
      <c r="BH471" s="9"/>
      <c r="BI471" s="9"/>
      <c r="BJ471" s="9"/>
      <c r="BK471" s="9"/>
      <c r="BL471" s="9"/>
      <c r="BM471" s="9"/>
      <c r="BN471" s="9"/>
      <c r="BO471" s="9"/>
      <c r="BP471" s="9"/>
      <c r="BQ471" s="9"/>
      <c r="BR471" s="9"/>
      <c r="BS471" s="9"/>
      <c r="BT471" s="9"/>
      <c r="BU471" s="9"/>
      <c r="BV471" s="9"/>
      <c r="BW471" s="9"/>
      <c r="BX471" s="9"/>
      <c r="BY471" s="9"/>
      <c r="BZ471" s="9"/>
      <c r="CA471" s="9"/>
      <c r="CB471" s="8" t="s">
        <v>4895</v>
      </c>
      <c r="CC471" s="9"/>
      <c r="CD471" s="9"/>
      <c r="CE471" s="8" t="s">
        <v>1138</v>
      </c>
      <c r="CF471" s="8" t="s">
        <v>4896</v>
      </c>
      <c r="CG471" s="9"/>
      <c r="CH471" s="9"/>
      <c r="CI471" s="9"/>
      <c r="CJ471" s="9"/>
      <c r="CK471" s="9"/>
      <c r="CL471" s="9"/>
      <c r="CM471" s="9"/>
      <c r="CN471" s="9"/>
      <c r="CO471" s="9"/>
      <c r="CP471" s="9"/>
    </row>
    <row r="472">
      <c r="A472" s="7" t="s">
        <v>4897</v>
      </c>
      <c r="B472" s="8" t="s">
        <v>4898</v>
      </c>
      <c r="C472" s="8" t="s">
        <v>4899</v>
      </c>
      <c r="D472" s="8" t="s">
        <v>94</v>
      </c>
      <c r="E472" s="8" t="s">
        <v>95</v>
      </c>
      <c r="F472" s="9"/>
      <c r="G472" s="8" t="s">
        <v>4900</v>
      </c>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t="str">
        <f t="shared" si="35"/>
        <v/>
      </c>
      <c r="AK472" s="8"/>
      <c r="AL472" s="8"/>
      <c r="AM472" s="8" t="s">
        <v>1477</v>
      </c>
      <c r="AN472" s="8" t="s">
        <v>4901</v>
      </c>
      <c r="AO472" s="9"/>
      <c r="AP472" s="9"/>
      <c r="AQ472" s="9"/>
      <c r="AR472" s="8" t="s">
        <v>1479</v>
      </c>
      <c r="AS472" s="8" t="s">
        <v>1480</v>
      </c>
      <c r="AT472" s="9"/>
      <c r="AU472" s="8" t="s">
        <v>4902</v>
      </c>
      <c r="AV472" s="8" t="s">
        <v>108</v>
      </c>
      <c r="AW472" s="9"/>
      <c r="AX472" s="9"/>
      <c r="AY472" s="8" t="s">
        <v>4822</v>
      </c>
      <c r="AZ472" s="8" t="b">
        <v>0</v>
      </c>
      <c r="BA472" s="8" t="s">
        <v>110</v>
      </c>
      <c r="BB472" s="9"/>
      <c r="BC472" s="9"/>
      <c r="BD472" s="9"/>
      <c r="BE472" s="8" t="s">
        <v>4903</v>
      </c>
      <c r="BF472" s="9"/>
      <c r="BG472" s="9"/>
      <c r="BH472" s="9"/>
      <c r="BI472" s="9"/>
      <c r="BJ472" s="9"/>
      <c r="BK472" s="9"/>
      <c r="BL472" s="9"/>
      <c r="BM472" s="9"/>
      <c r="BN472" s="9"/>
      <c r="BO472" s="9"/>
      <c r="BP472" s="9"/>
      <c r="BQ472" s="9"/>
      <c r="BR472" s="9"/>
      <c r="BS472" s="9"/>
      <c r="BT472" s="9"/>
      <c r="BU472" s="9"/>
      <c r="BV472" s="9"/>
      <c r="BW472" s="9"/>
      <c r="BX472" s="9"/>
      <c r="BY472" s="9"/>
      <c r="BZ472" s="9"/>
      <c r="CA472" s="9"/>
      <c r="CB472" s="8" t="s">
        <v>4904</v>
      </c>
      <c r="CC472" s="9"/>
      <c r="CD472" s="9"/>
      <c r="CE472" s="8" t="s">
        <v>115</v>
      </c>
      <c r="CF472" s="8" t="s">
        <v>4905</v>
      </c>
      <c r="CG472" s="9"/>
      <c r="CH472" s="9"/>
      <c r="CI472" s="9"/>
      <c r="CJ472" s="9"/>
      <c r="CK472" s="9"/>
      <c r="CL472" s="9"/>
      <c r="CM472" s="9"/>
      <c r="CN472" s="9"/>
      <c r="CO472" s="9"/>
      <c r="CP472" s="9"/>
    </row>
    <row r="473">
      <c r="A473" s="7" t="s">
        <v>4906</v>
      </c>
      <c r="B473" s="8" t="s">
        <v>4907</v>
      </c>
      <c r="C473" s="8" t="s">
        <v>4908</v>
      </c>
      <c r="D473" s="8" t="s">
        <v>94</v>
      </c>
      <c r="E473" s="8" t="s">
        <v>95</v>
      </c>
      <c r="F473" s="9"/>
      <c r="G473" s="8" t="s">
        <v>4909</v>
      </c>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t="str">
        <f t="shared" si="35"/>
        <v/>
      </c>
      <c r="AK473" s="8"/>
      <c r="AL473" s="8"/>
      <c r="AM473" s="8" t="s">
        <v>1477</v>
      </c>
      <c r="AN473" s="8" t="s">
        <v>4910</v>
      </c>
      <c r="AO473" s="9"/>
      <c r="AP473" s="9"/>
      <c r="AQ473" s="9"/>
      <c r="AR473" s="8" t="s">
        <v>1479</v>
      </c>
      <c r="AS473" s="8" t="s">
        <v>1480</v>
      </c>
      <c r="AT473" s="9"/>
      <c r="AU473" s="8" t="s">
        <v>4911</v>
      </c>
      <c r="AV473" s="8" t="s">
        <v>108</v>
      </c>
      <c r="AW473" s="9"/>
      <c r="AX473" s="9"/>
      <c r="AY473" s="8" t="s">
        <v>4822</v>
      </c>
      <c r="AZ473" s="8" t="b">
        <v>0</v>
      </c>
      <c r="BA473" s="8" t="s">
        <v>110</v>
      </c>
      <c r="BB473" s="9"/>
      <c r="BC473" s="9"/>
      <c r="BD473" s="9"/>
      <c r="BE473" s="8" t="s">
        <v>4912</v>
      </c>
      <c r="BF473" s="9"/>
      <c r="BG473" s="9"/>
      <c r="BH473" s="9"/>
      <c r="BI473" s="9"/>
      <c r="BJ473" s="9"/>
      <c r="BK473" s="9"/>
      <c r="BL473" s="9"/>
      <c r="BM473" s="9"/>
      <c r="BN473" s="9"/>
      <c r="BO473" s="9"/>
      <c r="BP473" s="9"/>
      <c r="BQ473" s="9"/>
      <c r="BR473" s="9"/>
      <c r="BS473" s="9"/>
      <c r="BT473" s="9"/>
      <c r="BU473" s="9"/>
      <c r="BV473" s="9"/>
      <c r="BW473" s="9"/>
      <c r="BX473" s="9"/>
      <c r="BY473" s="9"/>
      <c r="BZ473" s="9"/>
      <c r="CA473" s="9"/>
      <c r="CB473" s="8" t="s">
        <v>4913</v>
      </c>
      <c r="CC473" s="9"/>
      <c r="CD473" s="9"/>
      <c r="CE473" s="8" t="s">
        <v>450</v>
      </c>
      <c r="CF473" s="8" t="s">
        <v>4914</v>
      </c>
      <c r="CG473" s="9"/>
      <c r="CH473" s="9"/>
      <c r="CI473" s="9"/>
      <c r="CJ473" s="9"/>
      <c r="CK473" s="9"/>
      <c r="CL473" s="9"/>
      <c r="CM473" s="9"/>
      <c r="CN473" s="9"/>
      <c r="CO473" s="9"/>
      <c r="CP473" s="9"/>
    </row>
    <row r="474">
      <c r="A474" s="7" t="s">
        <v>4915</v>
      </c>
      <c r="B474" s="8" t="s">
        <v>4916</v>
      </c>
      <c r="C474" s="8" t="s">
        <v>4917</v>
      </c>
      <c r="D474" s="8" t="s">
        <v>94</v>
      </c>
      <c r="E474" s="8" t="s">
        <v>95</v>
      </c>
      <c r="F474" s="9"/>
      <c r="G474" s="8" t="s">
        <v>4918</v>
      </c>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t="str">
        <f t="shared" si="35"/>
        <v/>
      </c>
      <c r="AK474" s="8"/>
      <c r="AL474" s="8"/>
      <c r="AM474" s="8" t="s">
        <v>1477</v>
      </c>
      <c r="AN474" s="8" t="s">
        <v>4919</v>
      </c>
      <c r="AO474" s="9"/>
      <c r="AP474" s="9"/>
      <c r="AQ474" s="9"/>
      <c r="AR474" s="8" t="s">
        <v>1479</v>
      </c>
      <c r="AS474" s="8" t="s">
        <v>1480</v>
      </c>
      <c r="AT474" s="9"/>
      <c r="AU474" s="8" t="s">
        <v>4920</v>
      </c>
      <c r="AV474" s="8" t="s">
        <v>108</v>
      </c>
      <c r="AW474" s="9"/>
      <c r="AX474" s="9"/>
      <c r="AY474" s="8" t="s">
        <v>4822</v>
      </c>
      <c r="AZ474" s="8" t="b">
        <v>0</v>
      </c>
      <c r="BA474" s="8" t="s">
        <v>110</v>
      </c>
      <c r="BB474" s="9"/>
      <c r="BC474" s="9"/>
      <c r="BD474" s="9"/>
      <c r="BE474" s="8" t="s">
        <v>4921</v>
      </c>
      <c r="BF474" s="9"/>
      <c r="BG474" s="9"/>
      <c r="BH474" s="9"/>
      <c r="BI474" s="9"/>
      <c r="BJ474" s="9"/>
      <c r="BK474" s="9"/>
      <c r="BL474" s="9"/>
      <c r="BM474" s="9"/>
      <c r="BN474" s="9"/>
      <c r="BO474" s="9"/>
      <c r="BP474" s="9"/>
      <c r="BQ474" s="9"/>
      <c r="BR474" s="9"/>
      <c r="BS474" s="9"/>
      <c r="BT474" s="9"/>
      <c r="BU474" s="9"/>
      <c r="BV474" s="9"/>
      <c r="BW474" s="9"/>
      <c r="BX474" s="9"/>
      <c r="BY474" s="9"/>
      <c r="BZ474" s="9"/>
      <c r="CA474" s="9"/>
      <c r="CB474" s="8" t="s">
        <v>4922</v>
      </c>
      <c r="CC474" s="9"/>
      <c r="CD474" s="9"/>
      <c r="CE474" s="8" t="s">
        <v>197</v>
      </c>
      <c r="CF474" s="8" t="s">
        <v>4923</v>
      </c>
      <c r="CG474" s="9"/>
      <c r="CH474" s="9"/>
      <c r="CI474" s="9"/>
      <c r="CJ474" s="9"/>
      <c r="CK474" s="9"/>
      <c r="CL474" s="9"/>
      <c r="CM474" s="9"/>
      <c r="CN474" s="9"/>
      <c r="CO474" s="9"/>
      <c r="CP474" s="9"/>
    </row>
    <row r="475">
      <c r="A475" s="7" t="s">
        <v>4924</v>
      </c>
      <c r="B475" s="8" t="s">
        <v>4925</v>
      </c>
      <c r="C475" s="8" t="s">
        <v>4926</v>
      </c>
      <c r="D475" s="8" t="s">
        <v>94</v>
      </c>
      <c r="E475" s="8" t="s">
        <v>95</v>
      </c>
      <c r="F475" s="9"/>
      <c r="G475" s="8" t="s">
        <v>4927</v>
      </c>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t="str">
        <f t="shared" si="35"/>
        <v/>
      </c>
      <c r="AK475" s="8"/>
      <c r="AL475" s="8"/>
      <c r="AM475" s="8" t="s">
        <v>1477</v>
      </c>
      <c r="AN475" s="8" t="s">
        <v>4928</v>
      </c>
      <c r="AO475" s="9"/>
      <c r="AP475" s="9"/>
      <c r="AQ475" s="9"/>
      <c r="AR475" s="8" t="s">
        <v>1479</v>
      </c>
      <c r="AS475" s="8" t="s">
        <v>1480</v>
      </c>
      <c r="AT475" s="9"/>
      <c r="AU475" s="8" t="s">
        <v>4929</v>
      </c>
      <c r="AV475" s="9"/>
      <c r="AW475" s="9"/>
      <c r="AX475" s="9"/>
      <c r="AY475" s="8" t="s">
        <v>4822</v>
      </c>
      <c r="AZ475" s="8" t="b">
        <v>0</v>
      </c>
      <c r="BA475" s="8" t="s">
        <v>190</v>
      </c>
      <c r="BB475" s="8" t="s">
        <v>191</v>
      </c>
      <c r="BC475" s="9"/>
      <c r="BD475" s="9"/>
      <c r="BE475" s="8" t="s">
        <v>4930</v>
      </c>
      <c r="BF475" s="9"/>
      <c r="BG475" s="9"/>
      <c r="BH475" s="9"/>
      <c r="BI475" s="9"/>
      <c r="BJ475" s="9"/>
      <c r="BK475" s="9"/>
      <c r="BL475" s="9"/>
      <c r="BM475" s="9"/>
      <c r="BN475" s="9"/>
      <c r="BO475" s="9"/>
      <c r="BP475" s="9"/>
      <c r="BQ475" s="9"/>
      <c r="BR475" s="8" t="s">
        <v>193</v>
      </c>
      <c r="BS475" s="8" t="s">
        <v>194</v>
      </c>
      <c r="BT475" s="9"/>
      <c r="BU475" s="9"/>
      <c r="BV475" s="8" t="s">
        <v>4931</v>
      </c>
      <c r="BW475" s="9"/>
      <c r="BX475" s="9"/>
      <c r="BY475" s="9"/>
      <c r="BZ475" s="9"/>
      <c r="CA475" s="9"/>
      <c r="CB475" s="8" t="s">
        <v>4932</v>
      </c>
      <c r="CC475" s="9"/>
      <c r="CD475" s="9"/>
      <c r="CE475" s="8" t="s">
        <v>106</v>
      </c>
      <c r="CF475" s="8" t="s">
        <v>4933</v>
      </c>
      <c r="CG475" s="9"/>
      <c r="CH475" s="9"/>
      <c r="CI475" s="9"/>
      <c r="CJ475" s="9"/>
      <c r="CK475" s="9"/>
      <c r="CL475" s="9"/>
      <c r="CM475" s="9"/>
      <c r="CN475" s="9"/>
      <c r="CO475" s="9"/>
      <c r="CP475" s="9"/>
    </row>
    <row r="476">
      <c r="A476" s="7" t="s">
        <v>4934</v>
      </c>
      <c r="B476" s="8" t="s">
        <v>4935</v>
      </c>
      <c r="C476" s="8" t="s">
        <v>4936</v>
      </c>
      <c r="D476" s="8" t="s">
        <v>94</v>
      </c>
      <c r="E476" s="8" t="s">
        <v>95</v>
      </c>
      <c r="F476" s="9"/>
      <c r="G476" s="8" t="s">
        <v>4860</v>
      </c>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t="str">
        <f t="shared" si="35"/>
        <v/>
      </c>
      <c r="AK476" s="8"/>
      <c r="AL476" s="8"/>
      <c r="AM476" s="8" t="s">
        <v>1477</v>
      </c>
      <c r="AN476" s="8" t="s">
        <v>4937</v>
      </c>
      <c r="AO476" s="9"/>
      <c r="AP476" s="9"/>
      <c r="AQ476" s="9"/>
      <c r="AR476" s="8" t="s">
        <v>1479</v>
      </c>
      <c r="AS476" s="8" t="s">
        <v>1480</v>
      </c>
      <c r="AT476" s="9"/>
      <c r="AU476" s="8" t="s">
        <v>4938</v>
      </c>
      <c r="AV476" s="8" t="s">
        <v>108</v>
      </c>
      <c r="AW476" s="9"/>
      <c r="AX476" s="9"/>
      <c r="AY476" s="8" t="s">
        <v>4822</v>
      </c>
      <c r="AZ476" s="8" t="b">
        <v>0</v>
      </c>
      <c r="BA476" s="8" t="s">
        <v>110</v>
      </c>
      <c r="BB476" s="9"/>
      <c r="BC476" s="9"/>
      <c r="BD476" s="9"/>
      <c r="BE476" s="8" t="s">
        <v>4939</v>
      </c>
      <c r="BF476" s="9"/>
      <c r="BG476" s="9"/>
      <c r="BH476" s="9"/>
      <c r="BI476" s="9"/>
      <c r="BJ476" s="9"/>
      <c r="BK476" s="9"/>
      <c r="BL476" s="9"/>
      <c r="BM476" s="9"/>
      <c r="BN476" s="9"/>
      <c r="BO476" s="9"/>
      <c r="BP476" s="9"/>
      <c r="BQ476" s="9"/>
      <c r="BR476" s="9"/>
      <c r="BS476" s="9"/>
      <c r="BT476" s="9"/>
      <c r="BU476" s="9"/>
      <c r="BV476" s="9"/>
      <c r="BW476" s="9"/>
      <c r="BX476" s="9"/>
      <c r="BY476" s="9"/>
      <c r="BZ476" s="9"/>
      <c r="CA476" s="9"/>
      <c r="CB476" s="8" t="s">
        <v>4940</v>
      </c>
      <c r="CC476" s="9"/>
      <c r="CD476" s="9"/>
      <c r="CE476" s="8" t="s">
        <v>115</v>
      </c>
      <c r="CF476" s="8" t="s">
        <v>4941</v>
      </c>
      <c r="CG476" s="9"/>
      <c r="CH476" s="9"/>
      <c r="CI476" s="9"/>
      <c r="CJ476" s="9"/>
      <c r="CK476" s="9"/>
      <c r="CL476" s="9"/>
      <c r="CM476" s="9"/>
      <c r="CN476" s="9"/>
      <c r="CO476" s="9"/>
      <c r="CP476" s="9"/>
    </row>
    <row r="477">
      <c r="A477" s="7" t="s">
        <v>4942</v>
      </c>
      <c r="B477" s="8" t="s">
        <v>4943</v>
      </c>
      <c r="C477" s="8" t="s">
        <v>4944</v>
      </c>
      <c r="D477" s="8" t="s">
        <v>94</v>
      </c>
      <c r="E477" s="8" t="s">
        <v>95</v>
      </c>
      <c r="F477" s="9"/>
      <c r="G477" s="8" t="s">
        <v>4945</v>
      </c>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t="str">
        <f t="shared" si="35"/>
        <v/>
      </c>
      <c r="AK477" s="8"/>
      <c r="AL477" s="8"/>
      <c r="AM477" s="8" t="s">
        <v>1477</v>
      </c>
      <c r="AN477" s="8" t="s">
        <v>4946</v>
      </c>
      <c r="AO477" s="9"/>
      <c r="AP477" s="9"/>
      <c r="AQ477" s="9"/>
      <c r="AR477" s="8" t="s">
        <v>1479</v>
      </c>
      <c r="AS477" s="8" t="s">
        <v>1480</v>
      </c>
      <c r="AT477" s="9"/>
      <c r="AU477" s="8" t="s">
        <v>4947</v>
      </c>
      <c r="AV477" s="8" t="s">
        <v>108</v>
      </c>
      <c r="AW477" s="9"/>
      <c r="AX477" s="9"/>
      <c r="AY477" s="8" t="s">
        <v>4822</v>
      </c>
      <c r="AZ477" s="8" t="b">
        <v>0</v>
      </c>
      <c r="BA477" s="8" t="s">
        <v>110</v>
      </c>
      <c r="BB477" s="9"/>
      <c r="BC477" s="9"/>
      <c r="BD477" s="9"/>
      <c r="BE477" s="8" t="s">
        <v>4948</v>
      </c>
      <c r="BF477" s="9"/>
      <c r="BG477" s="9"/>
      <c r="BH477" s="9"/>
      <c r="BI477" s="9"/>
      <c r="BJ477" s="9"/>
      <c r="BK477" s="9"/>
      <c r="BL477" s="9"/>
      <c r="BM477" s="9"/>
      <c r="BN477" s="9"/>
      <c r="BO477" s="9"/>
      <c r="BP477" s="9"/>
      <c r="BQ477" s="9"/>
      <c r="BR477" s="9"/>
      <c r="BS477" s="9"/>
      <c r="BT477" s="9"/>
      <c r="BU477" s="9"/>
      <c r="BV477" s="9"/>
      <c r="BW477" s="9"/>
      <c r="BX477" s="9"/>
      <c r="BY477" s="9"/>
      <c r="BZ477" s="9"/>
      <c r="CA477" s="9"/>
      <c r="CB477" s="8" t="s">
        <v>4949</v>
      </c>
      <c r="CC477" s="9"/>
      <c r="CD477" s="9"/>
      <c r="CE477" s="8" t="s">
        <v>197</v>
      </c>
      <c r="CF477" s="8" t="s">
        <v>4950</v>
      </c>
      <c r="CG477" s="9"/>
      <c r="CH477" s="9"/>
      <c r="CI477" s="9"/>
      <c r="CJ477" s="9"/>
      <c r="CK477" s="9"/>
      <c r="CL477" s="9"/>
      <c r="CM477" s="9"/>
      <c r="CN477" s="9"/>
      <c r="CO477" s="9"/>
      <c r="CP477" s="9"/>
    </row>
    <row r="478">
      <c r="A478" s="7" t="s">
        <v>4951</v>
      </c>
      <c r="B478" s="8" t="s">
        <v>4952</v>
      </c>
      <c r="C478" s="8" t="s">
        <v>4953</v>
      </c>
      <c r="D478" s="8" t="s">
        <v>94</v>
      </c>
      <c r="E478" s="8" t="s">
        <v>95</v>
      </c>
      <c r="F478" s="9"/>
      <c r="G478" s="8" t="s">
        <v>4954</v>
      </c>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t="str">
        <f t="shared" si="35"/>
        <v/>
      </c>
      <c r="AK478" s="8"/>
      <c r="AL478" s="8"/>
      <c r="AM478" s="8" t="s">
        <v>1477</v>
      </c>
      <c r="AN478" s="8" t="s">
        <v>4955</v>
      </c>
      <c r="AO478" s="9"/>
      <c r="AP478" s="9"/>
      <c r="AQ478" s="9"/>
      <c r="AR478" s="8" t="s">
        <v>1479</v>
      </c>
      <c r="AS478" s="8" t="s">
        <v>1480</v>
      </c>
      <c r="AT478" s="9"/>
      <c r="AU478" s="8" t="s">
        <v>4956</v>
      </c>
      <c r="AV478" s="9"/>
      <c r="AW478" s="9"/>
      <c r="AX478" s="9"/>
      <c r="AY478" s="8" t="s">
        <v>4822</v>
      </c>
      <c r="AZ478" s="8" t="b">
        <v>0</v>
      </c>
      <c r="BA478" s="8" t="s">
        <v>190</v>
      </c>
      <c r="BB478" s="8" t="s">
        <v>191</v>
      </c>
      <c r="BC478" s="8" t="s">
        <v>3363</v>
      </c>
      <c r="BD478" s="9"/>
      <c r="BE478" s="8" t="s">
        <v>4957</v>
      </c>
      <c r="BF478" s="9"/>
      <c r="BG478" s="9"/>
      <c r="BH478" s="9"/>
      <c r="BI478" s="9"/>
      <c r="BJ478" s="9"/>
      <c r="BK478" s="8" t="s">
        <v>4958</v>
      </c>
      <c r="BL478" s="9"/>
      <c r="BM478" s="9"/>
      <c r="BN478" s="9"/>
      <c r="BO478" s="9"/>
      <c r="BP478" s="9"/>
      <c r="BQ478" s="9"/>
      <c r="BR478" s="8" t="s">
        <v>193</v>
      </c>
      <c r="BS478" s="8" t="s">
        <v>194</v>
      </c>
      <c r="BT478" s="8" t="s">
        <v>4959</v>
      </c>
      <c r="BU478" s="9"/>
      <c r="BV478" s="8" t="s">
        <v>4960</v>
      </c>
      <c r="BW478" s="9"/>
      <c r="BX478" s="9"/>
      <c r="BY478" s="9"/>
      <c r="BZ478" s="8" t="s">
        <v>100</v>
      </c>
      <c r="CA478" s="8" t="s">
        <v>100</v>
      </c>
      <c r="CB478" s="8" t="s">
        <v>4961</v>
      </c>
      <c r="CC478" s="9"/>
      <c r="CD478" s="9"/>
      <c r="CE478" s="8" t="s">
        <v>903</v>
      </c>
      <c r="CF478" s="8" t="s">
        <v>4962</v>
      </c>
      <c r="CG478" s="9"/>
      <c r="CH478" s="9"/>
      <c r="CI478" s="9"/>
      <c r="CJ478" s="9"/>
      <c r="CK478" s="9"/>
      <c r="CL478" s="9"/>
      <c r="CM478" s="9"/>
      <c r="CN478" s="9"/>
      <c r="CO478" s="9"/>
      <c r="CP478" s="9"/>
    </row>
    <row r="479">
      <c r="A479" s="7" t="s">
        <v>4963</v>
      </c>
      <c r="B479" s="8" t="s">
        <v>4964</v>
      </c>
      <c r="C479" s="8" t="s">
        <v>4965</v>
      </c>
      <c r="D479" s="8" t="s">
        <v>94</v>
      </c>
      <c r="E479" s="8" t="s">
        <v>95</v>
      </c>
      <c r="F479" s="9"/>
      <c r="G479" s="8" t="s">
        <v>4966</v>
      </c>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t="str">
        <f t="shared" si="35"/>
        <v/>
      </c>
      <c r="AK479" s="8"/>
      <c r="AL479" s="8"/>
      <c r="AM479" s="8" t="s">
        <v>1477</v>
      </c>
      <c r="AN479" s="8" t="s">
        <v>4967</v>
      </c>
      <c r="AO479" s="9"/>
      <c r="AP479" s="9"/>
      <c r="AQ479" s="9"/>
      <c r="AR479" s="8" t="s">
        <v>1479</v>
      </c>
      <c r="AS479" s="8" t="s">
        <v>1480</v>
      </c>
      <c r="AT479" s="9"/>
      <c r="AU479" s="8" t="s">
        <v>4968</v>
      </c>
      <c r="AV479" s="8" t="s">
        <v>108</v>
      </c>
      <c r="AW479" s="9"/>
      <c r="AX479" s="9"/>
      <c r="AY479" s="8" t="s">
        <v>4822</v>
      </c>
      <c r="AZ479" s="8" t="b">
        <v>0</v>
      </c>
      <c r="BA479" s="8" t="s">
        <v>110</v>
      </c>
      <c r="BB479" s="9"/>
      <c r="BC479" s="9"/>
      <c r="BD479" s="9"/>
      <c r="BE479" s="8" t="s">
        <v>4969</v>
      </c>
      <c r="BF479" s="9"/>
      <c r="BG479" s="9"/>
      <c r="BH479" s="9"/>
      <c r="BI479" s="9"/>
      <c r="BJ479" s="9"/>
      <c r="BK479" s="9"/>
      <c r="BL479" s="9"/>
      <c r="BM479" s="9"/>
      <c r="BN479" s="9"/>
      <c r="BO479" s="9"/>
      <c r="BP479" s="9"/>
      <c r="BQ479" s="9"/>
      <c r="BR479" s="9"/>
      <c r="BS479" s="9"/>
      <c r="BT479" s="9"/>
      <c r="BU479" s="9"/>
      <c r="BV479" s="9"/>
      <c r="BW479" s="9"/>
      <c r="BX479" s="9"/>
      <c r="BY479" s="9"/>
      <c r="BZ479" s="9"/>
      <c r="CA479" s="9"/>
      <c r="CB479" s="8" t="s">
        <v>4970</v>
      </c>
      <c r="CC479" s="9"/>
      <c r="CD479" s="9"/>
      <c r="CE479" s="8" t="s">
        <v>366</v>
      </c>
      <c r="CF479" s="8" t="s">
        <v>4971</v>
      </c>
      <c r="CG479" s="9"/>
      <c r="CH479" s="9"/>
      <c r="CI479" s="9"/>
      <c r="CJ479" s="9"/>
      <c r="CK479" s="9"/>
      <c r="CL479" s="9"/>
      <c r="CM479" s="9"/>
      <c r="CN479" s="9"/>
      <c r="CO479" s="9"/>
      <c r="CP479" s="9"/>
    </row>
    <row r="480">
      <c r="A480" s="7" t="s">
        <v>4972</v>
      </c>
      <c r="B480" s="8" t="s">
        <v>4973</v>
      </c>
      <c r="C480" s="8" t="s">
        <v>4974</v>
      </c>
      <c r="D480" s="8" t="s">
        <v>94</v>
      </c>
      <c r="E480" s="8" t="s">
        <v>95</v>
      </c>
      <c r="F480" s="9"/>
      <c r="G480" s="8" t="s">
        <v>4975</v>
      </c>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t="str">
        <f t="shared" si="35"/>
        <v/>
      </c>
      <c r="AK480" s="8"/>
      <c r="AL480" s="8"/>
      <c r="AM480" s="8" t="s">
        <v>1477</v>
      </c>
      <c r="AN480" s="8" t="s">
        <v>4976</v>
      </c>
      <c r="AO480" s="9"/>
      <c r="AP480" s="9"/>
      <c r="AQ480" s="9"/>
      <c r="AR480" s="8" t="s">
        <v>1479</v>
      </c>
      <c r="AS480" s="8" t="s">
        <v>1480</v>
      </c>
      <c r="AT480" s="9"/>
      <c r="AU480" s="8" t="s">
        <v>4977</v>
      </c>
      <c r="AV480" s="8" t="s">
        <v>108</v>
      </c>
      <c r="AW480" s="9"/>
      <c r="AX480" s="9"/>
      <c r="AY480" s="8" t="s">
        <v>4822</v>
      </c>
      <c r="AZ480" s="8" t="b">
        <v>0</v>
      </c>
      <c r="BA480" s="8" t="s">
        <v>110</v>
      </c>
      <c r="BB480" s="9"/>
      <c r="BC480" s="9"/>
      <c r="BD480" s="9"/>
      <c r="BE480" s="8" t="s">
        <v>4978</v>
      </c>
      <c r="BF480" s="9"/>
      <c r="BG480" s="9"/>
      <c r="BH480" s="9"/>
      <c r="BI480" s="9"/>
      <c r="BJ480" s="9"/>
      <c r="BK480" s="9"/>
      <c r="BL480" s="9"/>
      <c r="BM480" s="9"/>
      <c r="BN480" s="9"/>
      <c r="BO480" s="9"/>
      <c r="BP480" s="9"/>
      <c r="BQ480" s="9"/>
      <c r="BR480" s="9"/>
      <c r="BS480" s="9"/>
      <c r="BT480" s="9"/>
      <c r="BU480" s="9"/>
      <c r="BV480" s="9"/>
      <c r="BW480" s="9"/>
      <c r="BX480" s="9"/>
      <c r="BY480" s="9"/>
      <c r="BZ480" s="9"/>
      <c r="CA480" s="9"/>
      <c r="CB480" s="8" t="s">
        <v>4236</v>
      </c>
      <c r="CC480" s="9"/>
      <c r="CD480" s="9"/>
      <c r="CE480" s="8" t="s">
        <v>366</v>
      </c>
      <c r="CF480" s="8" t="s">
        <v>4979</v>
      </c>
      <c r="CG480" s="9"/>
      <c r="CH480" s="9"/>
      <c r="CI480" s="9"/>
      <c r="CJ480" s="9"/>
      <c r="CK480" s="9"/>
      <c r="CL480" s="9"/>
      <c r="CM480" s="9"/>
      <c r="CN480" s="9"/>
      <c r="CO480" s="9"/>
      <c r="CP480" s="9"/>
    </row>
    <row r="481">
      <c r="A481" s="7" t="s">
        <v>4980</v>
      </c>
      <c r="B481" s="8" t="s">
        <v>4981</v>
      </c>
      <c r="C481" s="8" t="s">
        <v>4982</v>
      </c>
      <c r="D481" s="8" t="s">
        <v>94</v>
      </c>
      <c r="E481" s="8" t="s">
        <v>95</v>
      </c>
      <c r="F481" s="9"/>
      <c r="G481" s="8" t="s">
        <v>4983</v>
      </c>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t="str">
        <f t="shared" si="35"/>
        <v/>
      </c>
      <c r="AK481" s="8"/>
      <c r="AL481" s="8"/>
      <c r="AM481" s="8" t="s">
        <v>1477</v>
      </c>
      <c r="AN481" s="8" t="s">
        <v>4984</v>
      </c>
      <c r="AO481" s="9"/>
      <c r="AP481" s="9"/>
      <c r="AQ481" s="9"/>
      <c r="AR481" s="8" t="s">
        <v>1479</v>
      </c>
      <c r="AS481" s="8" t="s">
        <v>1480</v>
      </c>
      <c r="AT481" s="9"/>
      <c r="AU481" s="8" t="s">
        <v>4985</v>
      </c>
      <c r="AV481" s="8" t="s">
        <v>108</v>
      </c>
      <c r="AW481" s="9"/>
      <c r="AX481" s="9"/>
      <c r="AY481" s="8" t="s">
        <v>4822</v>
      </c>
      <c r="AZ481" s="8" t="b">
        <v>0</v>
      </c>
      <c r="BA481" s="8" t="s">
        <v>110</v>
      </c>
      <c r="BB481" s="9"/>
      <c r="BC481" s="9"/>
      <c r="BD481" s="9"/>
      <c r="BE481" s="8" t="s">
        <v>4986</v>
      </c>
      <c r="BF481" s="9"/>
      <c r="BG481" s="9"/>
      <c r="BH481" s="9"/>
      <c r="BI481" s="9"/>
      <c r="BJ481" s="9"/>
      <c r="BK481" s="9"/>
      <c r="BL481" s="9"/>
      <c r="BM481" s="9"/>
      <c r="BN481" s="9"/>
      <c r="BO481" s="9"/>
      <c r="BP481" s="9"/>
      <c r="BQ481" s="9"/>
      <c r="BR481" s="9"/>
      <c r="BS481" s="9"/>
      <c r="BT481" s="9"/>
      <c r="BU481" s="9"/>
      <c r="BV481" s="9"/>
      <c r="BW481" s="9"/>
      <c r="BX481" s="9"/>
      <c r="BY481" s="9"/>
      <c r="BZ481" s="9"/>
      <c r="CA481" s="9"/>
      <c r="CB481" s="8" t="s">
        <v>4987</v>
      </c>
      <c r="CC481" s="9"/>
      <c r="CD481" s="9"/>
      <c r="CE481" s="8" t="s">
        <v>366</v>
      </c>
      <c r="CF481" s="8" t="s">
        <v>4988</v>
      </c>
      <c r="CG481" s="9"/>
      <c r="CH481" s="9"/>
      <c r="CI481" s="9"/>
      <c r="CJ481" s="9"/>
      <c r="CK481" s="9"/>
      <c r="CL481" s="9"/>
      <c r="CM481" s="9"/>
      <c r="CN481" s="9"/>
      <c r="CO481" s="9"/>
      <c r="CP481" s="9"/>
    </row>
    <row r="482">
      <c r="A482" s="7" t="s">
        <v>4989</v>
      </c>
      <c r="B482" s="8" t="s">
        <v>4990</v>
      </c>
      <c r="C482" s="8" t="s">
        <v>4991</v>
      </c>
      <c r="D482" s="8" t="s">
        <v>94</v>
      </c>
      <c r="E482" s="8" t="s">
        <v>95</v>
      </c>
      <c r="F482" s="9"/>
      <c r="G482" s="8" t="s">
        <v>4992</v>
      </c>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t="str">
        <f t="shared" si="35"/>
        <v/>
      </c>
      <c r="AK482" s="8"/>
      <c r="AL482" s="8"/>
      <c r="AM482" s="8" t="s">
        <v>1477</v>
      </c>
      <c r="AN482" s="8" t="s">
        <v>4993</v>
      </c>
      <c r="AO482" s="9"/>
      <c r="AP482" s="9"/>
      <c r="AQ482" s="9"/>
      <c r="AR482" s="8" t="s">
        <v>1479</v>
      </c>
      <c r="AS482" s="8" t="s">
        <v>1480</v>
      </c>
      <c r="AT482" s="9"/>
      <c r="AU482" s="8" t="s">
        <v>4994</v>
      </c>
      <c r="AV482" s="8" t="s">
        <v>108</v>
      </c>
      <c r="AW482" s="9"/>
      <c r="AX482" s="9"/>
      <c r="AY482" s="8" t="s">
        <v>4822</v>
      </c>
      <c r="AZ482" s="8" t="b">
        <v>0</v>
      </c>
      <c r="BA482" s="8" t="s">
        <v>110</v>
      </c>
      <c r="BB482" s="9"/>
      <c r="BC482" s="9"/>
      <c r="BD482" s="9"/>
      <c r="BE482" s="8" t="s">
        <v>4995</v>
      </c>
      <c r="BF482" s="9"/>
      <c r="BG482" s="9"/>
      <c r="BH482" s="9"/>
      <c r="BI482" s="9"/>
      <c r="BJ482" s="9"/>
      <c r="BK482" s="9"/>
      <c r="BL482" s="9"/>
      <c r="BM482" s="9"/>
      <c r="BN482" s="9"/>
      <c r="BO482" s="9"/>
      <c r="BP482" s="9"/>
      <c r="BQ482" s="9"/>
      <c r="BR482" s="9"/>
      <c r="BS482" s="9"/>
      <c r="BT482" s="9"/>
      <c r="BU482" s="9"/>
      <c r="BV482" s="9"/>
      <c r="BW482" s="9"/>
      <c r="BX482" s="9"/>
      <c r="BY482" s="9"/>
      <c r="BZ482" s="9"/>
      <c r="CA482" s="9"/>
      <c r="CB482" s="8" t="s">
        <v>4996</v>
      </c>
      <c r="CC482" s="9"/>
      <c r="CD482" s="9"/>
      <c r="CE482" s="8" t="s">
        <v>366</v>
      </c>
      <c r="CF482" s="8" t="s">
        <v>4997</v>
      </c>
      <c r="CG482" s="9"/>
      <c r="CH482" s="9"/>
      <c r="CI482" s="9"/>
      <c r="CJ482" s="9"/>
      <c r="CK482" s="9"/>
      <c r="CL482" s="9"/>
      <c r="CM482" s="9"/>
      <c r="CN482" s="9"/>
      <c r="CO482" s="9"/>
      <c r="CP482" s="9"/>
    </row>
    <row r="483">
      <c r="A483" s="7" t="s">
        <v>4998</v>
      </c>
      <c r="B483" s="8" t="s">
        <v>4999</v>
      </c>
      <c r="C483" s="8" t="s">
        <v>5000</v>
      </c>
      <c r="D483" s="8" t="s">
        <v>94</v>
      </c>
      <c r="E483" s="8" t="s">
        <v>95</v>
      </c>
      <c r="F483" s="9"/>
      <c r="G483" s="8" t="s">
        <v>5001</v>
      </c>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t="str">
        <f t="shared" si="35"/>
        <v/>
      </c>
      <c r="AK483" s="8"/>
      <c r="AL483" s="8"/>
      <c r="AM483" s="8" t="s">
        <v>1477</v>
      </c>
      <c r="AN483" s="8" t="s">
        <v>5002</v>
      </c>
      <c r="AO483" s="9"/>
      <c r="AP483" s="9"/>
      <c r="AQ483" s="9"/>
      <c r="AR483" s="8" t="s">
        <v>1479</v>
      </c>
      <c r="AS483" s="8" t="s">
        <v>1480</v>
      </c>
      <c r="AT483" s="9"/>
      <c r="AU483" s="8" t="s">
        <v>5003</v>
      </c>
      <c r="AV483" s="8" t="s">
        <v>108</v>
      </c>
      <c r="AW483" s="9"/>
      <c r="AX483" s="9"/>
      <c r="AY483" s="8" t="s">
        <v>4822</v>
      </c>
      <c r="AZ483" s="8" t="b">
        <v>0</v>
      </c>
      <c r="BA483" s="8" t="s">
        <v>110</v>
      </c>
      <c r="BB483" s="9"/>
      <c r="BC483" s="9"/>
      <c r="BD483" s="9"/>
      <c r="BE483" s="8" t="s">
        <v>5004</v>
      </c>
      <c r="BF483" s="9"/>
      <c r="BG483" s="9"/>
      <c r="BH483" s="9"/>
      <c r="BI483" s="9"/>
      <c r="BJ483" s="9"/>
      <c r="BK483" s="9"/>
      <c r="BL483" s="9"/>
      <c r="BM483" s="9"/>
      <c r="BN483" s="9"/>
      <c r="BO483" s="9"/>
      <c r="BP483" s="9"/>
      <c r="BQ483" s="9"/>
      <c r="BR483" s="9"/>
      <c r="BS483" s="9"/>
      <c r="BT483" s="9"/>
      <c r="BU483" s="9"/>
      <c r="BV483" s="9"/>
      <c r="BW483" s="9"/>
      <c r="BX483" s="9"/>
      <c r="BY483" s="9"/>
      <c r="BZ483" s="9"/>
      <c r="CA483" s="9"/>
      <c r="CB483" s="8" t="s">
        <v>5005</v>
      </c>
      <c r="CC483" s="9"/>
      <c r="CD483" s="9"/>
      <c r="CE483" s="8" t="s">
        <v>366</v>
      </c>
      <c r="CF483" s="8" t="s">
        <v>5006</v>
      </c>
      <c r="CG483" s="9"/>
      <c r="CH483" s="9"/>
      <c r="CI483" s="9"/>
      <c r="CJ483" s="9"/>
      <c r="CK483" s="9"/>
      <c r="CL483" s="9"/>
      <c r="CM483" s="9"/>
      <c r="CN483" s="9"/>
      <c r="CO483" s="9"/>
      <c r="CP483" s="9"/>
    </row>
    <row r="484">
      <c r="A484" s="4" t="s">
        <v>5007</v>
      </c>
      <c r="B484" s="5" t="s">
        <v>5008</v>
      </c>
      <c r="C484" s="5" t="s">
        <v>5009</v>
      </c>
      <c r="D484" s="5" t="s">
        <v>94</v>
      </c>
      <c r="E484" s="5" t="s">
        <v>95</v>
      </c>
      <c r="F484" s="6"/>
      <c r="G484" s="5" t="s">
        <v>5010</v>
      </c>
      <c r="H484" s="5" t="s">
        <v>100</v>
      </c>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t="str">
        <f t="shared" si="35"/>
        <v/>
      </c>
      <c r="AK484" s="5"/>
      <c r="AL484" s="5"/>
      <c r="AM484" s="5" t="s">
        <v>3026</v>
      </c>
      <c r="AN484" s="5" t="s">
        <v>3738</v>
      </c>
      <c r="AO484" s="5" t="s">
        <v>3028</v>
      </c>
      <c r="AP484" s="6"/>
      <c r="AQ484" s="6"/>
      <c r="AR484" s="6"/>
      <c r="AS484" s="6"/>
      <c r="AT484" s="6"/>
      <c r="AU484" s="5" t="s">
        <v>5011</v>
      </c>
      <c r="AV484" s="5" t="s">
        <v>108</v>
      </c>
      <c r="AW484" s="6"/>
      <c r="AX484" s="6"/>
      <c r="AY484" s="5" t="s">
        <v>4822</v>
      </c>
      <c r="AZ484" s="5" t="b">
        <v>0</v>
      </c>
      <c r="BA484" s="5" t="s">
        <v>110</v>
      </c>
      <c r="BB484" s="6"/>
      <c r="BC484" s="6"/>
      <c r="BD484" s="6"/>
      <c r="BE484" s="5" t="s">
        <v>5012</v>
      </c>
      <c r="BF484" s="6"/>
      <c r="BG484" s="6"/>
      <c r="BH484" s="6"/>
      <c r="BI484" s="6"/>
      <c r="BJ484" s="6"/>
      <c r="BK484" s="6"/>
      <c r="BL484" s="6"/>
      <c r="BM484" s="6"/>
      <c r="BN484" s="6"/>
      <c r="BO484" s="6"/>
      <c r="BP484" s="6"/>
      <c r="BQ484" s="6"/>
      <c r="BR484" s="6"/>
      <c r="BS484" s="6"/>
      <c r="BT484" s="6"/>
      <c r="BU484" s="6"/>
      <c r="BV484" s="6"/>
      <c r="BW484" s="6"/>
      <c r="BX484" s="6"/>
      <c r="BY484" s="5" t="s">
        <v>3740</v>
      </c>
      <c r="BZ484" s="6"/>
      <c r="CA484" s="6"/>
      <c r="CB484" s="5" t="s">
        <v>3776</v>
      </c>
      <c r="CC484" s="6"/>
      <c r="CD484" s="6"/>
      <c r="CE484" s="5" t="s">
        <v>197</v>
      </c>
      <c r="CF484" s="5" t="s">
        <v>5013</v>
      </c>
      <c r="CG484" s="6"/>
      <c r="CH484" s="6"/>
      <c r="CI484" s="6"/>
      <c r="CJ484" s="6"/>
      <c r="CK484" s="6"/>
      <c r="CL484" s="6"/>
      <c r="CM484" s="6"/>
      <c r="CN484" s="6"/>
      <c r="CO484" s="6"/>
      <c r="CP484" s="6"/>
    </row>
    <row r="485">
      <c r="A485" s="4" t="s">
        <v>5014</v>
      </c>
      <c r="B485" s="5" t="s">
        <v>5015</v>
      </c>
      <c r="C485" s="5" t="s">
        <v>5016</v>
      </c>
      <c r="D485" s="5" t="s">
        <v>94</v>
      </c>
      <c r="E485" s="5" t="s">
        <v>95</v>
      </c>
      <c r="F485" s="6"/>
      <c r="G485" s="5" t="s">
        <v>5017</v>
      </c>
      <c r="H485" s="5" t="s">
        <v>100</v>
      </c>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t="str">
        <f t="shared" si="35"/>
        <v/>
      </c>
      <c r="AK485" s="5"/>
      <c r="AL485" s="5"/>
      <c r="AM485" s="5" t="s">
        <v>3624</v>
      </c>
      <c r="AN485" s="5" t="s">
        <v>529</v>
      </c>
      <c r="AO485" s="6"/>
      <c r="AP485" s="6"/>
      <c r="AQ485" s="6"/>
      <c r="AR485" s="6"/>
      <c r="AS485" s="6"/>
      <c r="AT485" s="6"/>
      <c r="AU485" s="5" t="s">
        <v>5018</v>
      </c>
      <c r="AV485" s="6"/>
      <c r="AW485" s="6"/>
      <c r="AX485" s="6"/>
      <c r="AY485" s="5" t="s">
        <v>4822</v>
      </c>
      <c r="AZ485" s="5" t="b">
        <v>0</v>
      </c>
      <c r="BA485" s="5" t="s">
        <v>190</v>
      </c>
      <c r="BB485" s="5" t="s">
        <v>191</v>
      </c>
      <c r="BC485" s="6"/>
      <c r="BD485" s="6"/>
      <c r="BE485" s="5" t="s">
        <v>5019</v>
      </c>
      <c r="BF485" s="6"/>
      <c r="BG485" s="6"/>
      <c r="BH485" s="6"/>
      <c r="BI485" s="6"/>
      <c r="BJ485" s="6"/>
      <c r="BK485" s="6"/>
      <c r="BL485" s="6"/>
      <c r="BM485" s="6"/>
      <c r="BN485" s="6"/>
      <c r="BO485" s="6"/>
      <c r="BP485" s="6"/>
      <c r="BQ485" s="6"/>
      <c r="BR485" s="5" t="s">
        <v>193</v>
      </c>
      <c r="BS485" s="5" t="s">
        <v>194</v>
      </c>
      <c r="BT485" s="6"/>
      <c r="BU485" s="6"/>
      <c r="BV485" s="6"/>
      <c r="BW485" s="6"/>
      <c r="BX485" s="6"/>
      <c r="BY485" s="5" t="s">
        <v>5020</v>
      </c>
      <c r="BZ485" s="6"/>
      <c r="CA485" s="6"/>
      <c r="CB485" s="5" t="s">
        <v>2530</v>
      </c>
      <c r="CC485" s="6"/>
      <c r="CD485" s="6"/>
      <c r="CE485" s="5" t="s">
        <v>450</v>
      </c>
      <c r="CF485" s="5" t="s">
        <v>5021</v>
      </c>
      <c r="CG485" s="6"/>
      <c r="CH485" s="6"/>
      <c r="CI485" s="6"/>
      <c r="CJ485" s="6"/>
      <c r="CK485" s="6"/>
      <c r="CL485" s="6"/>
      <c r="CM485" s="6"/>
      <c r="CN485" s="6"/>
      <c r="CO485" s="6"/>
      <c r="CP485" s="6"/>
    </row>
    <row r="486">
      <c r="A486" s="7" t="s">
        <v>5022</v>
      </c>
      <c r="B486" s="8" t="s">
        <v>5023</v>
      </c>
      <c r="C486" s="8" t="s">
        <v>5024</v>
      </c>
      <c r="D486" s="8" t="s">
        <v>94</v>
      </c>
      <c r="E486" s="8" t="s">
        <v>95</v>
      </c>
      <c r="F486" s="9"/>
      <c r="G486" s="8" t="s">
        <v>5025</v>
      </c>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t="str">
        <f t="shared" si="35"/>
        <v/>
      </c>
      <c r="AK486" s="8"/>
      <c r="AL486" s="8"/>
      <c r="AM486" s="8" t="s">
        <v>3500</v>
      </c>
      <c r="AN486" s="8" t="s">
        <v>5026</v>
      </c>
      <c r="AO486" s="9"/>
      <c r="AP486" s="9"/>
      <c r="AQ486" s="9"/>
      <c r="AR486" s="9"/>
      <c r="AS486" s="9"/>
      <c r="AT486" s="9"/>
      <c r="AU486" s="8" t="s">
        <v>5027</v>
      </c>
      <c r="AV486" s="9"/>
      <c r="AW486" s="9"/>
      <c r="AX486" s="9"/>
      <c r="AY486" s="8" t="s">
        <v>4822</v>
      </c>
      <c r="AZ486" s="8" t="b">
        <v>0</v>
      </c>
      <c r="BA486" s="8" t="s">
        <v>190</v>
      </c>
      <c r="BB486" s="8" t="s">
        <v>191</v>
      </c>
      <c r="BC486" s="8" t="s">
        <v>1767</v>
      </c>
      <c r="BD486" s="9"/>
      <c r="BE486" s="8" t="s">
        <v>5028</v>
      </c>
      <c r="BF486" s="9"/>
      <c r="BG486" s="9"/>
      <c r="BH486" s="9"/>
      <c r="BI486" s="9"/>
      <c r="BJ486" s="9"/>
      <c r="BK486" s="9"/>
      <c r="BL486" s="9"/>
      <c r="BM486" s="8" t="s">
        <v>5029</v>
      </c>
      <c r="BN486" s="8" t="s">
        <v>5030</v>
      </c>
      <c r="BO486" s="9"/>
      <c r="BP486" s="9"/>
      <c r="BQ486" s="9"/>
      <c r="BR486" s="8" t="s">
        <v>193</v>
      </c>
      <c r="BS486" s="8" t="s">
        <v>194</v>
      </c>
      <c r="BT486" s="9"/>
      <c r="BU486" s="9"/>
      <c r="BV486" s="8" t="s">
        <v>3506</v>
      </c>
      <c r="BW486" s="9"/>
      <c r="BX486" s="9"/>
      <c r="BY486" s="9"/>
      <c r="BZ486" s="9"/>
      <c r="CA486" s="9"/>
      <c r="CB486" s="9"/>
      <c r="CC486" s="9"/>
      <c r="CD486" s="9"/>
      <c r="CE486" s="8" t="s">
        <v>115</v>
      </c>
      <c r="CF486" s="8" t="s">
        <v>5031</v>
      </c>
      <c r="CG486" s="9"/>
      <c r="CH486" s="9"/>
      <c r="CI486" s="9"/>
      <c r="CJ486" s="9"/>
      <c r="CK486" s="9"/>
      <c r="CL486" s="9"/>
      <c r="CM486" s="9"/>
      <c r="CN486" s="9"/>
      <c r="CO486" s="9"/>
      <c r="CP486" s="9"/>
    </row>
    <row r="487">
      <c r="A487" s="7" t="s">
        <v>5032</v>
      </c>
      <c r="B487" s="8" t="s">
        <v>5033</v>
      </c>
      <c r="C487" s="8" t="s">
        <v>5034</v>
      </c>
      <c r="D487" s="8" t="s">
        <v>94</v>
      </c>
      <c r="E487" s="8" t="s">
        <v>95</v>
      </c>
      <c r="F487" s="9"/>
      <c r="G487" s="8" t="s">
        <v>5035</v>
      </c>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t="str">
        <f t="shared" si="35"/>
        <v/>
      </c>
      <c r="AK487" s="8"/>
      <c r="AL487" s="8"/>
      <c r="AM487" s="8" t="s">
        <v>3500</v>
      </c>
      <c r="AN487" s="8" t="s">
        <v>5036</v>
      </c>
      <c r="AO487" s="9"/>
      <c r="AP487" s="9"/>
      <c r="AQ487" s="9"/>
      <c r="AR487" s="9"/>
      <c r="AS487" s="9"/>
      <c r="AT487" s="9"/>
      <c r="AU487" s="8" t="s">
        <v>5037</v>
      </c>
      <c r="AV487" s="9"/>
      <c r="AW487" s="9"/>
      <c r="AX487" s="9"/>
      <c r="AY487" s="8" t="s">
        <v>4822</v>
      </c>
      <c r="AZ487" s="8" t="b">
        <v>0</v>
      </c>
      <c r="BA487" s="8" t="s">
        <v>190</v>
      </c>
      <c r="BB487" s="8" t="s">
        <v>191</v>
      </c>
      <c r="BC487" s="8" t="s">
        <v>1767</v>
      </c>
      <c r="BD487" s="9"/>
      <c r="BE487" s="8" t="s">
        <v>4794</v>
      </c>
      <c r="BF487" s="9"/>
      <c r="BG487" s="9"/>
      <c r="BH487" s="9"/>
      <c r="BI487" s="8" t="s">
        <v>1326</v>
      </c>
      <c r="BJ487" s="8" t="s">
        <v>5038</v>
      </c>
      <c r="BK487" s="9"/>
      <c r="BL487" s="9"/>
      <c r="BM487" s="9"/>
      <c r="BN487" s="9"/>
      <c r="BO487" s="9"/>
      <c r="BP487" s="9"/>
      <c r="BQ487" s="9"/>
      <c r="BR487" s="8" t="s">
        <v>193</v>
      </c>
      <c r="BS487" s="8" t="s">
        <v>194</v>
      </c>
      <c r="BT487" s="9"/>
      <c r="BU487" s="9"/>
      <c r="BV487" s="8" t="s">
        <v>3640</v>
      </c>
      <c r="BW487" s="9"/>
      <c r="BX487" s="9"/>
      <c r="BY487" s="9"/>
      <c r="BZ487" s="9"/>
      <c r="CA487" s="9"/>
      <c r="CB487" s="9"/>
      <c r="CC487" s="9"/>
      <c r="CD487" s="9"/>
      <c r="CE487" s="8" t="s">
        <v>115</v>
      </c>
      <c r="CF487" s="8" t="s">
        <v>5039</v>
      </c>
      <c r="CG487" s="9"/>
      <c r="CH487" s="9"/>
      <c r="CI487" s="9"/>
      <c r="CJ487" s="9"/>
      <c r="CK487" s="9"/>
      <c r="CL487" s="9"/>
      <c r="CM487" s="9"/>
      <c r="CN487" s="9"/>
      <c r="CO487" s="9"/>
      <c r="CP487" s="9"/>
    </row>
    <row r="488">
      <c r="A488" s="7" t="s">
        <v>5040</v>
      </c>
      <c r="B488" s="8" t="s">
        <v>5041</v>
      </c>
      <c r="C488" s="8" t="s">
        <v>5042</v>
      </c>
      <c r="D488" s="8" t="s">
        <v>94</v>
      </c>
      <c r="E488" s="8" t="s">
        <v>95</v>
      </c>
      <c r="F488" s="9"/>
      <c r="G488" s="8" t="s">
        <v>5043</v>
      </c>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t="str">
        <f t="shared" si="35"/>
        <v/>
      </c>
      <c r="AK488" s="8"/>
      <c r="AL488" s="8"/>
      <c r="AM488" s="8" t="s">
        <v>3500</v>
      </c>
      <c r="AN488" s="8" t="s">
        <v>5044</v>
      </c>
      <c r="AO488" s="9"/>
      <c r="AP488" s="9"/>
      <c r="AQ488" s="9"/>
      <c r="AR488" s="9"/>
      <c r="AS488" s="9"/>
      <c r="AT488" s="9"/>
      <c r="AU488" s="8" t="s">
        <v>5045</v>
      </c>
      <c r="AV488" s="9"/>
      <c r="AW488" s="9"/>
      <c r="AX488" s="9"/>
      <c r="AY488" s="8" t="s">
        <v>4822</v>
      </c>
      <c r="AZ488" s="8" t="b">
        <v>0</v>
      </c>
      <c r="BA488" s="8" t="s">
        <v>190</v>
      </c>
      <c r="BB488" s="8" t="s">
        <v>191</v>
      </c>
      <c r="BC488" s="8" t="s">
        <v>1767</v>
      </c>
      <c r="BD488" s="9"/>
      <c r="BE488" s="8" t="s">
        <v>5046</v>
      </c>
      <c r="BF488" s="9"/>
      <c r="BG488" s="9"/>
      <c r="BH488" s="9"/>
      <c r="BI488" s="9"/>
      <c r="BJ488" s="9"/>
      <c r="BK488" s="9"/>
      <c r="BL488" s="9"/>
      <c r="BM488" s="9"/>
      <c r="BN488" s="9"/>
      <c r="BO488" s="9"/>
      <c r="BP488" s="9"/>
      <c r="BQ488" s="9"/>
      <c r="BR488" s="8" t="s">
        <v>193</v>
      </c>
      <c r="BS488" s="8" t="s">
        <v>194</v>
      </c>
      <c r="BT488" s="9"/>
      <c r="BU488" s="9"/>
      <c r="BV488" s="9"/>
      <c r="BW488" s="9"/>
      <c r="BX488" s="9"/>
      <c r="BY488" s="9"/>
      <c r="BZ488" s="9"/>
      <c r="CA488" s="9"/>
      <c r="CB488" s="9"/>
      <c r="CC488" s="9"/>
      <c r="CD488" s="9"/>
      <c r="CE488" s="8" t="s">
        <v>115</v>
      </c>
      <c r="CF488" s="8" t="s">
        <v>5047</v>
      </c>
      <c r="CG488" s="9"/>
      <c r="CH488" s="9"/>
      <c r="CI488" s="9"/>
      <c r="CJ488" s="9"/>
      <c r="CK488" s="9"/>
      <c r="CL488" s="9"/>
      <c r="CM488" s="9"/>
      <c r="CN488" s="9"/>
      <c r="CO488" s="9"/>
      <c r="CP488" s="9"/>
    </row>
    <row r="489">
      <c r="A489" s="7" t="s">
        <v>5048</v>
      </c>
      <c r="B489" s="8" t="s">
        <v>5049</v>
      </c>
      <c r="C489" s="8" t="s">
        <v>5049</v>
      </c>
      <c r="D489" s="8" t="s">
        <v>354</v>
      </c>
      <c r="E489" s="8" t="s">
        <v>355</v>
      </c>
      <c r="F489" s="9"/>
      <c r="G489" s="8" t="s">
        <v>5050</v>
      </c>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t="str">
        <f t="shared" si="35"/>
        <v/>
      </c>
      <c r="AK489" s="8"/>
      <c r="AL489" s="8"/>
      <c r="AM489" s="8" t="s">
        <v>4809</v>
      </c>
      <c r="AN489" s="9"/>
      <c r="AO489" s="9"/>
      <c r="AP489" s="9"/>
      <c r="AQ489" s="9"/>
      <c r="AR489" s="8" t="s">
        <v>4810</v>
      </c>
      <c r="AS489" s="8" t="s">
        <v>4811</v>
      </c>
      <c r="AT489" s="9"/>
      <c r="AU489" s="8" t="s">
        <v>5051</v>
      </c>
      <c r="AV489" s="9"/>
      <c r="AW489" s="8" t="s">
        <v>412</v>
      </c>
      <c r="AX489" s="8" t="s">
        <v>412</v>
      </c>
      <c r="AY489" s="8" t="s">
        <v>4822</v>
      </c>
      <c r="AZ489" s="8" t="b">
        <v>0</v>
      </c>
      <c r="BA489" s="8" t="s">
        <v>190</v>
      </c>
      <c r="BB489" s="8" t="s">
        <v>1222</v>
      </c>
      <c r="BC489" s="9"/>
      <c r="BD489" s="9"/>
      <c r="BE489" s="8" t="s">
        <v>1302</v>
      </c>
      <c r="BF489" s="9"/>
      <c r="BG489" s="9"/>
      <c r="BH489" s="9"/>
      <c r="BI489" s="8" t="s">
        <v>5052</v>
      </c>
      <c r="BJ489" s="8" t="s">
        <v>5053</v>
      </c>
      <c r="BK489" s="9"/>
      <c r="BL489" s="9"/>
      <c r="BM489" s="9"/>
      <c r="BN489" s="9"/>
      <c r="BO489" s="9"/>
      <c r="BP489" s="9"/>
      <c r="BQ489" s="9"/>
      <c r="BR489" s="8" t="s">
        <v>193</v>
      </c>
      <c r="BS489" s="8" t="s">
        <v>194</v>
      </c>
      <c r="BT489" s="9"/>
      <c r="BU489" s="8" t="s">
        <v>5054</v>
      </c>
      <c r="BV489" s="9"/>
      <c r="BW489" s="9"/>
      <c r="BX489" s="9"/>
      <c r="BY489" s="9"/>
      <c r="BZ489" s="9"/>
      <c r="CA489" s="9"/>
      <c r="CB489" s="8" t="s">
        <v>5055</v>
      </c>
      <c r="CC489" s="9"/>
      <c r="CD489" s="9"/>
      <c r="CE489" s="8" t="s">
        <v>366</v>
      </c>
      <c r="CF489" s="8" t="s">
        <v>5056</v>
      </c>
      <c r="CG489" s="9"/>
      <c r="CH489" s="9"/>
      <c r="CI489" s="9"/>
      <c r="CJ489" s="9"/>
      <c r="CK489" s="9"/>
      <c r="CL489" s="9"/>
      <c r="CM489" s="9"/>
      <c r="CN489" s="9"/>
      <c r="CO489" s="9"/>
      <c r="CP489" s="9"/>
    </row>
    <row r="490">
      <c r="A490" s="7" t="s">
        <v>5057</v>
      </c>
      <c r="B490" s="8" t="s">
        <v>5058</v>
      </c>
      <c r="C490" s="8" t="s">
        <v>5058</v>
      </c>
      <c r="D490" s="8" t="s">
        <v>5059</v>
      </c>
      <c r="E490" s="8" t="s">
        <v>5060</v>
      </c>
      <c r="F490" s="9"/>
      <c r="G490" s="8" t="s">
        <v>5061</v>
      </c>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t="str">
        <f t="shared" si="35"/>
        <v/>
      </c>
      <c r="AK490" s="8"/>
      <c r="AL490" s="8"/>
      <c r="AM490" s="9"/>
      <c r="AN490" s="9"/>
      <c r="AO490" s="9"/>
      <c r="AP490" s="9"/>
      <c r="AQ490" s="9"/>
      <c r="AR490" s="9"/>
      <c r="AS490" s="9"/>
      <c r="AT490" s="9"/>
      <c r="AU490" s="8" t="s">
        <v>5062</v>
      </c>
      <c r="AV490" s="9"/>
      <c r="AW490" s="8" t="s">
        <v>290</v>
      </c>
      <c r="AX490" s="9"/>
      <c r="AY490" s="8" t="s">
        <v>4822</v>
      </c>
      <c r="AZ490" s="8" t="b">
        <v>0</v>
      </c>
      <c r="BA490" s="8" t="s">
        <v>190</v>
      </c>
      <c r="BB490" s="8" t="s">
        <v>2566</v>
      </c>
      <c r="BC490" s="9"/>
      <c r="BD490" s="9"/>
      <c r="BE490" s="8" t="s">
        <v>4485</v>
      </c>
      <c r="BF490" s="8" t="s">
        <v>2900</v>
      </c>
      <c r="BG490" s="8" t="s">
        <v>5063</v>
      </c>
      <c r="BH490" s="8" t="s">
        <v>5064</v>
      </c>
      <c r="BI490" s="8" t="s">
        <v>5065</v>
      </c>
      <c r="BJ490" s="8" t="s">
        <v>5066</v>
      </c>
      <c r="BK490" s="9"/>
      <c r="BL490" s="9"/>
      <c r="BM490" s="9"/>
      <c r="BN490" s="9"/>
      <c r="BO490" s="9"/>
      <c r="BP490" s="9"/>
      <c r="BQ490" s="9"/>
      <c r="BR490" s="8" t="s">
        <v>193</v>
      </c>
      <c r="BS490" s="8" t="s">
        <v>194</v>
      </c>
      <c r="BT490" s="9"/>
      <c r="BU490" s="9"/>
      <c r="BV490" s="8" t="s">
        <v>5067</v>
      </c>
      <c r="BW490" s="9"/>
      <c r="BX490" s="9"/>
      <c r="BY490" s="9"/>
      <c r="BZ490" s="9"/>
      <c r="CA490" s="9"/>
      <c r="CB490" s="8" t="s">
        <v>5068</v>
      </c>
      <c r="CC490" s="9"/>
      <c r="CD490" s="9"/>
      <c r="CE490" s="8" t="s">
        <v>366</v>
      </c>
      <c r="CF490" s="9"/>
      <c r="CG490" s="9"/>
      <c r="CH490" s="9"/>
      <c r="CI490" s="9"/>
      <c r="CJ490" s="9"/>
      <c r="CK490" s="9"/>
      <c r="CL490" s="9"/>
      <c r="CM490" s="9"/>
      <c r="CN490" s="9"/>
      <c r="CO490" s="9"/>
      <c r="CP490" s="9"/>
    </row>
    <row r="491">
      <c r="A491" s="7" t="s">
        <v>5069</v>
      </c>
      <c r="B491" s="8" t="s">
        <v>5070</v>
      </c>
      <c r="C491" s="8" t="s">
        <v>5070</v>
      </c>
      <c r="D491" s="8" t="s">
        <v>354</v>
      </c>
      <c r="E491" s="8" t="s">
        <v>355</v>
      </c>
      <c r="F491" s="9"/>
      <c r="G491" s="8" t="s">
        <v>5071</v>
      </c>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t="str">
        <f t="shared" si="35"/>
        <v/>
      </c>
      <c r="AK491" s="8"/>
      <c r="AL491" s="8"/>
      <c r="AM491" s="8" t="s">
        <v>3511</v>
      </c>
      <c r="AN491" s="9"/>
      <c r="AO491" s="9"/>
      <c r="AP491" s="9"/>
      <c r="AQ491" s="9"/>
      <c r="AR491" s="9"/>
      <c r="AS491" s="9"/>
      <c r="AT491" s="9"/>
      <c r="AU491" s="8" t="s">
        <v>5072</v>
      </c>
      <c r="AV491" s="9"/>
      <c r="AW491" s="8" t="s">
        <v>359</v>
      </c>
      <c r="AX491" s="8" t="s">
        <v>450</v>
      </c>
      <c r="AY491" s="8" t="s">
        <v>4822</v>
      </c>
      <c r="AZ491" s="8" t="b">
        <v>0</v>
      </c>
      <c r="BA491" s="8" t="s">
        <v>190</v>
      </c>
      <c r="BB491" s="8" t="s">
        <v>5073</v>
      </c>
      <c r="BC491" s="9"/>
      <c r="BD491" s="8" t="s">
        <v>5074</v>
      </c>
      <c r="BE491" s="8" t="s">
        <v>2038</v>
      </c>
      <c r="BF491" s="9"/>
      <c r="BG491" s="9"/>
      <c r="BH491" s="9"/>
      <c r="BI491" s="8" t="s">
        <v>581</v>
      </c>
      <c r="BJ491" s="8" t="s">
        <v>5075</v>
      </c>
      <c r="BK491" s="9"/>
      <c r="BL491" s="9"/>
      <c r="BM491" s="9"/>
      <c r="BN491" s="9"/>
      <c r="BO491" s="9"/>
      <c r="BP491" s="9"/>
      <c r="BQ491" s="9"/>
      <c r="BR491" s="8" t="s">
        <v>193</v>
      </c>
      <c r="BS491" s="8" t="s">
        <v>5076</v>
      </c>
      <c r="BT491" s="9"/>
      <c r="BU491" s="9"/>
      <c r="BV491" s="8" t="s">
        <v>5077</v>
      </c>
      <c r="BW491" s="9"/>
      <c r="BX491" s="9"/>
      <c r="BY491" s="9"/>
      <c r="BZ491" s="9"/>
      <c r="CA491" s="9"/>
      <c r="CB491" s="8" t="s">
        <v>5078</v>
      </c>
      <c r="CC491" s="9"/>
      <c r="CD491" s="9"/>
      <c r="CE491" s="8" t="s">
        <v>366</v>
      </c>
      <c r="CF491" s="9"/>
      <c r="CG491" s="9"/>
      <c r="CH491" s="9"/>
      <c r="CI491" s="9"/>
      <c r="CJ491" s="9"/>
      <c r="CK491" s="9"/>
      <c r="CL491" s="9"/>
      <c r="CM491" s="9"/>
      <c r="CN491" s="9"/>
      <c r="CO491" s="9"/>
      <c r="CP491" s="9"/>
    </row>
    <row r="492">
      <c r="A492" s="13" t="s">
        <v>5079</v>
      </c>
      <c r="B492" s="8" t="s">
        <v>154</v>
      </c>
      <c r="C492" s="8" t="s">
        <v>154</v>
      </c>
      <c r="D492" s="8" t="s">
        <v>94</v>
      </c>
      <c r="E492" s="8" t="s">
        <v>1546</v>
      </c>
      <c r="F492" s="9"/>
      <c r="G492" s="8" t="s">
        <v>5080</v>
      </c>
      <c r="H492" s="9"/>
      <c r="I492" s="9"/>
      <c r="J492" s="9"/>
      <c r="K492" s="9"/>
      <c r="L492" s="9"/>
      <c r="M492" s="9"/>
      <c r="N492" s="9"/>
      <c r="O492" s="9"/>
      <c r="P492" s="9"/>
      <c r="Q492" s="9"/>
      <c r="R492" s="9"/>
      <c r="S492" s="9"/>
      <c r="T492" s="9"/>
      <c r="U492" s="8"/>
      <c r="V492" s="8"/>
      <c r="W492" s="8"/>
      <c r="X492" s="8"/>
      <c r="Y492" s="8"/>
      <c r="Z492" s="8"/>
      <c r="AA492" s="8"/>
      <c r="AB492" s="8"/>
      <c r="AC492" s="8"/>
      <c r="AD492" s="8"/>
      <c r="AE492" s="8"/>
      <c r="AF492" s="8"/>
      <c r="AG492" s="8"/>
      <c r="AH492" s="8"/>
      <c r="AI492" s="8"/>
      <c r="AJ492" s="9"/>
      <c r="AK492" s="8"/>
      <c r="AL492" s="8"/>
      <c r="AM492" s="9"/>
      <c r="AN492" s="9"/>
      <c r="AO492" s="9"/>
      <c r="AP492" s="9"/>
      <c r="AQ492" s="9"/>
      <c r="AR492" s="9"/>
      <c r="AS492" s="9"/>
      <c r="AT492" s="9"/>
      <c r="AU492" s="8" t="s">
        <v>5081</v>
      </c>
      <c r="AV492" s="9"/>
      <c r="AW492" s="9"/>
      <c r="AX492" s="9"/>
      <c r="AY492" s="8" t="s">
        <v>5082</v>
      </c>
      <c r="AZ492" s="8" t="b">
        <v>0</v>
      </c>
      <c r="BA492" s="8" t="s">
        <v>190</v>
      </c>
      <c r="BB492" s="8" t="s">
        <v>4093</v>
      </c>
      <c r="BC492" s="8" t="s">
        <v>3363</v>
      </c>
      <c r="BD492" s="9"/>
      <c r="BE492" s="8" t="s">
        <v>5083</v>
      </c>
      <c r="BF492" s="9"/>
      <c r="BG492" s="9"/>
      <c r="BH492" s="9"/>
      <c r="BI492" s="9"/>
      <c r="BJ492" s="9"/>
      <c r="BK492" s="8" t="s">
        <v>115</v>
      </c>
      <c r="BL492" s="9"/>
      <c r="BM492" s="9"/>
      <c r="BN492" s="9"/>
      <c r="BO492" s="9"/>
      <c r="BP492" s="9"/>
      <c r="BQ492" s="9"/>
      <c r="BR492" s="8" t="s">
        <v>193</v>
      </c>
      <c r="BS492" s="8" t="s">
        <v>194</v>
      </c>
      <c r="BT492" s="9"/>
      <c r="BU492" s="9"/>
      <c r="BV492" s="8" t="s">
        <v>3870</v>
      </c>
      <c r="BW492" s="9"/>
      <c r="BX492" s="9"/>
      <c r="BY492" s="9"/>
      <c r="BZ492" s="9"/>
      <c r="CA492" s="9"/>
      <c r="CB492" s="8" t="s">
        <v>5084</v>
      </c>
      <c r="CC492" s="9"/>
      <c r="CD492" s="9"/>
      <c r="CE492" s="8" t="s">
        <v>366</v>
      </c>
      <c r="CF492" s="8" t="s">
        <v>5085</v>
      </c>
      <c r="CG492" s="9"/>
      <c r="CH492" s="9"/>
      <c r="CI492" s="9"/>
      <c r="CJ492" s="9"/>
      <c r="CK492" s="9"/>
      <c r="CL492" s="9"/>
      <c r="CM492" s="9"/>
      <c r="CN492" s="9"/>
      <c r="CO492" s="9"/>
      <c r="CP492" s="9"/>
    </row>
    <row r="493">
      <c r="A493" s="4" t="s">
        <v>5086</v>
      </c>
      <c r="B493" s="5" t="s">
        <v>5087</v>
      </c>
      <c r="C493" s="5" t="s">
        <v>5088</v>
      </c>
      <c r="D493" s="5" t="s">
        <v>94</v>
      </c>
      <c r="E493" s="5" t="s">
        <v>95</v>
      </c>
      <c r="F493" s="6"/>
      <c r="G493" s="5" t="s">
        <v>5089</v>
      </c>
      <c r="H493" s="5" t="s">
        <v>97</v>
      </c>
      <c r="I493" s="5" t="s">
        <v>98</v>
      </c>
      <c r="J493" s="5" t="s">
        <v>5090</v>
      </c>
      <c r="K493" s="5"/>
      <c r="L493" s="5"/>
      <c r="M493" s="5" t="s">
        <v>5090</v>
      </c>
      <c r="N493" s="5" t="s">
        <v>100</v>
      </c>
      <c r="O493" s="5" t="s">
        <v>100</v>
      </c>
      <c r="P493" s="5" t="s">
        <v>100</v>
      </c>
      <c r="Q493" s="5"/>
      <c r="R493" s="5"/>
      <c r="S493" s="5" t="s">
        <v>100</v>
      </c>
      <c r="T493" s="5" t="s">
        <v>100</v>
      </c>
      <c r="U493" s="5" t="s">
        <v>100</v>
      </c>
      <c r="V493" s="5" t="s">
        <v>100</v>
      </c>
      <c r="W493" s="5" t="s">
        <v>100</v>
      </c>
      <c r="X493" s="5" t="s">
        <v>100</v>
      </c>
      <c r="Y493" s="5" t="s">
        <v>5091</v>
      </c>
      <c r="Z493" s="5" t="s">
        <v>100</v>
      </c>
      <c r="AA493" s="5"/>
      <c r="AB493" s="5" t="s">
        <v>100</v>
      </c>
      <c r="AC493" s="5" t="s">
        <v>100</v>
      </c>
      <c r="AD493" s="5" t="s">
        <v>100</v>
      </c>
      <c r="AE493" s="5" t="s">
        <v>100</v>
      </c>
      <c r="AF493" s="5" t="s">
        <v>100</v>
      </c>
      <c r="AG493" s="5" t="s">
        <v>100</v>
      </c>
      <c r="AH493" s="5" t="s">
        <v>100</v>
      </c>
      <c r="AI493" s="5" t="s">
        <v>5092</v>
      </c>
      <c r="AJ493" s="5" t="s">
        <v>5093</v>
      </c>
      <c r="AK493" s="5" t="s">
        <v>124</v>
      </c>
      <c r="AL493" s="5" t="s">
        <v>124</v>
      </c>
      <c r="AM493" s="5" t="s">
        <v>105</v>
      </c>
      <c r="AN493" s="5" t="s">
        <v>2916</v>
      </c>
      <c r="AO493" s="6"/>
      <c r="AP493" s="6"/>
      <c r="AQ493" s="6"/>
      <c r="AR493" s="6"/>
      <c r="AS493" s="6"/>
      <c r="AT493" s="6"/>
      <c r="AU493" s="5" t="s">
        <v>5094</v>
      </c>
      <c r="AV493" s="5" t="s">
        <v>108</v>
      </c>
      <c r="AW493" s="6"/>
      <c r="AX493" s="6"/>
      <c r="AY493" s="5" t="s">
        <v>5082</v>
      </c>
      <c r="AZ493" s="5" t="b">
        <v>0</v>
      </c>
      <c r="BA493" s="5" t="s">
        <v>110</v>
      </c>
      <c r="BB493" s="5" t="s">
        <v>773</v>
      </c>
      <c r="BC493" s="6"/>
      <c r="BD493" s="6"/>
      <c r="BE493" s="5" t="s">
        <v>5095</v>
      </c>
      <c r="BF493" s="6"/>
      <c r="BG493" s="6"/>
      <c r="BH493" s="6"/>
      <c r="BI493" s="6"/>
      <c r="BJ493" s="6"/>
      <c r="BK493" s="6"/>
      <c r="BL493" s="6"/>
      <c r="BM493" s="6"/>
      <c r="BN493" s="6"/>
      <c r="BO493" s="6"/>
      <c r="BP493" s="6"/>
      <c r="BQ493" s="6"/>
      <c r="BR493" s="6"/>
      <c r="BS493" s="6"/>
      <c r="BT493" s="6"/>
      <c r="BU493" s="6"/>
      <c r="BV493" s="6"/>
      <c r="BW493" s="6"/>
      <c r="BX493" s="6"/>
      <c r="BY493" s="6"/>
      <c r="BZ493" s="6"/>
      <c r="CA493" s="6"/>
      <c r="CB493" s="5" t="s">
        <v>665</v>
      </c>
      <c r="CC493" s="6"/>
      <c r="CD493" s="6"/>
      <c r="CE493" s="5" t="s">
        <v>115</v>
      </c>
      <c r="CF493" s="5" t="s">
        <v>5096</v>
      </c>
      <c r="CG493" s="6"/>
      <c r="CH493" s="6"/>
      <c r="CI493" s="6"/>
      <c r="CJ493" s="6"/>
      <c r="CK493" s="6"/>
      <c r="CL493" s="6"/>
      <c r="CM493" s="6"/>
      <c r="CN493" s="6"/>
      <c r="CO493" s="6"/>
      <c r="CP493" s="6"/>
    </row>
    <row r="494">
      <c r="A494" s="4" t="s">
        <v>5097</v>
      </c>
      <c r="B494" s="5" t="s">
        <v>5098</v>
      </c>
      <c r="C494" s="5" t="s">
        <v>5099</v>
      </c>
      <c r="D494" s="5" t="s">
        <v>94</v>
      </c>
      <c r="E494" s="5" t="s">
        <v>95</v>
      </c>
      <c r="F494" s="6"/>
      <c r="G494" s="5" t="s">
        <v>5100</v>
      </c>
      <c r="H494" s="5" t="s">
        <v>97</v>
      </c>
      <c r="I494" s="5" t="s">
        <v>5101</v>
      </c>
      <c r="J494" s="5" t="s">
        <v>3523</v>
      </c>
      <c r="K494" s="5" t="s">
        <v>100</v>
      </c>
      <c r="L494" s="5" t="s">
        <v>100</v>
      </c>
      <c r="M494" s="5"/>
      <c r="N494" s="5"/>
      <c r="O494" s="5"/>
      <c r="P494" s="5"/>
      <c r="Q494" s="5" t="s">
        <v>100</v>
      </c>
      <c r="R494" s="5" t="s">
        <v>100</v>
      </c>
      <c r="S494" s="5"/>
      <c r="T494" s="5"/>
      <c r="U494" s="5"/>
      <c r="V494" s="5"/>
      <c r="W494" s="5"/>
      <c r="X494" s="5" t="s">
        <v>100</v>
      </c>
      <c r="Y494" s="5" t="s">
        <v>100</v>
      </c>
      <c r="Z494" s="5"/>
      <c r="AA494" s="5" t="s">
        <v>100</v>
      </c>
      <c r="AB494" s="5"/>
      <c r="AC494" s="5"/>
      <c r="AD494" s="5"/>
      <c r="AE494" s="5"/>
      <c r="AF494" s="5"/>
      <c r="AG494" s="5" t="s">
        <v>100</v>
      </c>
      <c r="AH494" s="5" t="s">
        <v>100</v>
      </c>
      <c r="AI494" s="5"/>
      <c r="AJ494" s="10" t="s">
        <v>3523</v>
      </c>
      <c r="AK494" s="5" t="s">
        <v>103</v>
      </c>
      <c r="AL494" s="5" t="s">
        <v>103</v>
      </c>
      <c r="AM494" s="5" t="s">
        <v>105</v>
      </c>
      <c r="AN494" s="5" t="s">
        <v>5102</v>
      </c>
      <c r="AO494" s="6"/>
      <c r="AP494" s="5" t="s">
        <v>734</v>
      </c>
      <c r="AQ494" s="6"/>
      <c r="AR494" s="6"/>
      <c r="AS494" s="6"/>
      <c r="AT494" s="6"/>
      <c r="AU494" s="5" t="s">
        <v>5103</v>
      </c>
      <c r="AV494" s="6"/>
      <c r="AW494" s="6"/>
      <c r="AX494" s="6"/>
      <c r="AY494" s="5" t="s">
        <v>5082</v>
      </c>
      <c r="AZ494" s="5" t="b">
        <v>0</v>
      </c>
      <c r="BA494" s="5" t="s">
        <v>190</v>
      </c>
      <c r="BB494" s="5" t="s">
        <v>191</v>
      </c>
      <c r="BC494" s="6"/>
      <c r="BD494" s="6"/>
      <c r="BE494" s="5" t="s">
        <v>5104</v>
      </c>
      <c r="BF494" s="6"/>
      <c r="BG494" s="6"/>
      <c r="BH494" s="6"/>
      <c r="BI494" s="6"/>
      <c r="BJ494" s="6"/>
      <c r="BK494" s="6"/>
      <c r="BL494" s="6"/>
      <c r="BM494" s="6"/>
      <c r="BN494" s="6"/>
      <c r="BO494" s="6"/>
      <c r="BP494" s="6"/>
      <c r="BQ494" s="6"/>
      <c r="BR494" s="5" t="s">
        <v>193</v>
      </c>
      <c r="BS494" s="5" t="s">
        <v>194</v>
      </c>
      <c r="BT494" s="6"/>
      <c r="BU494" s="6"/>
      <c r="BV494" s="6"/>
      <c r="BW494" s="6"/>
      <c r="BX494" s="6"/>
      <c r="BY494" s="6"/>
      <c r="BZ494" s="6"/>
      <c r="CA494" s="6"/>
      <c r="CB494" s="5" t="s">
        <v>5105</v>
      </c>
      <c r="CC494" s="6"/>
      <c r="CD494" s="6"/>
      <c r="CE494" s="5" t="s">
        <v>197</v>
      </c>
      <c r="CF494" s="5" t="s">
        <v>5106</v>
      </c>
      <c r="CG494" s="6"/>
      <c r="CH494" s="6"/>
      <c r="CI494" s="6"/>
      <c r="CJ494" s="6"/>
      <c r="CK494" s="6"/>
      <c r="CL494" s="6"/>
      <c r="CM494" s="6"/>
      <c r="CN494" s="6"/>
      <c r="CO494" s="6"/>
      <c r="CP494" s="6"/>
    </row>
    <row r="495">
      <c r="A495" s="4" t="s">
        <v>5107</v>
      </c>
      <c r="B495" s="5" t="s">
        <v>5108</v>
      </c>
      <c r="C495" s="5" t="s">
        <v>5109</v>
      </c>
      <c r="D495" s="5" t="s">
        <v>94</v>
      </c>
      <c r="E495" s="5" t="s">
        <v>95</v>
      </c>
      <c r="F495" s="6"/>
      <c r="G495" s="5" t="s">
        <v>5110</v>
      </c>
      <c r="H495" s="5" t="s">
        <v>97</v>
      </c>
      <c r="I495" s="5" t="s">
        <v>98</v>
      </c>
      <c r="J495" s="5" t="s">
        <v>5111</v>
      </c>
      <c r="K495" s="5" t="s">
        <v>100</v>
      </c>
      <c r="L495" s="5" t="s">
        <v>100</v>
      </c>
      <c r="M495" s="5"/>
      <c r="N495" s="5"/>
      <c r="O495" s="5"/>
      <c r="P495" s="5"/>
      <c r="Q495" s="5" t="s">
        <v>2766</v>
      </c>
      <c r="R495" s="5"/>
      <c r="S495" s="5"/>
      <c r="T495" s="5"/>
      <c r="U495" s="5"/>
      <c r="V495" s="5"/>
      <c r="W495" s="5"/>
      <c r="X495" s="5" t="s">
        <v>359</v>
      </c>
      <c r="Y495" s="5" t="s">
        <v>5112</v>
      </c>
      <c r="Z495" s="5"/>
      <c r="AA495" s="5"/>
      <c r="AB495" s="5"/>
      <c r="AC495" s="5"/>
      <c r="AD495" s="5"/>
      <c r="AE495" s="5"/>
      <c r="AF495" s="5"/>
      <c r="AG495" s="5"/>
      <c r="AH495" s="5"/>
      <c r="AI495" s="5"/>
      <c r="AJ495" s="5" t="s">
        <v>5113</v>
      </c>
      <c r="AK495" s="5" t="s">
        <v>103</v>
      </c>
      <c r="AL495" s="5" t="s">
        <v>124</v>
      </c>
      <c r="AM495" s="5" t="s">
        <v>105</v>
      </c>
      <c r="AN495" s="5" t="s">
        <v>4839</v>
      </c>
      <c r="AO495" s="6"/>
      <c r="AP495" s="5" t="s">
        <v>3303</v>
      </c>
      <c r="AQ495" s="6"/>
      <c r="AR495" s="6"/>
      <c r="AS495" s="6"/>
      <c r="AT495" s="6"/>
      <c r="AU495" s="5" t="s">
        <v>5114</v>
      </c>
      <c r="AV495" s="6"/>
      <c r="AW495" s="6"/>
      <c r="AX495" s="6"/>
      <c r="AY495" s="5" t="s">
        <v>5082</v>
      </c>
      <c r="AZ495" s="5" t="b">
        <v>0</v>
      </c>
      <c r="BA495" s="5" t="s">
        <v>190</v>
      </c>
      <c r="BB495" s="5" t="s">
        <v>628</v>
      </c>
      <c r="BC495" s="6"/>
      <c r="BD495" s="6"/>
      <c r="BE495" s="5" t="s">
        <v>5115</v>
      </c>
      <c r="BF495" s="5" t="s">
        <v>94</v>
      </c>
      <c r="BG495" s="5" t="s">
        <v>95</v>
      </c>
      <c r="BH495" s="5" t="s">
        <v>5116</v>
      </c>
      <c r="BI495" s="6"/>
      <c r="BJ495" s="6"/>
      <c r="BK495" s="6"/>
      <c r="BL495" s="6"/>
      <c r="BM495" s="6"/>
      <c r="BN495" s="6"/>
      <c r="BO495" s="6"/>
      <c r="BP495" s="6"/>
      <c r="BQ495" s="6"/>
      <c r="BR495" s="5" t="s">
        <v>193</v>
      </c>
      <c r="BS495" s="5" t="s">
        <v>194</v>
      </c>
      <c r="BT495" s="6"/>
      <c r="BU495" s="6"/>
      <c r="BV495" s="6"/>
      <c r="BW495" s="6"/>
      <c r="BX495" s="6"/>
      <c r="BY495" s="6"/>
      <c r="BZ495" s="6"/>
      <c r="CA495" s="6"/>
      <c r="CB495" s="5" t="s">
        <v>5117</v>
      </c>
      <c r="CC495" s="6"/>
      <c r="CD495" s="6"/>
      <c r="CE495" s="5" t="s">
        <v>197</v>
      </c>
      <c r="CF495" s="5" t="s">
        <v>5118</v>
      </c>
      <c r="CG495" s="6"/>
      <c r="CH495" s="6"/>
      <c r="CI495" s="6"/>
      <c r="CJ495" s="6"/>
      <c r="CK495" s="6"/>
      <c r="CL495" s="6"/>
      <c r="CM495" s="6"/>
      <c r="CN495" s="6"/>
      <c r="CO495" s="6"/>
      <c r="CP495" s="6"/>
    </row>
    <row r="496">
      <c r="A496" s="7" t="s">
        <v>5119</v>
      </c>
      <c r="B496" s="8" t="s">
        <v>5120</v>
      </c>
      <c r="C496" s="8" t="s">
        <v>5121</v>
      </c>
      <c r="D496" s="8" t="s">
        <v>94</v>
      </c>
      <c r="E496" s="8" t="s">
        <v>95</v>
      </c>
      <c r="F496" s="9"/>
      <c r="G496" s="8" t="s">
        <v>5122</v>
      </c>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t="str">
        <f t="shared" ref="AJ496:AJ519" si="36">CONCATENATE(J496,K496,L496,Q496,R496,X496,Y496,AA496,AG496)</f>
        <v/>
      </c>
      <c r="AK496" s="8"/>
      <c r="AL496" s="8"/>
      <c r="AM496" s="8" t="s">
        <v>105</v>
      </c>
      <c r="AN496" s="8" t="s">
        <v>5123</v>
      </c>
      <c r="AO496" s="9"/>
      <c r="AP496" s="9"/>
      <c r="AQ496" s="9"/>
      <c r="AR496" s="9"/>
      <c r="AS496" s="9"/>
      <c r="AT496" s="9"/>
      <c r="AU496" s="8" t="s">
        <v>5124</v>
      </c>
      <c r="AV496" s="8" t="s">
        <v>108</v>
      </c>
      <c r="AW496" s="9"/>
      <c r="AX496" s="9"/>
      <c r="AY496" s="8" t="s">
        <v>5082</v>
      </c>
      <c r="AZ496" s="8" t="b">
        <v>0</v>
      </c>
      <c r="BA496" s="8" t="s">
        <v>110</v>
      </c>
      <c r="BB496" s="8" t="s">
        <v>773</v>
      </c>
      <c r="BC496" s="9"/>
      <c r="BD496" s="9"/>
      <c r="BE496" s="8" t="s">
        <v>5125</v>
      </c>
      <c r="BF496" s="9"/>
      <c r="BG496" s="9"/>
      <c r="BH496" s="9"/>
      <c r="BI496" s="9"/>
      <c r="BJ496" s="9"/>
      <c r="BK496" s="9"/>
      <c r="BL496" s="9"/>
      <c r="BM496" s="9"/>
      <c r="BN496" s="9"/>
      <c r="BO496" s="9"/>
      <c r="BP496" s="9"/>
      <c r="BQ496" s="9"/>
      <c r="BR496" s="9"/>
      <c r="BS496" s="9"/>
      <c r="BT496" s="9"/>
      <c r="BU496" s="9"/>
      <c r="BV496" s="9"/>
      <c r="BW496" s="9"/>
      <c r="BX496" s="9"/>
      <c r="BY496" s="9"/>
      <c r="BZ496" s="9"/>
      <c r="CA496" s="9"/>
      <c r="CB496" s="8" t="s">
        <v>5126</v>
      </c>
      <c r="CC496" s="9"/>
      <c r="CD496" s="9"/>
      <c r="CE496" s="8" t="s">
        <v>115</v>
      </c>
      <c r="CF496" s="8" t="s">
        <v>5127</v>
      </c>
      <c r="CG496" s="9"/>
      <c r="CH496" s="9"/>
      <c r="CI496" s="9"/>
      <c r="CJ496" s="9"/>
      <c r="CK496" s="9"/>
      <c r="CL496" s="9"/>
      <c r="CM496" s="9"/>
      <c r="CN496" s="9"/>
      <c r="CO496" s="9"/>
      <c r="CP496" s="9"/>
    </row>
    <row r="497">
      <c r="A497" s="7" t="s">
        <v>5128</v>
      </c>
      <c r="B497" s="8" t="s">
        <v>5129</v>
      </c>
      <c r="C497" s="8" t="s">
        <v>5129</v>
      </c>
      <c r="D497" s="8" t="s">
        <v>94</v>
      </c>
      <c r="E497" s="8" t="s">
        <v>1546</v>
      </c>
      <c r="F497" s="9"/>
      <c r="G497" s="8" t="s">
        <v>5130</v>
      </c>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t="str">
        <f t="shared" si="36"/>
        <v/>
      </c>
      <c r="AK497" s="8"/>
      <c r="AL497" s="8"/>
      <c r="AM497" s="9"/>
      <c r="AN497" s="9"/>
      <c r="AO497" s="9"/>
      <c r="AP497" s="9"/>
      <c r="AQ497" s="9"/>
      <c r="AR497" s="9"/>
      <c r="AS497" s="9"/>
      <c r="AT497" s="9"/>
      <c r="AU497" s="8" t="s">
        <v>5131</v>
      </c>
      <c r="AV497" s="8" t="s">
        <v>108</v>
      </c>
      <c r="AW497" s="9"/>
      <c r="AX497" s="9"/>
      <c r="AY497" s="8" t="s">
        <v>5082</v>
      </c>
      <c r="AZ497" s="8" t="b">
        <v>0</v>
      </c>
      <c r="BA497" s="8" t="s">
        <v>110</v>
      </c>
      <c r="BB497" s="8" t="s">
        <v>4009</v>
      </c>
      <c r="BC497" s="8" t="s">
        <v>5132</v>
      </c>
      <c r="BD497" s="9"/>
      <c r="BE497" s="8" t="s">
        <v>5133</v>
      </c>
      <c r="BF497" s="9"/>
      <c r="BG497" s="9"/>
      <c r="BH497" s="9"/>
      <c r="BI497" s="9"/>
      <c r="BJ497" s="9"/>
      <c r="BK497" s="9"/>
      <c r="BL497" s="9"/>
      <c r="BM497" s="9"/>
      <c r="BN497" s="9"/>
      <c r="BO497" s="9"/>
      <c r="BP497" s="9"/>
      <c r="BQ497" s="9"/>
      <c r="BR497" s="9"/>
      <c r="BS497" s="9"/>
      <c r="BT497" s="9"/>
      <c r="BU497" s="9"/>
      <c r="BV497" s="9"/>
      <c r="BW497" s="9"/>
      <c r="BX497" s="9"/>
      <c r="BY497" s="9"/>
      <c r="BZ497" s="9"/>
      <c r="CA497" s="9"/>
      <c r="CB497" s="8" t="s">
        <v>4863</v>
      </c>
      <c r="CC497" s="9"/>
      <c r="CD497" s="9"/>
      <c r="CE497" s="8" t="s">
        <v>366</v>
      </c>
      <c r="CF497" s="8" t="s">
        <v>5134</v>
      </c>
      <c r="CG497" s="9"/>
      <c r="CH497" s="9"/>
      <c r="CI497" s="9"/>
      <c r="CJ497" s="9"/>
      <c r="CK497" s="9"/>
      <c r="CL497" s="9"/>
      <c r="CM497" s="9"/>
      <c r="CN497" s="9"/>
      <c r="CO497" s="9"/>
      <c r="CP497" s="9"/>
    </row>
    <row r="498">
      <c r="A498" s="7" t="s">
        <v>5135</v>
      </c>
      <c r="B498" s="8" t="s">
        <v>5136</v>
      </c>
      <c r="C498" s="8" t="s">
        <v>5137</v>
      </c>
      <c r="D498" s="8" t="s">
        <v>94</v>
      </c>
      <c r="E498" s="8" t="s">
        <v>95</v>
      </c>
      <c r="F498" s="9"/>
      <c r="G498" s="8" t="s">
        <v>5138</v>
      </c>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t="str">
        <f t="shared" si="36"/>
        <v/>
      </c>
      <c r="AK498" s="8"/>
      <c r="AL498" s="8"/>
      <c r="AM498" s="8" t="s">
        <v>591</v>
      </c>
      <c r="AN498" s="8" t="s">
        <v>5139</v>
      </c>
      <c r="AO498" s="9"/>
      <c r="AP498" s="8" t="s">
        <v>713</v>
      </c>
      <c r="AQ498" s="9"/>
      <c r="AR498" s="8" t="s">
        <v>592</v>
      </c>
      <c r="AS498" s="8" t="s">
        <v>593</v>
      </c>
      <c r="AT498" s="9"/>
      <c r="AU498" s="8" t="s">
        <v>5140</v>
      </c>
      <c r="AV498" s="8" t="s">
        <v>108</v>
      </c>
      <c r="AW498" s="9"/>
      <c r="AX498" s="9"/>
      <c r="AY498" s="8" t="s">
        <v>5082</v>
      </c>
      <c r="AZ498" s="8" t="b">
        <v>0</v>
      </c>
      <c r="BA498" s="8" t="s">
        <v>110</v>
      </c>
      <c r="BB498" s="8" t="s">
        <v>773</v>
      </c>
      <c r="BC498" s="9"/>
      <c r="BD498" s="9"/>
      <c r="BE498" s="8" t="s">
        <v>5141</v>
      </c>
      <c r="BF498" s="9"/>
      <c r="BG498" s="9"/>
      <c r="BH498" s="9"/>
      <c r="BI498" s="9"/>
      <c r="BJ498" s="9"/>
      <c r="BK498" s="9"/>
      <c r="BL498" s="9"/>
      <c r="BM498" s="9"/>
      <c r="BN498" s="9"/>
      <c r="BO498" s="9"/>
      <c r="BP498" s="9"/>
      <c r="BQ498" s="9"/>
      <c r="BR498" s="9"/>
      <c r="BS498" s="9"/>
      <c r="BT498" s="9"/>
      <c r="BU498" s="9"/>
      <c r="BV498" s="9"/>
      <c r="BW498" s="9"/>
      <c r="BX498" s="9"/>
      <c r="BY498" s="9"/>
      <c r="BZ498" s="9"/>
      <c r="CA498" s="9"/>
      <c r="CB498" s="8" t="s">
        <v>5142</v>
      </c>
      <c r="CC498" s="9"/>
      <c r="CD498" s="9"/>
      <c r="CE498" s="8" t="s">
        <v>115</v>
      </c>
      <c r="CF498" s="8" t="s">
        <v>5143</v>
      </c>
      <c r="CG498" s="9"/>
      <c r="CH498" s="9"/>
      <c r="CI498" s="9"/>
      <c r="CJ498" s="9"/>
      <c r="CK498" s="9"/>
      <c r="CL498" s="9"/>
      <c r="CM498" s="9"/>
      <c r="CN498" s="9"/>
      <c r="CO498" s="9"/>
      <c r="CP498" s="9"/>
    </row>
    <row r="499">
      <c r="A499" s="7" t="s">
        <v>5144</v>
      </c>
      <c r="B499" s="8" t="s">
        <v>5145</v>
      </c>
      <c r="C499" s="8" t="s">
        <v>5146</v>
      </c>
      <c r="D499" s="8" t="s">
        <v>94</v>
      </c>
      <c r="E499" s="8" t="s">
        <v>95</v>
      </c>
      <c r="F499" s="9"/>
      <c r="G499" s="8" t="s">
        <v>5147</v>
      </c>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t="str">
        <f t="shared" si="36"/>
        <v/>
      </c>
      <c r="AK499" s="8"/>
      <c r="AL499" s="8"/>
      <c r="AM499" s="8" t="s">
        <v>591</v>
      </c>
      <c r="AN499" s="8" t="s">
        <v>2326</v>
      </c>
      <c r="AO499" s="9"/>
      <c r="AP499" s="8" t="s">
        <v>1665</v>
      </c>
      <c r="AQ499" s="9"/>
      <c r="AR499" s="8" t="s">
        <v>592</v>
      </c>
      <c r="AS499" s="8" t="s">
        <v>593</v>
      </c>
      <c r="AT499" s="9"/>
      <c r="AU499" s="8" t="s">
        <v>5148</v>
      </c>
      <c r="AV499" s="8" t="s">
        <v>108</v>
      </c>
      <c r="AW499" s="9"/>
      <c r="AX499" s="9"/>
      <c r="AY499" s="8" t="s">
        <v>5082</v>
      </c>
      <c r="AZ499" s="8" t="b">
        <v>0</v>
      </c>
      <c r="BA499" s="8" t="s">
        <v>110</v>
      </c>
      <c r="BB499" s="9"/>
      <c r="BC499" s="9"/>
      <c r="BD499" s="9"/>
      <c r="BE499" s="8" t="s">
        <v>5149</v>
      </c>
      <c r="BF499" s="8" t="s">
        <v>94</v>
      </c>
      <c r="BG499" s="8" t="s">
        <v>95</v>
      </c>
      <c r="BH499" s="8" t="s">
        <v>4591</v>
      </c>
      <c r="BI499" s="9"/>
      <c r="BJ499" s="9"/>
      <c r="BK499" s="9"/>
      <c r="BL499" s="9"/>
      <c r="BM499" s="9"/>
      <c r="BN499" s="9"/>
      <c r="BO499" s="9"/>
      <c r="BP499" s="9"/>
      <c r="BQ499" s="9"/>
      <c r="BR499" s="9"/>
      <c r="BS499" s="9"/>
      <c r="BT499" s="9"/>
      <c r="BU499" s="9"/>
      <c r="BV499" s="9"/>
      <c r="BW499" s="9"/>
      <c r="BX499" s="9"/>
      <c r="BY499" s="9"/>
      <c r="BZ499" s="9"/>
      <c r="CA499" s="9"/>
      <c r="CB499" s="8" t="s">
        <v>5150</v>
      </c>
      <c r="CC499" s="9"/>
      <c r="CD499" s="9"/>
      <c r="CE499" s="8" t="s">
        <v>115</v>
      </c>
      <c r="CF499" s="8" t="s">
        <v>5151</v>
      </c>
      <c r="CG499" s="9"/>
      <c r="CH499" s="9"/>
      <c r="CI499" s="9"/>
      <c r="CJ499" s="9"/>
      <c r="CK499" s="9"/>
      <c r="CL499" s="9"/>
      <c r="CM499" s="9"/>
      <c r="CN499" s="9"/>
      <c r="CO499" s="9"/>
      <c r="CP499" s="9"/>
    </row>
    <row r="500">
      <c r="A500" s="7" t="s">
        <v>5152</v>
      </c>
      <c r="B500" s="8" t="s">
        <v>5153</v>
      </c>
      <c r="C500" s="8" t="s">
        <v>5154</v>
      </c>
      <c r="D500" s="8" t="s">
        <v>94</v>
      </c>
      <c r="E500" s="8" t="s">
        <v>95</v>
      </c>
      <c r="F500" s="9"/>
      <c r="G500" s="8" t="s">
        <v>5155</v>
      </c>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t="str">
        <f t="shared" si="36"/>
        <v/>
      </c>
      <c r="AK500" s="8"/>
      <c r="AL500" s="8"/>
      <c r="AM500" s="8" t="s">
        <v>591</v>
      </c>
      <c r="AN500" s="8" t="s">
        <v>5156</v>
      </c>
      <c r="AO500" s="9"/>
      <c r="AP500" s="8" t="s">
        <v>899</v>
      </c>
      <c r="AQ500" s="9"/>
      <c r="AR500" s="8" t="s">
        <v>592</v>
      </c>
      <c r="AS500" s="8" t="s">
        <v>593</v>
      </c>
      <c r="AT500" s="9"/>
      <c r="AU500" s="8" t="s">
        <v>5157</v>
      </c>
      <c r="AV500" s="9"/>
      <c r="AW500" s="9"/>
      <c r="AX500" s="9"/>
      <c r="AY500" s="8" t="s">
        <v>5082</v>
      </c>
      <c r="AZ500" s="8" t="b">
        <v>0</v>
      </c>
      <c r="BA500" s="8" t="s">
        <v>190</v>
      </c>
      <c r="BB500" s="8" t="s">
        <v>191</v>
      </c>
      <c r="BC500" s="9"/>
      <c r="BD500" s="9"/>
      <c r="BE500" s="8" t="s">
        <v>5158</v>
      </c>
      <c r="BF500" s="8" t="s">
        <v>94</v>
      </c>
      <c r="BG500" s="8" t="s">
        <v>95</v>
      </c>
      <c r="BH500" s="8" t="s">
        <v>5159</v>
      </c>
      <c r="BI500" s="9"/>
      <c r="BJ500" s="9"/>
      <c r="BK500" s="9"/>
      <c r="BL500" s="9"/>
      <c r="BM500" s="9"/>
      <c r="BN500" s="9"/>
      <c r="BO500" s="9"/>
      <c r="BP500" s="9"/>
      <c r="BQ500" s="9"/>
      <c r="BR500" s="8" t="s">
        <v>193</v>
      </c>
      <c r="BS500" s="8" t="s">
        <v>194</v>
      </c>
      <c r="BT500" s="9"/>
      <c r="BU500" s="9"/>
      <c r="BV500" s="8" t="s">
        <v>5160</v>
      </c>
      <c r="BW500" s="9"/>
      <c r="BX500" s="9"/>
      <c r="BY500" s="9"/>
      <c r="BZ500" s="9"/>
      <c r="CA500" s="9"/>
      <c r="CB500" s="8" t="s">
        <v>5161</v>
      </c>
      <c r="CC500" s="9"/>
      <c r="CD500" s="9"/>
      <c r="CE500" s="8" t="s">
        <v>197</v>
      </c>
      <c r="CF500" s="8" t="s">
        <v>5162</v>
      </c>
      <c r="CG500" s="9"/>
      <c r="CH500" s="9"/>
      <c r="CI500" s="9"/>
      <c r="CJ500" s="9"/>
      <c r="CK500" s="9"/>
      <c r="CL500" s="9"/>
      <c r="CM500" s="9"/>
      <c r="CN500" s="9"/>
      <c r="CO500" s="9"/>
      <c r="CP500" s="9"/>
    </row>
    <row r="501">
      <c r="A501" s="7" t="s">
        <v>5163</v>
      </c>
      <c r="B501" s="8" t="s">
        <v>5164</v>
      </c>
      <c r="C501" s="8" t="s">
        <v>5165</v>
      </c>
      <c r="D501" s="8" t="s">
        <v>94</v>
      </c>
      <c r="E501" s="8" t="s">
        <v>95</v>
      </c>
      <c r="F501" s="9"/>
      <c r="G501" s="8" t="s">
        <v>5166</v>
      </c>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t="str">
        <f t="shared" si="36"/>
        <v/>
      </c>
      <c r="AK501" s="8"/>
      <c r="AL501" s="8"/>
      <c r="AM501" s="8" t="s">
        <v>1477</v>
      </c>
      <c r="AN501" s="8" t="s">
        <v>5167</v>
      </c>
      <c r="AO501" s="9"/>
      <c r="AP501" s="9"/>
      <c r="AQ501" s="9"/>
      <c r="AR501" s="8" t="s">
        <v>1479</v>
      </c>
      <c r="AS501" s="8" t="s">
        <v>1480</v>
      </c>
      <c r="AT501" s="9"/>
      <c r="AU501" s="8" t="s">
        <v>5168</v>
      </c>
      <c r="AV501" s="9"/>
      <c r="AW501" s="9"/>
      <c r="AX501" s="9"/>
      <c r="AY501" s="8" t="s">
        <v>5082</v>
      </c>
      <c r="AZ501" s="8" t="b">
        <v>0</v>
      </c>
      <c r="BA501" s="8" t="s">
        <v>190</v>
      </c>
      <c r="BB501" s="8" t="s">
        <v>191</v>
      </c>
      <c r="BC501" s="9"/>
      <c r="BD501" s="9"/>
      <c r="BE501" s="8" t="s">
        <v>5169</v>
      </c>
      <c r="BF501" s="9"/>
      <c r="BG501" s="9"/>
      <c r="BH501" s="9"/>
      <c r="BI501" s="9"/>
      <c r="BJ501" s="9"/>
      <c r="BK501" s="9"/>
      <c r="BL501" s="9"/>
      <c r="BM501" s="9"/>
      <c r="BN501" s="9"/>
      <c r="BO501" s="9"/>
      <c r="BP501" s="9"/>
      <c r="BQ501" s="9"/>
      <c r="BR501" s="8" t="s">
        <v>193</v>
      </c>
      <c r="BS501" s="8" t="s">
        <v>194</v>
      </c>
      <c r="BT501" s="9"/>
      <c r="BU501" s="9"/>
      <c r="BV501" s="8" t="s">
        <v>5170</v>
      </c>
      <c r="BW501" s="9"/>
      <c r="BX501" s="9"/>
      <c r="BY501" s="8" t="s">
        <v>5171</v>
      </c>
      <c r="BZ501" s="9"/>
      <c r="CA501" s="9"/>
      <c r="CB501" s="8" t="s">
        <v>5172</v>
      </c>
      <c r="CC501" s="9"/>
      <c r="CD501" s="9"/>
      <c r="CE501" s="8" t="s">
        <v>450</v>
      </c>
      <c r="CF501" s="8" t="s">
        <v>5173</v>
      </c>
      <c r="CG501" s="9"/>
      <c r="CH501" s="9"/>
      <c r="CI501" s="9"/>
      <c r="CJ501" s="9"/>
      <c r="CK501" s="9"/>
      <c r="CL501" s="9"/>
      <c r="CM501" s="9"/>
      <c r="CN501" s="9"/>
      <c r="CO501" s="9"/>
      <c r="CP501" s="9"/>
    </row>
    <row r="502">
      <c r="A502" s="7" t="s">
        <v>5174</v>
      </c>
      <c r="B502" s="8" t="s">
        <v>5175</v>
      </c>
      <c r="C502" s="8" t="s">
        <v>5176</v>
      </c>
      <c r="D502" s="8" t="s">
        <v>94</v>
      </c>
      <c r="E502" s="8" t="s">
        <v>95</v>
      </c>
      <c r="F502" s="9"/>
      <c r="G502" s="8" t="s">
        <v>5177</v>
      </c>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t="str">
        <f t="shared" si="36"/>
        <v/>
      </c>
      <c r="AK502" s="8"/>
      <c r="AL502" s="8"/>
      <c r="AM502" s="8" t="s">
        <v>1477</v>
      </c>
      <c r="AN502" s="8" t="s">
        <v>5178</v>
      </c>
      <c r="AO502" s="9"/>
      <c r="AP502" s="9"/>
      <c r="AQ502" s="9"/>
      <c r="AR502" s="8" t="s">
        <v>1479</v>
      </c>
      <c r="AS502" s="8" t="s">
        <v>1480</v>
      </c>
      <c r="AT502" s="9"/>
      <c r="AU502" s="8" t="s">
        <v>5179</v>
      </c>
      <c r="AV502" s="8" t="s">
        <v>108</v>
      </c>
      <c r="AW502" s="9"/>
      <c r="AX502" s="9"/>
      <c r="AY502" s="8" t="s">
        <v>5082</v>
      </c>
      <c r="AZ502" s="8" t="b">
        <v>0</v>
      </c>
      <c r="BA502" s="8" t="s">
        <v>110</v>
      </c>
      <c r="BB502" s="9"/>
      <c r="BC502" s="9"/>
      <c r="BD502" s="9"/>
      <c r="BE502" s="8" t="s">
        <v>5180</v>
      </c>
      <c r="BF502" s="9"/>
      <c r="BG502" s="9"/>
      <c r="BH502" s="9"/>
      <c r="BI502" s="9"/>
      <c r="BJ502" s="9"/>
      <c r="BK502" s="9"/>
      <c r="BL502" s="9"/>
      <c r="BM502" s="9"/>
      <c r="BN502" s="9"/>
      <c r="BO502" s="9"/>
      <c r="BP502" s="9"/>
      <c r="BQ502" s="9"/>
      <c r="BR502" s="9"/>
      <c r="BS502" s="9"/>
      <c r="BT502" s="9"/>
      <c r="BU502" s="9"/>
      <c r="BV502" s="9"/>
      <c r="BW502" s="9"/>
      <c r="BX502" s="9"/>
      <c r="BY502" s="9"/>
      <c r="BZ502" s="9"/>
      <c r="CA502" s="9"/>
      <c r="CB502" s="8" t="s">
        <v>5181</v>
      </c>
      <c r="CC502" s="9"/>
      <c r="CD502" s="9"/>
      <c r="CE502" s="8" t="s">
        <v>366</v>
      </c>
      <c r="CF502" s="8" t="s">
        <v>5182</v>
      </c>
      <c r="CG502" s="9"/>
      <c r="CH502" s="9"/>
      <c r="CI502" s="9"/>
      <c r="CJ502" s="9"/>
      <c r="CK502" s="9"/>
      <c r="CL502" s="9"/>
      <c r="CM502" s="9"/>
      <c r="CN502" s="9"/>
      <c r="CO502" s="9"/>
      <c r="CP502" s="9"/>
    </row>
    <row r="503">
      <c r="A503" s="7" t="s">
        <v>5183</v>
      </c>
      <c r="B503" s="8" t="s">
        <v>5184</v>
      </c>
      <c r="C503" s="8" t="s">
        <v>5185</v>
      </c>
      <c r="D503" s="8" t="s">
        <v>94</v>
      </c>
      <c r="E503" s="8" t="s">
        <v>95</v>
      </c>
      <c r="F503" s="9"/>
      <c r="G503" s="8" t="s">
        <v>5186</v>
      </c>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t="str">
        <f t="shared" si="36"/>
        <v/>
      </c>
      <c r="AK503" s="8"/>
      <c r="AL503" s="8"/>
      <c r="AM503" s="8" t="s">
        <v>1477</v>
      </c>
      <c r="AN503" s="8" t="s">
        <v>5187</v>
      </c>
      <c r="AO503" s="9"/>
      <c r="AP503" s="9"/>
      <c r="AQ503" s="9"/>
      <c r="AR503" s="8" t="s">
        <v>1479</v>
      </c>
      <c r="AS503" s="8" t="s">
        <v>1480</v>
      </c>
      <c r="AT503" s="9"/>
      <c r="AU503" s="8" t="s">
        <v>5188</v>
      </c>
      <c r="AV503" s="8" t="s">
        <v>108</v>
      </c>
      <c r="AW503" s="9"/>
      <c r="AX503" s="9"/>
      <c r="AY503" s="8" t="s">
        <v>5082</v>
      </c>
      <c r="AZ503" s="8" t="b">
        <v>0</v>
      </c>
      <c r="BA503" s="8" t="s">
        <v>110</v>
      </c>
      <c r="BB503" s="9"/>
      <c r="BC503" s="9"/>
      <c r="BD503" s="9"/>
      <c r="BE503" s="8" t="s">
        <v>5189</v>
      </c>
      <c r="BF503" s="9"/>
      <c r="BG503" s="9"/>
      <c r="BH503" s="9"/>
      <c r="BI503" s="9"/>
      <c r="BJ503" s="9"/>
      <c r="BK503" s="9"/>
      <c r="BL503" s="9"/>
      <c r="BM503" s="9"/>
      <c r="BN503" s="9"/>
      <c r="BO503" s="9"/>
      <c r="BP503" s="9"/>
      <c r="BQ503" s="9"/>
      <c r="BR503" s="9"/>
      <c r="BS503" s="9"/>
      <c r="BT503" s="9"/>
      <c r="BU503" s="9"/>
      <c r="BV503" s="9"/>
      <c r="BW503" s="9"/>
      <c r="BX503" s="9"/>
      <c r="BY503" s="9"/>
      <c r="BZ503" s="9"/>
      <c r="CA503" s="9"/>
      <c r="CB503" s="8" t="s">
        <v>5190</v>
      </c>
      <c r="CC503" s="9"/>
      <c r="CD503" s="9"/>
      <c r="CE503" s="8" t="s">
        <v>393</v>
      </c>
      <c r="CF503" s="8" t="s">
        <v>5191</v>
      </c>
      <c r="CG503" s="9"/>
      <c r="CH503" s="9"/>
      <c r="CI503" s="9"/>
      <c r="CJ503" s="9"/>
      <c r="CK503" s="9"/>
      <c r="CL503" s="9"/>
      <c r="CM503" s="9"/>
      <c r="CN503" s="9"/>
      <c r="CO503" s="9"/>
      <c r="CP503" s="9"/>
    </row>
    <row r="504">
      <c r="A504" s="7" t="s">
        <v>5192</v>
      </c>
      <c r="B504" s="8" t="s">
        <v>5193</v>
      </c>
      <c r="C504" s="8" t="s">
        <v>5194</v>
      </c>
      <c r="D504" s="8" t="s">
        <v>94</v>
      </c>
      <c r="E504" s="8" t="s">
        <v>95</v>
      </c>
      <c r="F504" s="9"/>
      <c r="G504" s="8" t="s">
        <v>5195</v>
      </c>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t="str">
        <f t="shared" si="36"/>
        <v/>
      </c>
      <c r="AK504" s="8"/>
      <c r="AL504" s="8"/>
      <c r="AM504" s="8" t="s">
        <v>1477</v>
      </c>
      <c r="AN504" s="8" t="s">
        <v>5196</v>
      </c>
      <c r="AO504" s="9"/>
      <c r="AP504" s="9"/>
      <c r="AQ504" s="9"/>
      <c r="AR504" s="8" t="s">
        <v>1479</v>
      </c>
      <c r="AS504" s="8" t="s">
        <v>1480</v>
      </c>
      <c r="AT504" s="9"/>
      <c r="AU504" s="8" t="s">
        <v>5197</v>
      </c>
      <c r="AV504" s="8" t="s">
        <v>108</v>
      </c>
      <c r="AW504" s="9"/>
      <c r="AX504" s="9"/>
      <c r="AY504" s="8" t="s">
        <v>5082</v>
      </c>
      <c r="AZ504" s="8" t="b">
        <v>0</v>
      </c>
      <c r="BA504" s="8" t="s">
        <v>110</v>
      </c>
      <c r="BB504" s="9"/>
      <c r="BC504" s="9"/>
      <c r="BD504" s="9"/>
      <c r="BE504" s="8" t="s">
        <v>5198</v>
      </c>
      <c r="BF504" s="9"/>
      <c r="BG504" s="9"/>
      <c r="BH504" s="9"/>
      <c r="BI504" s="9"/>
      <c r="BJ504" s="9"/>
      <c r="BK504" s="9"/>
      <c r="BL504" s="9"/>
      <c r="BM504" s="9"/>
      <c r="BN504" s="9"/>
      <c r="BO504" s="9"/>
      <c r="BP504" s="9"/>
      <c r="BQ504" s="9"/>
      <c r="BR504" s="9"/>
      <c r="BS504" s="9"/>
      <c r="BT504" s="9"/>
      <c r="BU504" s="9"/>
      <c r="BV504" s="9"/>
      <c r="BW504" s="9"/>
      <c r="BX504" s="9"/>
      <c r="BY504" s="9"/>
      <c r="BZ504" s="9"/>
      <c r="CA504" s="9"/>
      <c r="CB504" s="8" t="s">
        <v>3158</v>
      </c>
      <c r="CC504" s="9"/>
      <c r="CD504" s="9"/>
      <c r="CE504" s="8" t="s">
        <v>197</v>
      </c>
      <c r="CF504" s="8" t="s">
        <v>5199</v>
      </c>
      <c r="CG504" s="9"/>
      <c r="CH504" s="9"/>
      <c r="CI504" s="9"/>
      <c r="CJ504" s="9"/>
      <c r="CK504" s="9"/>
      <c r="CL504" s="9"/>
      <c r="CM504" s="9"/>
      <c r="CN504" s="9"/>
      <c r="CO504" s="9"/>
      <c r="CP504" s="9"/>
    </row>
    <row r="505">
      <c r="A505" s="7" t="s">
        <v>5200</v>
      </c>
      <c r="B505" s="8" t="s">
        <v>5201</v>
      </c>
      <c r="C505" s="8" t="s">
        <v>5202</v>
      </c>
      <c r="D505" s="8" t="s">
        <v>94</v>
      </c>
      <c r="E505" s="8" t="s">
        <v>95</v>
      </c>
      <c r="F505" s="9"/>
      <c r="G505" s="8" t="s">
        <v>5203</v>
      </c>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t="str">
        <f t="shared" si="36"/>
        <v/>
      </c>
      <c r="AK505" s="8"/>
      <c r="AL505" s="8"/>
      <c r="AM505" s="8" t="s">
        <v>1477</v>
      </c>
      <c r="AN505" s="8" t="s">
        <v>5204</v>
      </c>
      <c r="AO505" s="9"/>
      <c r="AP505" s="9"/>
      <c r="AQ505" s="9"/>
      <c r="AR505" s="8" t="s">
        <v>1479</v>
      </c>
      <c r="AS505" s="8" t="s">
        <v>1480</v>
      </c>
      <c r="AT505" s="9"/>
      <c r="AU505" s="8" t="s">
        <v>5205</v>
      </c>
      <c r="AV505" s="9"/>
      <c r="AW505" s="9"/>
      <c r="AX505" s="9"/>
      <c r="AY505" s="8" t="s">
        <v>5082</v>
      </c>
      <c r="AZ505" s="8" t="b">
        <v>0</v>
      </c>
      <c r="BA505" s="8" t="s">
        <v>190</v>
      </c>
      <c r="BB505" s="8" t="s">
        <v>191</v>
      </c>
      <c r="BC505" s="9"/>
      <c r="BD505" s="9"/>
      <c r="BE505" s="8" t="s">
        <v>5206</v>
      </c>
      <c r="BF505" s="9"/>
      <c r="BG505" s="9"/>
      <c r="BH505" s="9"/>
      <c r="BI505" s="9"/>
      <c r="BJ505" s="9"/>
      <c r="BK505" s="9"/>
      <c r="BL505" s="9"/>
      <c r="BM505" s="9"/>
      <c r="BN505" s="9"/>
      <c r="BO505" s="9"/>
      <c r="BP505" s="9"/>
      <c r="BQ505" s="9"/>
      <c r="BR505" s="8" t="s">
        <v>193</v>
      </c>
      <c r="BS505" s="8" t="s">
        <v>194</v>
      </c>
      <c r="BT505" s="9"/>
      <c r="BU505" s="8" t="s">
        <v>5207</v>
      </c>
      <c r="BV505" s="9"/>
      <c r="BW505" s="9"/>
      <c r="BX505" s="9"/>
      <c r="BY505" s="9"/>
      <c r="BZ505" s="9"/>
      <c r="CA505" s="9"/>
      <c r="CB505" s="8" t="s">
        <v>5208</v>
      </c>
      <c r="CC505" s="9"/>
      <c r="CD505" s="9"/>
      <c r="CE505" s="8" t="s">
        <v>1839</v>
      </c>
      <c r="CF505" s="8" t="s">
        <v>5209</v>
      </c>
      <c r="CG505" s="9"/>
      <c r="CH505" s="9"/>
      <c r="CI505" s="9"/>
      <c r="CJ505" s="9"/>
      <c r="CK505" s="9"/>
      <c r="CL505" s="9"/>
      <c r="CM505" s="9"/>
      <c r="CN505" s="9"/>
      <c r="CO505" s="9"/>
      <c r="CP505" s="9"/>
    </row>
    <row r="506">
      <c r="A506" s="7" t="s">
        <v>5210</v>
      </c>
      <c r="B506" s="8" t="s">
        <v>5211</v>
      </c>
      <c r="C506" s="8" t="s">
        <v>5212</v>
      </c>
      <c r="D506" s="8" t="s">
        <v>94</v>
      </c>
      <c r="E506" s="8" t="s">
        <v>95</v>
      </c>
      <c r="F506" s="9"/>
      <c r="G506" s="8" t="s">
        <v>5213</v>
      </c>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t="str">
        <f t="shared" si="36"/>
        <v/>
      </c>
      <c r="AK506" s="8"/>
      <c r="AL506" s="8"/>
      <c r="AM506" s="8" t="s">
        <v>1477</v>
      </c>
      <c r="AN506" s="8" t="s">
        <v>5214</v>
      </c>
      <c r="AO506" s="9"/>
      <c r="AP506" s="9"/>
      <c r="AQ506" s="9"/>
      <c r="AR506" s="8" t="s">
        <v>1479</v>
      </c>
      <c r="AS506" s="8" t="s">
        <v>1480</v>
      </c>
      <c r="AT506" s="9"/>
      <c r="AU506" s="8" t="s">
        <v>5215</v>
      </c>
      <c r="AV506" s="8" t="s">
        <v>108</v>
      </c>
      <c r="AW506" s="9"/>
      <c r="AX506" s="9"/>
      <c r="AY506" s="8" t="s">
        <v>5082</v>
      </c>
      <c r="AZ506" s="8" t="b">
        <v>0</v>
      </c>
      <c r="BA506" s="8" t="s">
        <v>110</v>
      </c>
      <c r="BB506" s="9"/>
      <c r="BC506" s="9"/>
      <c r="BD506" s="9"/>
      <c r="BE506" s="8" t="s">
        <v>5216</v>
      </c>
      <c r="BF506" s="9"/>
      <c r="BG506" s="9"/>
      <c r="BH506" s="9"/>
      <c r="BI506" s="9"/>
      <c r="BJ506" s="9"/>
      <c r="BK506" s="9"/>
      <c r="BL506" s="9"/>
      <c r="BM506" s="9"/>
      <c r="BN506" s="9"/>
      <c r="BO506" s="9"/>
      <c r="BP506" s="9"/>
      <c r="BQ506" s="9"/>
      <c r="BR506" s="9"/>
      <c r="BS506" s="9"/>
      <c r="BT506" s="9"/>
      <c r="BU506" s="9"/>
      <c r="BV506" s="9"/>
      <c r="BW506" s="9"/>
      <c r="BX506" s="9"/>
      <c r="BY506" s="9"/>
      <c r="BZ506" s="9"/>
      <c r="CA506" s="9"/>
      <c r="CB506" s="8" t="s">
        <v>5217</v>
      </c>
      <c r="CC506" s="9"/>
      <c r="CD506" s="9"/>
      <c r="CE506" s="8" t="s">
        <v>115</v>
      </c>
      <c r="CF506" s="8" t="s">
        <v>5218</v>
      </c>
      <c r="CG506" s="9"/>
      <c r="CH506" s="9"/>
      <c r="CI506" s="9"/>
      <c r="CJ506" s="9"/>
      <c r="CK506" s="9"/>
      <c r="CL506" s="9"/>
      <c r="CM506" s="9"/>
      <c r="CN506" s="9"/>
      <c r="CO506" s="9"/>
      <c r="CP506" s="9"/>
    </row>
    <row r="507">
      <c r="A507" s="7" t="s">
        <v>5219</v>
      </c>
      <c r="B507" s="8" t="s">
        <v>5220</v>
      </c>
      <c r="C507" s="8" t="s">
        <v>5221</v>
      </c>
      <c r="D507" s="8" t="s">
        <v>94</v>
      </c>
      <c r="E507" s="8" t="s">
        <v>95</v>
      </c>
      <c r="F507" s="9"/>
      <c r="G507" s="8" t="s">
        <v>5222</v>
      </c>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t="str">
        <f t="shared" si="36"/>
        <v/>
      </c>
      <c r="AK507" s="8"/>
      <c r="AL507" s="8"/>
      <c r="AM507" s="8" t="s">
        <v>1477</v>
      </c>
      <c r="AN507" s="8" t="s">
        <v>5223</v>
      </c>
      <c r="AO507" s="9"/>
      <c r="AP507" s="9"/>
      <c r="AQ507" s="9"/>
      <c r="AR507" s="8" t="s">
        <v>1479</v>
      </c>
      <c r="AS507" s="8" t="s">
        <v>1480</v>
      </c>
      <c r="AT507" s="9"/>
      <c r="AU507" s="8" t="s">
        <v>5224</v>
      </c>
      <c r="AV507" s="8" t="s">
        <v>108</v>
      </c>
      <c r="AW507" s="9"/>
      <c r="AX507" s="9"/>
      <c r="AY507" s="8" t="s">
        <v>5082</v>
      </c>
      <c r="AZ507" s="8" t="b">
        <v>0</v>
      </c>
      <c r="BA507" s="8" t="s">
        <v>110</v>
      </c>
      <c r="BB507" s="9"/>
      <c r="BC507" s="9"/>
      <c r="BD507" s="9"/>
      <c r="BE507" s="8" t="s">
        <v>2495</v>
      </c>
      <c r="BF507" s="9"/>
      <c r="BG507" s="9"/>
      <c r="BH507" s="9"/>
      <c r="BI507" s="9"/>
      <c r="BJ507" s="9"/>
      <c r="BK507" s="9"/>
      <c r="BL507" s="9"/>
      <c r="BM507" s="9"/>
      <c r="BN507" s="9"/>
      <c r="BO507" s="9"/>
      <c r="BP507" s="9"/>
      <c r="BQ507" s="9"/>
      <c r="BR507" s="9"/>
      <c r="BS507" s="9"/>
      <c r="BT507" s="9"/>
      <c r="BU507" s="9"/>
      <c r="BV507" s="9"/>
      <c r="BW507" s="9"/>
      <c r="BX507" s="9"/>
      <c r="BY507" s="9"/>
      <c r="BZ507" s="9"/>
      <c r="CA507" s="9"/>
      <c r="CB507" s="8" t="s">
        <v>5225</v>
      </c>
      <c r="CC507" s="9"/>
      <c r="CD507" s="9"/>
      <c r="CE507" s="8" t="s">
        <v>450</v>
      </c>
      <c r="CF507" s="8" t="s">
        <v>5226</v>
      </c>
      <c r="CG507" s="9"/>
      <c r="CH507" s="9"/>
      <c r="CI507" s="9"/>
      <c r="CJ507" s="9"/>
      <c r="CK507" s="9"/>
      <c r="CL507" s="9"/>
      <c r="CM507" s="9"/>
      <c r="CN507" s="9"/>
      <c r="CO507" s="9"/>
      <c r="CP507" s="9"/>
    </row>
    <row r="508">
      <c r="A508" s="7" t="s">
        <v>5227</v>
      </c>
      <c r="B508" s="8" t="s">
        <v>5228</v>
      </c>
      <c r="C508" s="8" t="s">
        <v>5229</v>
      </c>
      <c r="D508" s="8" t="s">
        <v>94</v>
      </c>
      <c r="E508" s="8" t="s">
        <v>95</v>
      </c>
      <c r="F508" s="9"/>
      <c r="G508" s="8" t="s">
        <v>5230</v>
      </c>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t="str">
        <f t="shared" si="36"/>
        <v/>
      </c>
      <c r="AK508" s="8"/>
      <c r="AL508" s="8"/>
      <c r="AM508" s="8" t="s">
        <v>1477</v>
      </c>
      <c r="AN508" s="8" t="s">
        <v>5231</v>
      </c>
      <c r="AO508" s="9"/>
      <c r="AP508" s="9"/>
      <c r="AQ508" s="9"/>
      <c r="AR508" s="8" t="s">
        <v>1479</v>
      </c>
      <c r="AS508" s="8" t="s">
        <v>1480</v>
      </c>
      <c r="AT508" s="9"/>
      <c r="AU508" s="8" t="s">
        <v>5232</v>
      </c>
      <c r="AV508" s="9"/>
      <c r="AW508" s="9"/>
      <c r="AX508" s="9"/>
      <c r="AY508" s="8" t="s">
        <v>5082</v>
      </c>
      <c r="AZ508" s="8" t="b">
        <v>0</v>
      </c>
      <c r="BA508" s="8" t="s">
        <v>190</v>
      </c>
      <c r="BB508" s="8" t="s">
        <v>191</v>
      </c>
      <c r="BC508" s="9"/>
      <c r="BD508" s="8" t="s">
        <v>112</v>
      </c>
      <c r="BE508" s="8" t="s">
        <v>1461</v>
      </c>
      <c r="BF508" s="9"/>
      <c r="BG508" s="9"/>
      <c r="BH508" s="9"/>
      <c r="BI508" s="9"/>
      <c r="BJ508" s="9"/>
      <c r="BK508" s="9"/>
      <c r="BL508" s="9"/>
      <c r="BM508" s="9"/>
      <c r="BN508" s="9"/>
      <c r="BO508" s="9"/>
      <c r="BP508" s="9"/>
      <c r="BQ508" s="9"/>
      <c r="BR508" s="8" t="s">
        <v>193</v>
      </c>
      <c r="BS508" s="8" t="s">
        <v>194</v>
      </c>
      <c r="BT508" s="8" t="s">
        <v>5233</v>
      </c>
      <c r="BU508" s="9"/>
      <c r="BV508" s="8" t="s">
        <v>5234</v>
      </c>
      <c r="BW508" s="9"/>
      <c r="BX508" s="9"/>
      <c r="BY508" s="9"/>
      <c r="BZ508" s="9"/>
      <c r="CA508" s="9"/>
      <c r="CB508" s="8" t="s">
        <v>4433</v>
      </c>
      <c r="CC508" s="9"/>
      <c r="CD508" s="9"/>
      <c r="CE508" s="8" t="s">
        <v>366</v>
      </c>
      <c r="CF508" s="8" t="s">
        <v>5235</v>
      </c>
      <c r="CG508" s="9"/>
      <c r="CH508" s="9"/>
      <c r="CI508" s="9"/>
      <c r="CJ508" s="9"/>
      <c r="CK508" s="9"/>
      <c r="CL508" s="9"/>
      <c r="CM508" s="9"/>
      <c r="CN508" s="9"/>
      <c r="CO508" s="9"/>
      <c r="CP508" s="9"/>
    </row>
    <row r="509">
      <c r="A509" s="7" t="s">
        <v>5236</v>
      </c>
      <c r="B509" s="8" t="s">
        <v>5237</v>
      </c>
      <c r="C509" s="8" t="s">
        <v>5238</v>
      </c>
      <c r="D509" s="8" t="s">
        <v>94</v>
      </c>
      <c r="E509" s="8" t="s">
        <v>95</v>
      </c>
      <c r="F509" s="9"/>
      <c r="G509" s="8" t="s">
        <v>5239</v>
      </c>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t="str">
        <f t="shared" si="36"/>
        <v/>
      </c>
      <c r="AK509" s="8"/>
      <c r="AL509" s="8"/>
      <c r="AM509" s="8" t="s">
        <v>1477</v>
      </c>
      <c r="AN509" s="8" t="s">
        <v>5240</v>
      </c>
      <c r="AO509" s="9"/>
      <c r="AP509" s="9"/>
      <c r="AQ509" s="9"/>
      <c r="AR509" s="8" t="s">
        <v>1479</v>
      </c>
      <c r="AS509" s="8" t="s">
        <v>1480</v>
      </c>
      <c r="AT509" s="9"/>
      <c r="AU509" s="8" t="s">
        <v>5241</v>
      </c>
      <c r="AV509" s="8" t="s">
        <v>108</v>
      </c>
      <c r="AW509" s="9"/>
      <c r="AX509" s="9"/>
      <c r="AY509" s="8" t="s">
        <v>5082</v>
      </c>
      <c r="AZ509" s="8" t="b">
        <v>0</v>
      </c>
      <c r="BA509" s="8" t="s">
        <v>110</v>
      </c>
      <c r="BB509" s="9"/>
      <c r="BC509" s="9"/>
      <c r="BD509" s="9"/>
      <c r="BE509" s="8" t="s">
        <v>5242</v>
      </c>
      <c r="BF509" s="9"/>
      <c r="BG509" s="9"/>
      <c r="BH509" s="9"/>
      <c r="BI509" s="9"/>
      <c r="BJ509" s="9"/>
      <c r="BK509" s="9"/>
      <c r="BL509" s="9"/>
      <c r="BM509" s="9"/>
      <c r="BN509" s="9"/>
      <c r="BO509" s="9"/>
      <c r="BP509" s="9"/>
      <c r="BQ509" s="9"/>
      <c r="BR509" s="9"/>
      <c r="BS509" s="9"/>
      <c r="BT509" s="9"/>
      <c r="BU509" s="9"/>
      <c r="BV509" s="9"/>
      <c r="BW509" s="9"/>
      <c r="BX509" s="9"/>
      <c r="BY509" s="9"/>
      <c r="BZ509" s="9"/>
      <c r="CA509" s="9"/>
      <c r="CB509" s="8" t="s">
        <v>4602</v>
      </c>
      <c r="CC509" s="9"/>
      <c r="CD509" s="9"/>
      <c r="CE509" s="8" t="s">
        <v>366</v>
      </c>
      <c r="CF509" s="8" t="s">
        <v>5243</v>
      </c>
      <c r="CG509" s="9"/>
      <c r="CH509" s="9"/>
      <c r="CI509" s="9"/>
      <c r="CJ509" s="9"/>
      <c r="CK509" s="9"/>
      <c r="CL509" s="9"/>
      <c r="CM509" s="9"/>
      <c r="CN509" s="9"/>
      <c r="CO509" s="9"/>
      <c r="CP509" s="9"/>
    </row>
    <row r="510">
      <c r="A510" s="7" t="s">
        <v>5244</v>
      </c>
      <c r="B510" s="8" t="s">
        <v>5245</v>
      </c>
      <c r="C510" s="8" t="s">
        <v>5246</v>
      </c>
      <c r="D510" s="8" t="s">
        <v>94</v>
      </c>
      <c r="E510" s="8" t="s">
        <v>95</v>
      </c>
      <c r="F510" s="9"/>
      <c r="G510" s="8" t="s">
        <v>5247</v>
      </c>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t="str">
        <f t="shared" si="36"/>
        <v/>
      </c>
      <c r="AK510" s="8"/>
      <c r="AL510" s="8"/>
      <c r="AM510" s="8" t="s">
        <v>1477</v>
      </c>
      <c r="AN510" s="8" t="s">
        <v>5248</v>
      </c>
      <c r="AO510" s="9"/>
      <c r="AP510" s="9"/>
      <c r="AQ510" s="9"/>
      <c r="AR510" s="8" t="s">
        <v>1479</v>
      </c>
      <c r="AS510" s="8" t="s">
        <v>1480</v>
      </c>
      <c r="AT510" s="9"/>
      <c r="AU510" s="8" t="s">
        <v>5249</v>
      </c>
      <c r="AV510" s="8" t="s">
        <v>108</v>
      </c>
      <c r="AW510" s="9"/>
      <c r="AX510" s="9"/>
      <c r="AY510" s="8" t="s">
        <v>5082</v>
      </c>
      <c r="AZ510" s="8" t="b">
        <v>0</v>
      </c>
      <c r="BA510" s="8" t="s">
        <v>110</v>
      </c>
      <c r="BB510" s="9"/>
      <c r="BC510" s="9"/>
      <c r="BD510" s="9"/>
      <c r="BE510" s="8" t="s">
        <v>5250</v>
      </c>
      <c r="BF510" s="9"/>
      <c r="BG510" s="9"/>
      <c r="BH510" s="9"/>
      <c r="BI510" s="9"/>
      <c r="BJ510" s="9"/>
      <c r="BK510" s="9"/>
      <c r="BL510" s="9"/>
      <c r="BM510" s="9"/>
      <c r="BN510" s="9"/>
      <c r="BO510" s="9"/>
      <c r="BP510" s="9"/>
      <c r="BQ510" s="9"/>
      <c r="BR510" s="9"/>
      <c r="BS510" s="9"/>
      <c r="BT510" s="9"/>
      <c r="BU510" s="9"/>
      <c r="BV510" s="9"/>
      <c r="BW510" s="9"/>
      <c r="BX510" s="9"/>
      <c r="BY510" s="9"/>
      <c r="BZ510" s="9"/>
      <c r="CA510" s="9"/>
      <c r="CB510" s="8" t="s">
        <v>5251</v>
      </c>
      <c r="CC510" s="9"/>
      <c r="CD510" s="9"/>
      <c r="CE510" s="8" t="s">
        <v>366</v>
      </c>
      <c r="CF510" s="8" t="s">
        <v>5252</v>
      </c>
      <c r="CG510" s="9"/>
      <c r="CH510" s="9"/>
      <c r="CI510" s="9"/>
      <c r="CJ510" s="9"/>
      <c r="CK510" s="9"/>
      <c r="CL510" s="9"/>
      <c r="CM510" s="9"/>
      <c r="CN510" s="9"/>
      <c r="CO510" s="9"/>
      <c r="CP510" s="9"/>
    </row>
    <row r="511">
      <c r="A511" s="7" t="s">
        <v>5253</v>
      </c>
      <c r="B511" s="8" t="s">
        <v>5254</v>
      </c>
      <c r="C511" s="8" t="s">
        <v>5255</v>
      </c>
      <c r="D511" s="8" t="s">
        <v>94</v>
      </c>
      <c r="E511" s="8" t="s">
        <v>95</v>
      </c>
      <c r="F511" s="9"/>
      <c r="G511" s="8" t="s">
        <v>5256</v>
      </c>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t="str">
        <f t="shared" si="36"/>
        <v/>
      </c>
      <c r="AK511" s="8"/>
      <c r="AL511" s="8"/>
      <c r="AM511" s="8" t="s">
        <v>1477</v>
      </c>
      <c r="AN511" s="8" t="s">
        <v>5257</v>
      </c>
      <c r="AO511" s="9"/>
      <c r="AP511" s="9"/>
      <c r="AQ511" s="9"/>
      <c r="AR511" s="8" t="s">
        <v>1479</v>
      </c>
      <c r="AS511" s="8" t="s">
        <v>1480</v>
      </c>
      <c r="AT511" s="9"/>
      <c r="AU511" s="8" t="s">
        <v>5258</v>
      </c>
      <c r="AV511" s="8" t="s">
        <v>108</v>
      </c>
      <c r="AW511" s="9"/>
      <c r="AX511" s="9"/>
      <c r="AY511" s="8" t="s">
        <v>5082</v>
      </c>
      <c r="AZ511" s="8" t="b">
        <v>0</v>
      </c>
      <c r="BA511" s="8" t="s">
        <v>110</v>
      </c>
      <c r="BB511" s="9"/>
      <c r="BC511" s="9"/>
      <c r="BD511" s="9"/>
      <c r="BE511" s="8" t="s">
        <v>5259</v>
      </c>
      <c r="BF511" s="9"/>
      <c r="BG511" s="9"/>
      <c r="BH511" s="9"/>
      <c r="BI511" s="9"/>
      <c r="BJ511" s="9"/>
      <c r="BK511" s="9"/>
      <c r="BL511" s="9"/>
      <c r="BM511" s="9"/>
      <c r="BN511" s="9"/>
      <c r="BO511" s="9"/>
      <c r="BP511" s="9"/>
      <c r="BQ511" s="9"/>
      <c r="BR511" s="9"/>
      <c r="BS511" s="9"/>
      <c r="BT511" s="9"/>
      <c r="BU511" s="9"/>
      <c r="BV511" s="9"/>
      <c r="BW511" s="9"/>
      <c r="BX511" s="9"/>
      <c r="BY511" s="9"/>
      <c r="BZ511" s="9"/>
      <c r="CA511" s="9"/>
      <c r="CB511" s="8" t="s">
        <v>5260</v>
      </c>
      <c r="CC511" s="9"/>
      <c r="CD511" s="9"/>
      <c r="CE511" s="8" t="s">
        <v>197</v>
      </c>
      <c r="CF511" s="8" t="s">
        <v>5261</v>
      </c>
      <c r="CG511" s="9"/>
      <c r="CH511" s="9"/>
      <c r="CI511" s="9"/>
      <c r="CJ511" s="9"/>
      <c r="CK511" s="9"/>
      <c r="CL511" s="9"/>
      <c r="CM511" s="9"/>
      <c r="CN511" s="9"/>
      <c r="CO511" s="9"/>
      <c r="CP511" s="9"/>
    </row>
    <row r="512">
      <c r="A512" s="7" t="s">
        <v>5262</v>
      </c>
      <c r="B512" s="8" t="s">
        <v>5263</v>
      </c>
      <c r="C512" s="8" t="s">
        <v>5264</v>
      </c>
      <c r="D512" s="8" t="s">
        <v>94</v>
      </c>
      <c r="E512" s="8" t="s">
        <v>95</v>
      </c>
      <c r="F512" s="9"/>
      <c r="G512" s="8" t="s">
        <v>5265</v>
      </c>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t="str">
        <f t="shared" si="36"/>
        <v/>
      </c>
      <c r="AK512" s="8"/>
      <c r="AL512" s="8"/>
      <c r="AM512" s="8" t="s">
        <v>1477</v>
      </c>
      <c r="AN512" s="8" t="s">
        <v>5266</v>
      </c>
      <c r="AO512" s="9"/>
      <c r="AP512" s="9"/>
      <c r="AQ512" s="9"/>
      <c r="AR512" s="8" t="s">
        <v>1479</v>
      </c>
      <c r="AS512" s="8" t="s">
        <v>1480</v>
      </c>
      <c r="AT512" s="9"/>
      <c r="AU512" s="8" t="s">
        <v>5267</v>
      </c>
      <c r="AV512" s="8" t="s">
        <v>108</v>
      </c>
      <c r="AW512" s="9"/>
      <c r="AX512" s="9"/>
      <c r="AY512" s="8" t="s">
        <v>5082</v>
      </c>
      <c r="AZ512" s="8" t="b">
        <v>0</v>
      </c>
      <c r="BA512" s="8" t="s">
        <v>110</v>
      </c>
      <c r="BB512" s="9"/>
      <c r="BC512" s="9"/>
      <c r="BD512" s="9"/>
      <c r="BE512" s="8" t="s">
        <v>5268</v>
      </c>
      <c r="BF512" s="9"/>
      <c r="BG512" s="9"/>
      <c r="BH512" s="9"/>
      <c r="BI512" s="9"/>
      <c r="BJ512" s="9"/>
      <c r="BK512" s="9"/>
      <c r="BL512" s="9"/>
      <c r="BM512" s="9"/>
      <c r="BN512" s="9"/>
      <c r="BO512" s="9"/>
      <c r="BP512" s="9"/>
      <c r="BQ512" s="9"/>
      <c r="BR512" s="9"/>
      <c r="BS512" s="9"/>
      <c r="BT512" s="9"/>
      <c r="BU512" s="9"/>
      <c r="BV512" s="9"/>
      <c r="BW512" s="9"/>
      <c r="BX512" s="9"/>
      <c r="BY512" s="9"/>
      <c r="BZ512" s="9"/>
      <c r="CA512" s="9"/>
      <c r="CB512" s="8" t="s">
        <v>5269</v>
      </c>
      <c r="CC512" s="9"/>
      <c r="CD512" s="9"/>
      <c r="CE512" s="8" t="s">
        <v>366</v>
      </c>
      <c r="CF512" s="8" t="s">
        <v>5270</v>
      </c>
      <c r="CG512" s="9"/>
      <c r="CH512" s="9"/>
      <c r="CI512" s="9"/>
      <c r="CJ512" s="9"/>
      <c r="CK512" s="9"/>
      <c r="CL512" s="9"/>
      <c r="CM512" s="9"/>
      <c r="CN512" s="9"/>
      <c r="CO512" s="9"/>
      <c r="CP512" s="9"/>
    </row>
    <row r="513">
      <c r="A513" s="7" t="s">
        <v>5271</v>
      </c>
      <c r="B513" s="8" t="s">
        <v>5272</v>
      </c>
      <c r="C513" s="8" t="s">
        <v>5273</v>
      </c>
      <c r="D513" s="8" t="s">
        <v>94</v>
      </c>
      <c r="E513" s="8" t="s">
        <v>95</v>
      </c>
      <c r="F513" s="9"/>
      <c r="G513" s="8" t="s">
        <v>5274</v>
      </c>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t="str">
        <f t="shared" si="36"/>
        <v/>
      </c>
      <c r="AK513" s="8"/>
      <c r="AL513" s="8"/>
      <c r="AM513" s="8" t="s">
        <v>1477</v>
      </c>
      <c r="AN513" s="8" t="s">
        <v>5275</v>
      </c>
      <c r="AO513" s="9"/>
      <c r="AP513" s="9"/>
      <c r="AQ513" s="9"/>
      <c r="AR513" s="8" t="s">
        <v>1479</v>
      </c>
      <c r="AS513" s="8" t="s">
        <v>1480</v>
      </c>
      <c r="AT513" s="9"/>
      <c r="AU513" s="8" t="s">
        <v>5276</v>
      </c>
      <c r="AV513" s="8" t="s">
        <v>108</v>
      </c>
      <c r="AW513" s="9"/>
      <c r="AX513" s="9"/>
      <c r="AY513" s="8" t="s">
        <v>5082</v>
      </c>
      <c r="AZ513" s="8" t="b">
        <v>0</v>
      </c>
      <c r="BA513" s="8" t="s">
        <v>110</v>
      </c>
      <c r="BB513" s="9"/>
      <c r="BC513" s="9"/>
      <c r="BD513" s="9"/>
      <c r="BE513" s="8" t="s">
        <v>5277</v>
      </c>
      <c r="BF513" s="9"/>
      <c r="BG513" s="9"/>
      <c r="BH513" s="9"/>
      <c r="BI513" s="9"/>
      <c r="BJ513" s="9"/>
      <c r="BK513" s="9"/>
      <c r="BL513" s="9"/>
      <c r="BM513" s="9"/>
      <c r="BN513" s="9"/>
      <c r="BO513" s="9"/>
      <c r="BP513" s="9"/>
      <c r="BQ513" s="9"/>
      <c r="BR513" s="9"/>
      <c r="BS513" s="9"/>
      <c r="BT513" s="9"/>
      <c r="BU513" s="9"/>
      <c r="BV513" s="9"/>
      <c r="BW513" s="9"/>
      <c r="BX513" s="9"/>
      <c r="BY513" s="9"/>
      <c r="BZ513" s="9"/>
      <c r="CA513" s="9"/>
      <c r="CB513" s="8" t="s">
        <v>5278</v>
      </c>
      <c r="CC513" s="9"/>
      <c r="CD513" s="9"/>
      <c r="CE513" s="8" t="s">
        <v>366</v>
      </c>
      <c r="CF513" s="8" t="s">
        <v>5279</v>
      </c>
      <c r="CG513" s="9"/>
      <c r="CH513" s="9"/>
      <c r="CI513" s="9"/>
      <c r="CJ513" s="9"/>
      <c r="CK513" s="9"/>
      <c r="CL513" s="9"/>
      <c r="CM513" s="9"/>
      <c r="CN513" s="9"/>
      <c r="CO513" s="9"/>
      <c r="CP513" s="9"/>
    </row>
    <row r="514">
      <c r="A514" s="7" t="s">
        <v>5280</v>
      </c>
      <c r="B514" s="8" t="s">
        <v>5281</v>
      </c>
      <c r="C514" s="8" t="s">
        <v>5282</v>
      </c>
      <c r="D514" s="8" t="s">
        <v>94</v>
      </c>
      <c r="E514" s="8" t="s">
        <v>95</v>
      </c>
      <c r="F514" s="9"/>
      <c r="G514" s="8" t="s">
        <v>5283</v>
      </c>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t="str">
        <f t="shared" si="36"/>
        <v/>
      </c>
      <c r="AK514" s="8"/>
      <c r="AL514" s="8"/>
      <c r="AM514" s="8" t="s">
        <v>3500</v>
      </c>
      <c r="AN514" s="8" t="s">
        <v>5284</v>
      </c>
      <c r="AO514" s="9"/>
      <c r="AP514" s="9"/>
      <c r="AQ514" s="9"/>
      <c r="AR514" s="9"/>
      <c r="AS514" s="9"/>
      <c r="AT514" s="9"/>
      <c r="AU514" s="8" t="s">
        <v>5285</v>
      </c>
      <c r="AV514" s="9"/>
      <c r="AW514" s="9"/>
      <c r="AX514" s="9"/>
      <c r="AY514" s="8" t="s">
        <v>5082</v>
      </c>
      <c r="AZ514" s="8" t="b">
        <v>0</v>
      </c>
      <c r="BA514" s="8" t="s">
        <v>190</v>
      </c>
      <c r="BB514" s="8" t="s">
        <v>191</v>
      </c>
      <c r="BC514" s="8" t="s">
        <v>1767</v>
      </c>
      <c r="BD514" s="9"/>
      <c r="BE514" s="8" t="s">
        <v>5286</v>
      </c>
      <c r="BF514" s="9"/>
      <c r="BG514" s="9"/>
      <c r="BH514" s="9"/>
      <c r="BI514" s="8" t="s">
        <v>1368</v>
      </c>
      <c r="BJ514" s="8" t="s">
        <v>5287</v>
      </c>
      <c r="BK514" s="9"/>
      <c r="BL514" s="9"/>
      <c r="BM514" s="9"/>
      <c r="BN514" s="9"/>
      <c r="BO514" s="9"/>
      <c r="BP514" s="9"/>
      <c r="BQ514" s="9"/>
      <c r="BR514" s="8" t="s">
        <v>193</v>
      </c>
      <c r="BS514" s="8" t="s">
        <v>194</v>
      </c>
      <c r="BT514" s="9"/>
      <c r="BU514" s="9"/>
      <c r="BV514" s="8" t="s">
        <v>3640</v>
      </c>
      <c r="BW514" s="9"/>
      <c r="BX514" s="9"/>
      <c r="BY514" s="9"/>
      <c r="BZ514" s="9"/>
      <c r="CA514" s="9"/>
      <c r="CB514" s="8" t="s">
        <v>665</v>
      </c>
      <c r="CC514" s="9"/>
      <c r="CD514" s="9"/>
      <c r="CE514" s="8" t="s">
        <v>115</v>
      </c>
      <c r="CF514" s="8" t="s">
        <v>5288</v>
      </c>
      <c r="CG514" s="9"/>
      <c r="CH514" s="9"/>
      <c r="CI514" s="9"/>
      <c r="CJ514" s="9"/>
      <c r="CK514" s="9"/>
      <c r="CL514" s="9"/>
      <c r="CM514" s="9"/>
      <c r="CN514" s="9"/>
      <c r="CO514" s="9"/>
      <c r="CP514" s="9"/>
    </row>
    <row r="515">
      <c r="A515" s="7" t="s">
        <v>5289</v>
      </c>
      <c r="B515" s="8" t="s">
        <v>5290</v>
      </c>
      <c r="C515" s="8" t="s">
        <v>5291</v>
      </c>
      <c r="D515" s="8" t="s">
        <v>94</v>
      </c>
      <c r="E515" s="8" t="s">
        <v>95</v>
      </c>
      <c r="F515" s="9"/>
      <c r="G515" s="8" t="s">
        <v>5292</v>
      </c>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t="str">
        <f t="shared" si="36"/>
        <v/>
      </c>
      <c r="AK515" s="8"/>
      <c r="AL515" s="8"/>
      <c r="AM515" s="8" t="s">
        <v>3500</v>
      </c>
      <c r="AN515" s="8" t="s">
        <v>5293</v>
      </c>
      <c r="AO515" s="9"/>
      <c r="AP515" s="9"/>
      <c r="AQ515" s="9"/>
      <c r="AR515" s="9"/>
      <c r="AS515" s="9"/>
      <c r="AT515" s="9"/>
      <c r="AU515" s="8" t="s">
        <v>5294</v>
      </c>
      <c r="AV515" s="9"/>
      <c r="AW515" s="9"/>
      <c r="AX515" s="9"/>
      <c r="AY515" s="8" t="s">
        <v>5082</v>
      </c>
      <c r="AZ515" s="8" t="b">
        <v>0</v>
      </c>
      <c r="BA515" s="8" t="s">
        <v>190</v>
      </c>
      <c r="BB515" s="8" t="s">
        <v>191</v>
      </c>
      <c r="BC515" s="8" t="s">
        <v>1767</v>
      </c>
      <c r="BD515" s="9"/>
      <c r="BE515" s="8" t="s">
        <v>4340</v>
      </c>
      <c r="BF515" s="9"/>
      <c r="BG515" s="9"/>
      <c r="BH515" s="9"/>
      <c r="BI515" s="9"/>
      <c r="BJ515" s="9"/>
      <c r="BK515" s="9"/>
      <c r="BL515" s="9"/>
      <c r="BM515" s="9"/>
      <c r="BN515" s="9"/>
      <c r="BO515" s="9"/>
      <c r="BP515" s="9"/>
      <c r="BQ515" s="9"/>
      <c r="BR515" s="8" t="s">
        <v>193</v>
      </c>
      <c r="BS515" s="8" t="s">
        <v>194</v>
      </c>
      <c r="BT515" s="9"/>
      <c r="BU515" s="9"/>
      <c r="BV515" s="9"/>
      <c r="BW515" s="9"/>
      <c r="BX515" s="9"/>
      <c r="BY515" s="9"/>
      <c r="BZ515" s="9"/>
      <c r="CA515" s="9"/>
      <c r="CB515" s="8" t="s">
        <v>665</v>
      </c>
      <c r="CC515" s="9"/>
      <c r="CD515" s="9"/>
      <c r="CE515" s="8" t="s">
        <v>115</v>
      </c>
      <c r="CF515" s="8" t="s">
        <v>5295</v>
      </c>
      <c r="CG515" s="9"/>
      <c r="CH515" s="9"/>
      <c r="CI515" s="9"/>
      <c r="CJ515" s="9"/>
      <c r="CK515" s="9"/>
      <c r="CL515" s="9"/>
      <c r="CM515" s="9"/>
      <c r="CN515" s="9"/>
      <c r="CO515" s="9"/>
      <c r="CP515" s="9"/>
    </row>
    <row r="516">
      <c r="A516" s="7" t="s">
        <v>5296</v>
      </c>
      <c r="B516" s="8" t="s">
        <v>5297</v>
      </c>
      <c r="C516" s="8" t="s">
        <v>5297</v>
      </c>
      <c r="D516" s="8" t="s">
        <v>94</v>
      </c>
      <c r="E516" s="8" t="s">
        <v>95</v>
      </c>
      <c r="F516" s="9"/>
      <c r="G516" s="8" t="s">
        <v>5298</v>
      </c>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t="str">
        <f t="shared" si="36"/>
        <v/>
      </c>
      <c r="AK516" s="8"/>
      <c r="AL516" s="8"/>
      <c r="AM516" s="8" t="s">
        <v>1477</v>
      </c>
      <c r="AN516" s="9"/>
      <c r="AO516" s="9"/>
      <c r="AP516" s="9"/>
      <c r="AQ516" s="9"/>
      <c r="AR516" s="8" t="s">
        <v>1479</v>
      </c>
      <c r="AS516" s="8" t="s">
        <v>1480</v>
      </c>
      <c r="AT516" s="9"/>
      <c r="AU516" s="8" t="s">
        <v>5299</v>
      </c>
      <c r="AV516" s="9"/>
      <c r="AW516" s="9"/>
      <c r="AX516" s="9"/>
      <c r="AY516" s="8" t="s">
        <v>5082</v>
      </c>
      <c r="AZ516" s="8" t="b">
        <v>0</v>
      </c>
      <c r="BA516" s="8" t="s">
        <v>190</v>
      </c>
      <c r="BB516" s="8" t="s">
        <v>5300</v>
      </c>
      <c r="BC516" s="8" t="s">
        <v>3363</v>
      </c>
      <c r="BD516" s="8" t="s">
        <v>3859</v>
      </c>
      <c r="BE516" s="8" t="s">
        <v>5301</v>
      </c>
      <c r="BF516" s="9"/>
      <c r="BG516" s="9"/>
      <c r="BH516" s="9"/>
      <c r="BI516" s="9"/>
      <c r="BJ516" s="9"/>
      <c r="BK516" s="8" t="s">
        <v>144</v>
      </c>
      <c r="BL516" s="9"/>
      <c r="BM516" s="9"/>
      <c r="BN516" s="9"/>
      <c r="BO516" s="9"/>
      <c r="BP516" s="9"/>
      <c r="BQ516" s="9"/>
      <c r="BR516" s="8" t="s">
        <v>193</v>
      </c>
      <c r="BS516" s="8" t="s">
        <v>194</v>
      </c>
      <c r="BT516" s="9"/>
      <c r="BU516" s="9"/>
      <c r="BV516" s="9"/>
      <c r="BW516" s="9"/>
      <c r="BX516" s="9"/>
      <c r="BY516" s="9"/>
      <c r="BZ516" s="9"/>
      <c r="CA516" s="9"/>
      <c r="CB516" s="8" t="s">
        <v>4039</v>
      </c>
      <c r="CC516" s="9"/>
      <c r="CD516" s="9"/>
      <c r="CE516" s="8" t="s">
        <v>115</v>
      </c>
      <c r="CF516" s="8" t="s">
        <v>5302</v>
      </c>
      <c r="CG516" s="9"/>
      <c r="CH516" s="9"/>
      <c r="CI516" s="9"/>
      <c r="CJ516" s="9"/>
      <c r="CK516" s="9"/>
      <c r="CL516" s="9"/>
      <c r="CM516" s="9"/>
      <c r="CN516" s="9"/>
      <c r="CO516" s="9"/>
      <c r="CP516" s="9"/>
    </row>
    <row r="517">
      <c r="A517" s="7" t="s">
        <v>5303</v>
      </c>
      <c r="B517" s="8" t="s">
        <v>5304</v>
      </c>
      <c r="C517" s="8" t="s">
        <v>5304</v>
      </c>
      <c r="D517" s="8" t="s">
        <v>354</v>
      </c>
      <c r="E517" s="8" t="s">
        <v>355</v>
      </c>
      <c r="F517" s="9"/>
      <c r="G517" s="8" t="s">
        <v>5305</v>
      </c>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t="str">
        <f t="shared" si="36"/>
        <v/>
      </c>
      <c r="AK517" s="8"/>
      <c r="AL517" s="8"/>
      <c r="AM517" s="8" t="s">
        <v>4809</v>
      </c>
      <c r="AN517" s="9"/>
      <c r="AO517" s="9"/>
      <c r="AP517" s="9"/>
      <c r="AQ517" s="9"/>
      <c r="AR517" s="8" t="s">
        <v>4810</v>
      </c>
      <c r="AS517" s="8" t="s">
        <v>4811</v>
      </c>
      <c r="AT517" s="9"/>
      <c r="AU517" s="8" t="s">
        <v>5306</v>
      </c>
      <c r="AV517" s="9"/>
      <c r="AW517" s="8" t="s">
        <v>302</v>
      </c>
      <c r="AX517" s="8" t="s">
        <v>302</v>
      </c>
      <c r="AY517" s="8" t="s">
        <v>5082</v>
      </c>
      <c r="AZ517" s="8" t="b">
        <v>0</v>
      </c>
      <c r="BA517" s="9"/>
      <c r="BB517" s="8" t="s">
        <v>5307</v>
      </c>
      <c r="BC517" s="9"/>
      <c r="BD517" s="9"/>
      <c r="BE517" s="8" t="s">
        <v>1302</v>
      </c>
      <c r="BF517" s="9"/>
      <c r="BG517" s="9"/>
      <c r="BH517" s="9"/>
      <c r="BI517" s="8" t="s">
        <v>5308</v>
      </c>
      <c r="BJ517" s="8" t="s">
        <v>5309</v>
      </c>
      <c r="BK517" s="9"/>
      <c r="BL517" s="9"/>
      <c r="BM517" s="9"/>
      <c r="BN517" s="9"/>
      <c r="BO517" s="9"/>
      <c r="BP517" s="9"/>
      <c r="BQ517" s="9"/>
      <c r="BR517" s="8" t="s">
        <v>193</v>
      </c>
      <c r="BS517" s="8" t="s">
        <v>194</v>
      </c>
      <c r="BT517" s="9"/>
      <c r="BU517" s="9"/>
      <c r="BV517" s="9"/>
      <c r="BW517" s="9"/>
      <c r="BX517" s="9"/>
      <c r="BY517" s="9"/>
      <c r="BZ517" s="9"/>
      <c r="CA517" s="9"/>
      <c r="CB517" s="8" t="s">
        <v>5310</v>
      </c>
      <c r="CC517" s="9"/>
      <c r="CD517" s="9"/>
      <c r="CE517" s="8" t="s">
        <v>366</v>
      </c>
      <c r="CF517" s="9"/>
      <c r="CG517" s="9"/>
      <c r="CH517" s="9"/>
      <c r="CI517" s="9"/>
      <c r="CJ517" s="9"/>
      <c r="CK517" s="9"/>
      <c r="CL517" s="9"/>
      <c r="CM517" s="9"/>
      <c r="CN517" s="9"/>
      <c r="CO517" s="9"/>
      <c r="CP517" s="9"/>
    </row>
    <row r="518">
      <c r="A518" s="7" t="s">
        <v>5311</v>
      </c>
      <c r="B518" s="8" t="s">
        <v>5312</v>
      </c>
      <c r="C518" s="8" t="s">
        <v>5312</v>
      </c>
      <c r="D518" s="8" t="s">
        <v>354</v>
      </c>
      <c r="E518" s="8" t="s">
        <v>355</v>
      </c>
      <c r="F518" s="9"/>
      <c r="G518" s="8" t="s">
        <v>5313</v>
      </c>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t="str">
        <f t="shared" si="36"/>
        <v/>
      </c>
      <c r="AK518" s="8"/>
      <c r="AL518" s="8"/>
      <c r="AM518" s="8" t="s">
        <v>5314</v>
      </c>
      <c r="AN518" s="9"/>
      <c r="AO518" s="9"/>
      <c r="AP518" s="9"/>
      <c r="AQ518" s="9"/>
      <c r="AR518" s="9"/>
      <c r="AS518" s="9"/>
      <c r="AT518" s="9"/>
      <c r="AU518" s="8" t="s">
        <v>5315</v>
      </c>
      <c r="AV518" s="9"/>
      <c r="AW518" s="8" t="s">
        <v>5316</v>
      </c>
      <c r="AX518" s="8" t="s">
        <v>1221</v>
      </c>
      <c r="AY518" s="8" t="s">
        <v>5082</v>
      </c>
      <c r="AZ518" s="8" t="b">
        <v>0</v>
      </c>
      <c r="BA518" s="8" t="s">
        <v>190</v>
      </c>
      <c r="BB518" s="8" t="s">
        <v>2566</v>
      </c>
      <c r="BC518" s="9"/>
      <c r="BD518" s="9"/>
      <c r="BE518" s="8" t="s">
        <v>3355</v>
      </c>
      <c r="BF518" s="9"/>
      <c r="BG518" s="9"/>
      <c r="BH518" s="9"/>
      <c r="BI518" s="8" t="s">
        <v>5317</v>
      </c>
      <c r="BJ518" s="8" t="s">
        <v>5318</v>
      </c>
      <c r="BK518" s="9"/>
      <c r="BL518" s="9"/>
      <c r="BM518" s="9"/>
      <c r="BN518" s="9"/>
      <c r="BO518" s="9"/>
      <c r="BP518" s="9"/>
      <c r="BQ518" s="9"/>
      <c r="BR518" s="8" t="s">
        <v>193</v>
      </c>
      <c r="BS518" s="8" t="s">
        <v>194</v>
      </c>
      <c r="BT518" s="9"/>
      <c r="BU518" s="9"/>
      <c r="BV518" s="8" t="s">
        <v>5319</v>
      </c>
      <c r="BW518" s="9"/>
      <c r="BX518" s="9"/>
      <c r="BY518" s="9"/>
      <c r="BZ518" s="9"/>
      <c r="CA518" s="9"/>
      <c r="CB518" s="8" t="s">
        <v>5320</v>
      </c>
      <c r="CC518" s="9"/>
      <c r="CD518" s="9"/>
      <c r="CE518" s="8" t="s">
        <v>366</v>
      </c>
      <c r="CF518" s="9"/>
      <c r="CG518" s="9"/>
      <c r="CH518" s="9"/>
      <c r="CI518" s="9"/>
      <c r="CJ518" s="9"/>
      <c r="CK518" s="9"/>
      <c r="CL518" s="9"/>
      <c r="CM518" s="9"/>
      <c r="CN518" s="9"/>
      <c r="CO518" s="9"/>
      <c r="CP518" s="9"/>
    </row>
    <row r="519">
      <c r="A519" s="7" t="s">
        <v>5321</v>
      </c>
      <c r="B519" s="8" t="s">
        <v>5322</v>
      </c>
      <c r="C519" s="8" t="s">
        <v>5322</v>
      </c>
      <c r="D519" s="8" t="s">
        <v>5059</v>
      </c>
      <c r="E519" s="8" t="s">
        <v>5060</v>
      </c>
      <c r="F519" s="9"/>
      <c r="G519" s="8" t="s">
        <v>5323</v>
      </c>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t="str">
        <f t="shared" si="36"/>
        <v/>
      </c>
      <c r="AK519" s="8"/>
      <c r="AL519" s="8"/>
      <c r="AM519" s="9"/>
      <c r="AN519" s="9"/>
      <c r="AO519" s="9"/>
      <c r="AP519" s="9"/>
      <c r="AQ519" s="9"/>
      <c r="AR519" s="9"/>
      <c r="AS519" s="9"/>
      <c r="AT519" s="9"/>
      <c r="AU519" s="8" t="s">
        <v>5324</v>
      </c>
      <c r="AV519" s="9"/>
      <c r="AW519" s="8" t="s">
        <v>197</v>
      </c>
      <c r="AX519" s="9"/>
      <c r="AY519" s="8" t="s">
        <v>5082</v>
      </c>
      <c r="AZ519" s="8" t="b">
        <v>0</v>
      </c>
      <c r="BA519" s="8" t="s">
        <v>190</v>
      </c>
      <c r="BB519" s="8" t="s">
        <v>2566</v>
      </c>
      <c r="BC519" s="9"/>
      <c r="BD519" s="8" t="s">
        <v>5325</v>
      </c>
      <c r="BE519" s="8" t="s">
        <v>5326</v>
      </c>
      <c r="BF519" s="8" t="s">
        <v>2900</v>
      </c>
      <c r="BG519" s="8" t="s">
        <v>5063</v>
      </c>
      <c r="BH519" s="8" t="s">
        <v>5327</v>
      </c>
      <c r="BI519" s="8" t="s">
        <v>462</v>
      </c>
      <c r="BJ519" s="8" t="s">
        <v>5328</v>
      </c>
      <c r="BK519" s="9"/>
      <c r="BL519" s="9"/>
      <c r="BM519" s="9"/>
      <c r="BN519" s="9"/>
      <c r="BO519" s="9"/>
      <c r="BP519" s="9"/>
      <c r="BQ519" s="9"/>
      <c r="BR519" s="8" t="s">
        <v>193</v>
      </c>
      <c r="BS519" s="8" t="s">
        <v>5329</v>
      </c>
      <c r="BT519" s="9"/>
      <c r="BU519" s="9"/>
      <c r="BV519" s="8" t="s">
        <v>5330</v>
      </c>
      <c r="BW519" s="9"/>
      <c r="BX519" s="9"/>
      <c r="BY519" s="9"/>
      <c r="BZ519" s="9"/>
      <c r="CA519" s="9"/>
      <c r="CB519" s="8" t="s">
        <v>5331</v>
      </c>
      <c r="CC519" s="8" t="s">
        <v>5332</v>
      </c>
      <c r="CD519" s="9"/>
      <c r="CE519" s="8" t="s">
        <v>366</v>
      </c>
      <c r="CF519" s="9"/>
      <c r="CG519" s="9"/>
      <c r="CH519" s="9"/>
      <c r="CI519" s="9"/>
      <c r="CJ519" s="9"/>
      <c r="CK519" s="9"/>
      <c r="CL519" s="9"/>
      <c r="CM519" s="9"/>
      <c r="CN519" s="9"/>
      <c r="CO519" s="9"/>
      <c r="CP519" s="9"/>
    </row>
    <row r="520">
      <c r="A520" s="7" t="s">
        <v>5333</v>
      </c>
      <c r="B520" s="8" t="s">
        <v>5334</v>
      </c>
      <c r="C520" s="8" t="s">
        <v>5335</v>
      </c>
      <c r="D520" s="8" t="s">
        <v>94</v>
      </c>
      <c r="E520" s="8" t="s">
        <v>95</v>
      </c>
      <c r="F520" s="9"/>
      <c r="G520" s="8" t="s">
        <v>5336</v>
      </c>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t="s">
        <v>105</v>
      </c>
      <c r="AN520" s="8" t="s">
        <v>1056</v>
      </c>
      <c r="AO520" s="9"/>
      <c r="AP520" s="9"/>
      <c r="AQ520" s="9"/>
      <c r="AR520" s="9"/>
      <c r="AS520" s="9"/>
      <c r="AT520" s="9"/>
      <c r="AU520" s="8" t="s">
        <v>5337</v>
      </c>
      <c r="AV520" s="9"/>
      <c r="AW520" s="9"/>
      <c r="AX520" s="9"/>
      <c r="AY520" s="8" t="s">
        <v>5338</v>
      </c>
      <c r="AZ520" s="8" t="b">
        <v>0</v>
      </c>
      <c r="BA520" s="8" t="s">
        <v>190</v>
      </c>
      <c r="BB520" s="8" t="s">
        <v>191</v>
      </c>
      <c r="BC520" s="9"/>
      <c r="BD520" s="9"/>
      <c r="BE520" s="8" t="s">
        <v>5339</v>
      </c>
      <c r="BF520" s="9"/>
      <c r="BG520" s="9"/>
      <c r="BH520" s="9"/>
      <c r="BI520" s="9"/>
      <c r="BJ520" s="9"/>
      <c r="BK520" s="9"/>
      <c r="BL520" s="9"/>
      <c r="BM520" s="9"/>
      <c r="BN520" s="9"/>
      <c r="BO520" s="9"/>
      <c r="BP520" s="9"/>
      <c r="BQ520" s="9"/>
      <c r="BR520" s="8" t="s">
        <v>193</v>
      </c>
      <c r="BS520" s="8" t="s">
        <v>194</v>
      </c>
      <c r="BT520" s="9"/>
      <c r="BU520" s="9"/>
      <c r="BV520" s="9"/>
      <c r="BW520" s="9"/>
      <c r="BX520" s="9"/>
      <c r="BY520" s="9"/>
      <c r="BZ520" s="9"/>
      <c r="CA520" s="9"/>
      <c r="CB520" s="8" t="s">
        <v>665</v>
      </c>
      <c r="CC520" s="9"/>
      <c r="CD520" s="9"/>
      <c r="CE520" s="8" t="s">
        <v>450</v>
      </c>
      <c r="CF520" s="8" t="s">
        <v>5340</v>
      </c>
      <c r="CG520" s="9"/>
      <c r="CH520" s="9"/>
      <c r="CI520" s="9"/>
      <c r="CJ520" s="9"/>
      <c r="CK520" s="9"/>
      <c r="CL520" s="9"/>
      <c r="CM520" s="9"/>
      <c r="CN520" s="9"/>
      <c r="CO520" s="9"/>
      <c r="CP520" s="9"/>
    </row>
    <row r="521">
      <c r="A521" s="7" t="s">
        <v>5341</v>
      </c>
      <c r="B521" s="8" t="s">
        <v>5342</v>
      </c>
      <c r="C521" s="8" t="s">
        <v>5343</v>
      </c>
      <c r="D521" s="8" t="s">
        <v>94</v>
      </c>
      <c r="E521" s="8" t="s">
        <v>95</v>
      </c>
      <c r="F521" s="9"/>
      <c r="G521" s="8" t="s">
        <v>5344</v>
      </c>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t="s">
        <v>105</v>
      </c>
      <c r="AN521" s="8" t="s">
        <v>1107</v>
      </c>
      <c r="AO521" s="9"/>
      <c r="AP521" s="9"/>
      <c r="AQ521" s="9"/>
      <c r="AR521" s="9"/>
      <c r="AS521" s="9"/>
      <c r="AT521" s="9"/>
      <c r="AU521" s="8" t="s">
        <v>5345</v>
      </c>
      <c r="AV521" s="9"/>
      <c r="AW521" s="9"/>
      <c r="AX521" s="9"/>
      <c r="AY521" s="8" t="s">
        <v>5338</v>
      </c>
      <c r="AZ521" s="8" t="b">
        <v>0</v>
      </c>
      <c r="BA521" s="8" t="s">
        <v>190</v>
      </c>
      <c r="BB521" s="8" t="s">
        <v>191</v>
      </c>
      <c r="BC521" s="9"/>
      <c r="BD521" s="9"/>
      <c r="BE521" s="8" t="s">
        <v>5346</v>
      </c>
      <c r="BF521" s="9"/>
      <c r="BG521" s="9"/>
      <c r="BH521" s="9"/>
      <c r="BI521" s="9"/>
      <c r="BJ521" s="9"/>
      <c r="BK521" s="9"/>
      <c r="BL521" s="9"/>
      <c r="BM521" s="9"/>
      <c r="BN521" s="9"/>
      <c r="BO521" s="9"/>
      <c r="BP521" s="9"/>
      <c r="BQ521" s="9"/>
      <c r="BR521" s="8" t="s">
        <v>193</v>
      </c>
      <c r="BS521" s="8" t="s">
        <v>194</v>
      </c>
      <c r="BT521" s="9"/>
      <c r="BU521" s="9"/>
      <c r="BV521" s="9"/>
      <c r="BW521" s="9"/>
      <c r="BX521" s="9"/>
      <c r="BY521" s="9"/>
      <c r="BZ521" s="9"/>
      <c r="CA521" s="9"/>
      <c r="CB521" s="8" t="s">
        <v>665</v>
      </c>
      <c r="CC521" s="9"/>
      <c r="CD521" s="9"/>
      <c r="CE521" s="8" t="s">
        <v>197</v>
      </c>
      <c r="CF521" s="8" t="s">
        <v>5347</v>
      </c>
      <c r="CG521" s="9"/>
      <c r="CH521" s="9"/>
      <c r="CI521" s="9"/>
      <c r="CJ521" s="9"/>
      <c r="CK521" s="9"/>
      <c r="CL521" s="9"/>
      <c r="CM521" s="9"/>
      <c r="CN521" s="9"/>
      <c r="CO521" s="9"/>
      <c r="CP521" s="9"/>
    </row>
    <row r="522">
      <c r="A522" s="4" t="s">
        <v>5348</v>
      </c>
      <c r="B522" s="5" t="s">
        <v>5349</v>
      </c>
      <c r="C522" s="5" t="s">
        <v>5350</v>
      </c>
      <c r="D522" s="5" t="s">
        <v>94</v>
      </c>
      <c r="E522" s="5" t="s">
        <v>95</v>
      </c>
      <c r="F522" s="6"/>
      <c r="G522" s="5" t="s">
        <v>5351</v>
      </c>
      <c r="H522" s="5" t="s">
        <v>97</v>
      </c>
      <c r="I522" s="5" t="s">
        <v>5101</v>
      </c>
      <c r="J522" s="5" t="s">
        <v>5352</v>
      </c>
      <c r="K522" s="5" t="s">
        <v>100</v>
      </c>
      <c r="L522" s="5" t="s">
        <v>100</v>
      </c>
      <c r="M522" s="5"/>
      <c r="N522" s="5"/>
      <c r="O522" s="5"/>
      <c r="P522" s="5"/>
      <c r="Q522" s="5" t="s">
        <v>100</v>
      </c>
      <c r="R522" s="5" t="s">
        <v>100</v>
      </c>
      <c r="S522" s="5"/>
      <c r="T522" s="5"/>
      <c r="U522" s="5"/>
      <c r="V522" s="5"/>
      <c r="W522" s="5"/>
      <c r="X522" s="5" t="s">
        <v>100</v>
      </c>
      <c r="Y522" s="5" t="s">
        <v>100</v>
      </c>
      <c r="Z522" s="5"/>
      <c r="AA522" s="5" t="s">
        <v>100</v>
      </c>
      <c r="AB522" s="5"/>
      <c r="AC522" s="5"/>
      <c r="AD522" s="5"/>
      <c r="AE522" s="5"/>
      <c r="AF522" s="5"/>
      <c r="AG522" s="5" t="s">
        <v>100</v>
      </c>
      <c r="AH522" s="5" t="s">
        <v>100</v>
      </c>
      <c r="AI522" s="5"/>
      <c r="AJ522" s="5" t="s">
        <v>5352</v>
      </c>
      <c r="AK522" s="5" t="s">
        <v>103</v>
      </c>
      <c r="AL522" s="5" t="s">
        <v>124</v>
      </c>
      <c r="AM522" s="5" t="s">
        <v>105</v>
      </c>
      <c r="AN522" s="5" t="s">
        <v>5353</v>
      </c>
      <c r="AO522" s="6"/>
      <c r="AP522" s="5" t="s">
        <v>734</v>
      </c>
      <c r="AQ522" s="6"/>
      <c r="AR522" s="6"/>
      <c r="AS522" s="6"/>
      <c r="AT522" s="6"/>
      <c r="AU522" s="5" t="s">
        <v>5354</v>
      </c>
      <c r="AV522" s="5" t="s">
        <v>108</v>
      </c>
      <c r="AW522" s="6"/>
      <c r="AX522" s="6"/>
      <c r="AY522" s="5" t="s">
        <v>5338</v>
      </c>
      <c r="AZ522" s="5" t="b">
        <v>0</v>
      </c>
      <c r="BA522" s="5" t="s">
        <v>110</v>
      </c>
      <c r="BB522" s="5" t="s">
        <v>773</v>
      </c>
      <c r="BC522" s="6"/>
      <c r="BD522" s="6"/>
      <c r="BE522" s="5" t="s">
        <v>5355</v>
      </c>
      <c r="BF522" s="6"/>
      <c r="BG522" s="6"/>
      <c r="BH522" s="6"/>
      <c r="BI522" s="6"/>
      <c r="BJ522" s="6"/>
      <c r="BK522" s="6"/>
      <c r="BL522" s="6"/>
      <c r="BM522" s="6"/>
      <c r="BN522" s="6"/>
      <c r="BO522" s="6"/>
      <c r="BP522" s="6"/>
      <c r="BQ522" s="6"/>
      <c r="BR522" s="6"/>
      <c r="BS522" s="6"/>
      <c r="BT522" s="6"/>
      <c r="BU522" s="6"/>
      <c r="BV522" s="6"/>
      <c r="BW522" s="6"/>
      <c r="BX522" s="6"/>
      <c r="BY522" s="6"/>
      <c r="BZ522" s="6"/>
      <c r="CA522" s="6"/>
      <c r="CB522" s="5" t="s">
        <v>5356</v>
      </c>
      <c r="CC522" s="6"/>
      <c r="CD522" s="6"/>
      <c r="CE522" s="5" t="s">
        <v>115</v>
      </c>
      <c r="CF522" s="5" t="s">
        <v>5357</v>
      </c>
      <c r="CG522" s="6"/>
      <c r="CH522" s="6"/>
      <c r="CI522" s="6"/>
      <c r="CJ522" s="6"/>
      <c r="CK522" s="6"/>
      <c r="CL522" s="6"/>
      <c r="CM522" s="6"/>
      <c r="CN522" s="6"/>
      <c r="CO522" s="6"/>
      <c r="CP522" s="6"/>
    </row>
    <row r="523">
      <c r="A523" s="7" t="s">
        <v>5358</v>
      </c>
      <c r="B523" s="8" t="s">
        <v>5359</v>
      </c>
      <c r="C523" s="8" t="s">
        <v>5360</v>
      </c>
      <c r="D523" s="8" t="s">
        <v>94</v>
      </c>
      <c r="E523" s="8" t="s">
        <v>95</v>
      </c>
      <c r="F523" s="9"/>
      <c r="G523" s="8" t="s">
        <v>5361</v>
      </c>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t="str">
        <f t="shared" ref="AJ523:AJ551" si="37">CONCATENATE(J523,K523,L523,Q523,R523,X523,Y523,AA523,AG523)</f>
        <v/>
      </c>
      <c r="AK523" s="8"/>
      <c r="AL523" s="8"/>
      <c r="AM523" s="8" t="s">
        <v>105</v>
      </c>
      <c r="AN523" s="8" t="s">
        <v>1079</v>
      </c>
      <c r="AO523" s="9"/>
      <c r="AP523" s="9"/>
      <c r="AQ523" s="9"/>
      <c r="AR523" s="9"/>
      <c r="AS523" s="9"/>
      <c r="AT523" s="9"/>
      <c r="AU523" s="8" t="s">
        <v>5362</v>
      </c>
      <c r="AV523" s="9"/>
      <c r="AW523" s="9"/>
      <c r="AX523" s="9"/>
      <c r="AY523" s="8" t="s">
        <v>5338</v>
      </c>
      <c r="AZ523" s="8" t="b">
        <v>0</v>
      </c>
      <c r="BA523" s="8" t="s">
        <v>190</v>
      </c>
      <c r="BB523" s="8" t="s">
        <v>191</v>
      </c>
      <c r="BC523" s="9"/>
      <c r="BD523" s="9"/>
      <c r="BE523" s="8" t="s">
        <v>5363</v>
      </c>
      <c r="BF523" s="9"/>
      <c r="BG523" s="9"/>
      <c r="BH523" s="9"/>
      <c r="BI523" s="9"/>
      <c r="BJ523" s="9"/>
      <c r="BK523" s="9"/>
      <c r="BL523" s="9"/>
      <c r="BM523" s="9"/>
      <c r="BN523" s="9"/>
      <c r="BO523" s="9"/>
      <c r="BP523" s="9"/>
      <c r="BQ523" s="9"/>
      <c r="BR523" s="8" t="s">
        <v>193</v>
      </c>
      <c r="BS523" s="8" t="s">
        <v>194</v>
      </c>
      <c r="BT523" s="9"/>
      <c r="BU523" s="9"/>
      <c r="BV523" s="9"/>
      <c r="BW523" s="9"/>
      <c r="BX523" s="9"/>
      <c r="BY523" s="9"/>
      <c r="BZ523" s="9"/>
      <c r="CA523" s="9"/>
      <c r="CB523" s="8" t="s">
        <v>665</v>
      </c>
      <c r="CC523" s="9"/>
      <c r="CD523" s="9"/>
      <c r="CE523" s="8" t="s">
        <v>450</v>
      </c>
      <c r="CF523" s="8" t="s">
        <v>5364</v>
      </c>
      <c r="CG523" s="9"/>
      <c r="CH523" s="9"/>
      <c r="CI523" s="9"/>
      <c r="CJ523" s="9"/>
      <c r="CK523" s="9"/>
      <c r="CL523" s="9"/>
      <c r="CM523" s="9"/>
      <c r="CN523" s="9"/>
      <c r="CO523" s="9"/>
      <c r="CP523" s="9"/>
    </row>
    <row r="524">
      <c r="A524" s="7" t="s">
        <v>5365</v>
      </c>
      <c r="B524" s="8" t="s">
        <v>5366</v>
      </c>
      <c r="C524" s="8" t="s">
        <v>5367</v>
      </c>
      <c r="D524" s="8" t="s">
        <v>94</v>
      </c>
      <c r="E524" s="8" t="s">
        <v>95</v>
      </c>
      <c r="F524" s="9"/>
      <c r="G524" s="8" t="s">
        <v>5368</v>
      </c>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t="str">
        <f t="shared" si="37"/>
        <v/>
      </c>
      <c r="AK524" s="8"/>
      <c r="AL524" s="8"/>
      <c r="AM524" s="8" t="s">
        <v>105</v>
      </c>
      <c r="AN524" s="8" t="s">
        <v>1174</v>
      </c>
      <c r="AO524" s="9"/>
      <c r="AP524" s="9"/>
      <c r="AQ524" s="9"/>
      <c r="AR524" s="9"/>
      <c r="AS524" s="9"/>
      <c r="AT524" s="9"/>
      <c r="AU524" s="8" t="s">
        <v>5369</v>
      </c>
      <c r="AV524" s="9"/>
      <c r="AW524" s="9"/>
      <c r="AX524" s="9"/>
      <c r="AY524" s="8" t="s">
        <v>5338</v>
      </c>
      <c r="AZ524" s="8" t="b">
        <v>0</v>
      </c>
      <c r="BA524" s="8" t="s">
        <v>190</v>
      </c>
      <c r="BB524" s="8" t="s">
        <v>191</v>
      </c>
      <c r="BC524" s="9"/>
      <c r="BD524" s="9"/>
      <c r="BE524" s="8" t="s">
        <v>5370</v>
      </c>
      <c r="BF524" s="9"/>
      <c r="BG524" s="9"/>
      <c r="BH524" s="9"/>
      <c r="BI524" s="9"/>
      <c r="BJ524" s="9"/>
      <c r="BK524" s="9"/>
      <c r="BL524" s="9"/>
      <c r="BM524" s="9"/>
      <c r="BN524" s="9"/>
      <c r="BO524" s="9"/>
      <c r="BP524" s="9"/>
      <c r="BQ524" s="9"/>
      <c r="BR524" s="8" t="s">
        <v>193</v>
      </c>
      <c r="BS524" s="8" t="s">
        <v>194</v>
      </c>
      <c r="BT524" s="9"/>
      <c r="BU524" s="9"/>
      <c r="BV524" s="9"/>
      <c r="BW524" s="9"/>
      <c r="BX524" s="9"/>
      <c r="BY524" s="9"/>
      <c r="BZ524" s="9"/>
      <c r="CA524" s="9"/>
      <c r="CB524" s="8" t="s">
        <v>665</v>
      </c>
      <c r="CC524" s="9"/>
      <c r="CD524" s="9"/>
      <c r="CE524" s="8" t="s">
        <v>197</v>
      </c>
      <c r="CF524" s="8" t="s">
        <v>5371</v>
      </c>
      <c r="CG524" s="9"/>
      <c r="CH524" s="9"/>
      <c r="CI524" s="9"/>
      <c r="CJ524" s="9"/>
      <c r="CK524" s="9"/>
      <c r="CL524" s="9"/>
      <c r="CM524" s="9"/>
      <c r="CN524" s="9"/>
      <c r="CO524" s="9"/>
      <c r="CP524" s="9"/>
    </row>
    <row r="525">
      <c r="A525" s="7" t="s">
        <v>5372</v>
      </c>
      <c r="B525" s="8" t="s">
        <v>5373</v>
      </c>
      <c r="C525" s="8" t="s">
        <v>5374</v>
      </c>
      <c r="D525" s="8" t="s">
        <v>94</v>
      </c>
      <c r="E525" s="8" t="s">
        <v>95</v>
      </c>
      <c r="F525" s="9"/>
      <c r="G525" s="8" t="s">
        <v>5375</v>
      </c>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t="str">
        <f t="shared" si="37"/>
        <v/>
      </c>
      <c r="AK525" s="8"/>
      <c r="AL525" s="8"/>
      <c r="AM525" s="8" t="s">
        <v>105</v>
      </c>
      <c r="AN525" s="8" t="s">
        <v>5376</v>
      </c>
      <c r="AO525" s="9"/>
      <c r="AP525" s="9"/>
      <c r="AQ525" s="9"/>
      <c r="AR525" s="9"/>
      <c r="AS525" s="9"/>
      <c r="AT525" s="9"/>
      <c r="AU525" s="8" t="s">
        <v>5377</v>
      </c>
      <c r="AV525" s="9"/>
      <c r="AW525" s="9"/>
      <c r="AX525" s="9"/>
      <c r="AY525" s="8" t="s">
        <v>5338</v>
      </c>
      <c r="AZ525" s="8" t="b">
        <v>0</v>
      </c>
      <c r="BA525" s="8" t="s">
        <v>190</v>
      </c>
      <c r="BB525" s="8" t="s">
        <v>191</v>
      </c>
      <c r="BC525" s="9"/>
      <c r="BD525" s="9"/>
      <c r="BE525" s="8" t="s">
        <v>5378</v>
      </c>
      <c r="BF525" s="9"/>
      <c r="BG525" s="9"/>
      <c r="BH525" s="9"/>
      <c r="BI525" s="9"/>
      <c r="BJ525" s="9"/>
      <c r="BK525" s="9"/>
      <c r="BL525" s="9"/>
      <c r="BM525" s="9"/>
      <c r="BN525" s="9"/>
      <c r="BO525" s="9"/>
      <c r="BP525" s="9"/>
      <c r="BQ525" s="9"/>
      <c r="BR525" s="8" t="s">
        <v>193</v>
      </c>
      <c r="BS525" s="8" t="s">
        <v>5379</v>
      </c>
      <c r="BT525" s="9"/>
      <c r="BU525" s="9"/>
      <c r="BV525" s="8" t="s">
        <v>5380</v>
      </c>
      <c r="BW525" s="9"/>
      <c r="BX525" s="9"/>
      <c r="BY525" s="9"/>
      <c r="BZ525" s="9"/>
      <c r="CA525" s="9"/>
      <c r="CB525" s="8" t="s">
        <v>665</v>
      </c>
      <c r="CC525" s="9"/>
      <c r="CD525" s="9"/>
      <c r="CE525" s="8" t="s">
        <v>450</v>
      </c>
      <c r="CF525" s="8" t="s">
        <v>5381</v>
      </c>
      <c r="CG525" s="9"/>
      <c r="CH525" s="9"/>
      <c r="CI525" s="9"/>
      <c r="CJ525" s="9"/>
      <c r="CK525" s="9"/>
      <c r="CL525" s="9"/>
      <c r="CM525" s="9"/>
      <c r="CN525" s="9"/>
      <c r="CO525" s="9"/>
      <c r="CP525" s="9"/>
    </row>
    <row r="526">
      <c r="A526" s="7" t="s">
        <v>5382</v>
      </c>
      <c r="B526" s="8" t="s">
        <v>5383</v>
      </c>
      <c r="C526" s="8" t="s">
        <v>5384</v>
      </c>
      <c r="D526" s="8" t="s">
        <v>94</v>
      </c>
      <c r="E526" s="8" t="s">
        <v>95</v>
      </c>
      <c r="F526" s="9"/>
      <c r="G526" s="8" t="s">
        <v>5385</v>
      </c>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t="str">
        <f t="shared" si="37"/>
        <v/>
      </c>
      <c r="AK526" s="8"/>
      <c r="AL526" s="8"/>
      <c r="AM526" s="8" t="s">
        <v>105</v>
      </c>
      <c r="AN526" s="8" t="s">
        <v>4092</v>
      </c>
      <c r="AO526" s="9"/>
      <c r="AP526" s="9"/>
      <c r="AQ526" s="9"/>
      <c r="AR526" s="9"/>
      <c r="AS526" s="9"/>
      <c r="AT526" s="9"/>
      <c r="AU526" s="8" t="s">
        <v>5386</v>
      </c>
      <c r="AV526" s="8" t="s">
        <v>108</v>
      </c>
      <c r="AW526" s="9"/>
      <c r="AX526" s="9"/>
      <c r="AY526" s="8" t="s">
        <v>5338</v>
      </c>
      <c r="AZ526" s="8" t="b">
        <v>0</v>
      </c>
      <c r="BA526" s="8" t="s">
        <v>110</v>
      </c>
      <c r="BB526" s="8" t="s">
        <v>773</v>
      </c>
      <c r="BC526" s="9"/>
      <c r="BD526" s="9"/>
      <c r="BE526" s="8" t="s">
        <v>5387</v>
      </c>
      <c r="BF526" s="9"/>
      <c r="BG526" s="9"/>
      <c r="BH526" s="9"/>
      <c r="BI526" s="9"/>
      <c r="BJ526" s="9"/>
      <c r="BK526" s="9"/>
      <c r="BL526" s="9"/>
      <c r="BM526" s="9"/>
      <c r="BN526" s="9"/>
      <c r="BO526" s="9"/>
      <c r="BP526" s="9"/>
      <c r="BQ526" s="9"/>
      <c r="BR526" s="9"/>
      <c r="BS526" s="9"/>
      <c r="BT526" s="9"/>
      <c r="BU526" s="9"/>
      <c r="BV526" s="9"/>
      <c r="BW526" s="9"/>
      <c r="BX526" s="9"/>
      <c r="BY526" s="9"/>
      <c r="BZ526" s="9"/>
      <c r="CA526" s="9"/>
      <c r="CB526" s="8" t="s">
        <v>665</v>
      </c>
      <c r="CC526" s="9"/>
      <c r="CD526" s="9"/>
      <c r="CE526" s="8" t="s">
        <v>115</v>
      </c>
      <c r="CF526" s="8" t="s">
        <v>5388</v>
      </c>
      <c r="CG526" s="9"/>
      <c r="CH526" s="9"/>
      <c r="CI526" s="9"/>
      <c r="CJ526" s="9"/>
      <c r="CK526" s="9"/>
      <c r="CL526" s="9"/>
      <c r="CM526" s="9"/>
      <c r="CN526" s="9"/>
      <c r="CO526" s="9"/>
      <c r="CP526" s="9"/>
    </row>
    <row r="527">
      <c r="A527" s="7" t="s">
        <v>5389</v>
      </c>
      <c r="B527" s="8" t="s">
        <v>5390</v>
      </c>
      <c r="C527" s="8" t="s">
        <v>5391</v>
      </c>
      <c r="D527" s="8" t="s">
        <v>94</v>
      </c>
      <c r="E527" s="8" t="s">
        <v>95</v>
      </c>
      <c r="F527" s="9"/>
      <c r="G527" s="8" t="s">
        <v>5392</v>
      </c>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t="str">
        <f t="shared" si="37"/>
        <v/>
      </c>
      <c r="AK527" s="8"/>
      <c r="AL527" s="8"/>
      <c r="AM527" s="8" t="s">
        <v>591</v>
      </c>
      <c r="AN527" s="8" t="s">
        <v>5393</v>
      </c>
      <c r="AO527" s="9"/>
      <c r="AP527" s="9"/>
      <c r="AQ527" s="9"/>
      <c r="AR527" s="8" t="s">
        <v>592</v>
      </c>
      <c r="AS527" s="8" t="s">
        <v>593</v>
      </c>
      <c r="AT527" s="9"/>
      <c r="AU527" s="8" t="s">
        <v>5394</v>
      </c>
      <c r="AV527" s="8" t="s">
        <v>108</v>
      </c>
      <c r="AW527" s="9"/>
      <c r="AX527" s="9"/>
      <c r="AY527" s="8" t="s">
        <v>5338</v>
      </c>
      <c r="AZ527" s="8" t="b">
        <v>0</v>
      </c>
      <c r="BA527" s="8" t="s">
        <v>110</v>
      </c>
      <c r="BB527" s="8" t="s">
        <v>773</v>
      </c>
      <c r="BC527" s="9"/>
      <c r="BD527" s="9"/>
      <c r="BE527" s="8" t="s">
        <v>5395</v>
      </c>
      <c r="BF527" s="9"/>
      <c r="BG527" s="9"/>
      <c r="BH527" s="9"/>
      <c r="BI527" s="9"/>
      <c r="BJ527" s="9"/>
      <c r="BK527" s="9"/>
      <c r="BL527" s="9"/>
      <c r="BM527" s="9"/>
      <c r="BN527" s="9"/>
      <c r="BO527" s="9"/>
      <c r="BP527" s="9"/>
      <c r="BQ527" s="9"/>
      <c r="BR527" s="9"/>
      <c r="BS527" s="9"/>
      <c r="BT527" s="9"/>
      <c r="BU527" s="9"/>
      <c r="BV527" s="9"/>
      <c r="BW527" s="9"/>
      <c r="BX527" s="9"/>
      <c r="BY527" s="9"/>
      <c r="BZ527" s="9"/>
      <c r="CA527" s="9"/>
      <c r="CB527" s="8" t="s">
        <v>5396</v>
      </c>
      <c r="CC527" s="9"/>
      <c r="CD527" s="9"/>
      <c r="CE527" s="8" t="s">
        <v>115</v>
      </c>
      <c r="CF527" s="8" t="s">
        <v>5397</v>
      </c>
      <c r="CG527" s="9"/>
      <c r="CH527" s="9"/>
      <c r="CI527" s="9"/>
      <c r="CJ527" s="9"/>
      <c r="CK527" s="9"/>
      <c r="CL527" s="9"/>
      <c r="CM527" s="9"/>
      <c r="CN527" s="9"/>
      <c r="CO527" s="9"/>
      <c r="CP527" s="9"/>
    </row>
    <row r="528">
      <c r="A528" s="7" t="s">
        <v>5398</v>
      </c>
      <c r="B528" s="8" t="s">
        <v>5399</v>
      </c>
      <c r="C528" s="8" t="s">
        <v>5400</v>
      </c>
      <c r="D528" s="8" t="s">
        <v>94</v>
      </c>
      <c r="E528" s="8" t="s">
        <v>95</v>
      </c>
      <c r="F528" s="9"/>
      <c r="G528" s="8" t="s">
        <v>5401</v>
      </c>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t="str">
        <f t="shared" si="37"/>
        <v/>
      </c>
      <c r="AK528" s="8"/>
      <c r="AL528" s="8"/>
      <c r="AM528" s="8" t="s">
        <v>133</v>
      </c>
      <c r="AN528" s="8" t="s">
        <v>2434</v>
      </c>
      <c r="AO528" s="9"/>
      <c r="AP528" s="9"/>
      <c r="AQ528" s="9"/>
      <c r="AR528" s="9"/>
      <c r="AS528" s="9"/>
      <c r="AT528" s="9"/>
      <c r="AU528" s="8" t="s">
        <v>5402</v>
      </c>
      <c r="AV528" s="8" t="s">
        <v>108</v>
      </c>
      <c r="AW528" s="9"/>
      <c r="AX528" s="9"/>
      <c r="AY528" s="8" t="s">
        <v>5338</v>
      </c>
      <c r="AZ528" s="8" t="b">
        <v>0</v>
      </c>
      <c r="BA528" s="8" t="s">
        <v>110</v>
      </c>
      <c r="BB528" s="8" t="s">
        <v>773</v>
      </c>
      <c r="BC528" s="9"/>
      <c r="BD528" s="9"/>
      <c r="BE528" s="8" t="s">
        <v>5403</v>
      </c>
      <c r="BF528" s="9"/>
      <c r="BG528" s="9"/>
      <c r="BH528" s="9"/>
      <c r="BI528" s="9"/>
      <c r="BJ528" s="9"/>
      <c r="BK528" s="9"/>
      <c r="BL528" s="9"/>
      <c r="BM528" s="9"/>
      <c r="BN528" s="9"/>
      <c r="BO528" s="9"/>
      <c r="BP528" s="9"/>
      <c r="BQ528" s="9"/>
      <c r="BR528" s="9"/>
      <c r="BS528" s="9"/>
      <c r="BT528" s="9"/>
      <c r="BU528" s="9"/>
      <c r="BV528" s="9"/>
      <c r="BW528" s="9"/>
      <c r="BX528" s="9"/>
      <c r="BY528" s="9"/>
      <c r="BZ528" s="9"/>
      <c r="CA528" s="9"/>
      <c r="CB528" s="8" t="s">
        <v>5404</v>
      </c>
      <c r="CC528" s="9"/>
      <c r="CD528" s="9"/>
      <c r="CE528" s="8" t="s">
        <v>903</v>
      </c>
      <c r="CF528" s="8" t="s">
        <v>5405</v>
      </c>
      <c r="CG528" s="9"/>
      <c r="CH528" s="9"/>
      <c r="CI528" s="9"/>
      <c r="CJ528" s="9"/>
      <c r="CK528" s="9"/>
      <c r="CL528" s="9"/>
      <c r="CM528" s="9"/>
      <c r="CN528" s="9"/>
      <c r="CO528" s="9"/>
      <c r="CP528" s="9"/>
    </row>
    <row r="529">
      <c r="A529" s="7" t="s">
        <v>5406</v>
      </c>
      <c r="B529" s="8" t="s">
        <v>5407</v>
      </c>
      <c r="C529" s="8" t="s">
        <v>5408</v>
      </c>
      <c r="D529" s="8" t="s">
        <v>94</v>
      </c>
      <c r="E529" s="8" t="s">
        <v>95</v>
      </c>
      <c r="F529" s="9"/>
      <c r="G529" s="8" t="s">
        <v>5409</v>
      </c>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t="str">
        <f t="shared" si="37"/>
        <v/>
      </c>
      <c r="AK529" s="8"/>
      <c r="AL529" s="8"/>
      <c r="AM529" s="8" t="s">
        <v>1477</v>
      </c>
      <c r="AN529" s="8" t="s">
        <v>5410</v>
      </c>
      <c r="AO529" s="9"/>
      <c r="AP529" s="9"/>
      <c r="AQ529" s="9"/>
      <c r="AR529" s="8" t="s">
        <v>1479</v>
      </c>
      <c r="AS529" s="8" t="s">
        <v>1480</v>
      </c>
      <c r="AT529" s="9"/>
      <c r="AU529" s="8" t="s">
        <v>5411</v>
      </c>
      <c r="AV529" s="8" t="s">
        <v>108</v>
      </c>
      <c r="AW529" s="9"/>
      <c r="AX529" s="9"/>
      <c r="AY529" s="8" t="s">
        <v>5338</v>
      </c>
      <c r="AZ529" s="8" t="b">
        <v>0</v>
      </c>
      <c r="BA529" s="8" t="s">
        <v>110</v>
      </c>
      <c r="BB529" s="9"/>
      <c r="BC529" s="9"/>
      <c r="BD529" s="9"/>
      <c r="BE529" s="8" t="s">
        <v>5412</v>
      </c>
      <c r="BF529" s="9"/>
      <c r="BG529" s="9"/>
      <c r="BH529" s="9"/>
      <c r="BI529" s="9"/>
      <c r="BJ529" s="9"/>
      <c r="BK529" s="9"/>
      <c r="BL529" s="9"/>
      <c r="BM529" s="9"/>
      <c r="BN529" s="9"/>
      <c r="BO529" s="9"/>
      <c r="BP529" s="9"/>
      <c r="BQ529" s="9"/>
      <c r="BR529" s="9"/>
      <c r="BS529" s="9"/>
      <c r="BT529" s="9"/>
      <c r="BU529" s="9"/>
      <c r="BV529" s="9"/>
      <c r="BW529" s="9"/>
      <c r="BX529" s="9"/>
      <c r="BY529" s="9"/>
      <c r="BZ529" s="9"/>
      <c r="CA529" s="9"/>
      <c r="CB529" s="8" t="s">
        <v>5413</v>
      </c>
      <c r="CC529" s="9"/>
      <c r="CD529" s="9"/>
      <c r="CE529" s="8" t="s">
        <v>366</v>
      </c>
      <c r="CF529" s="8" t="s">
        <v>5414</v>
      </c>
      <c r="CG529" s="9"/>
      <c r="CH529" s="9"/>
      <c r="CI529" s="9"/>
      <c r="CJ529" s="9"/>
      <c r="CK529" s="9"/>
      <c r="CL529" s="9"/>
      <c r="CM529" s="9"/>
      <c r="CN529" s="9"/>
      <c r="CO529" s="9"/>
      <c r="CP529" s="9"/>
    </row>
    <row r="530">
      <c r="A530" s="7" t="s">
        <v>5415</v>
      </c>
      <c r="B530" s="8" t="s">
        <v>5416</v>
      </c>
      <c r="C530" s="8" t="s">
        <v>5417</v>
      </c>
      <c r="D530" s="8" t="s">
        <v>94</v>
      </c>
      <c r="E530" s="8" t="s">
        <v>95</v>
      </c>
      <c r="F530" s="9"/>
      <c r="G530" s="8" t="s">
        <v>5418</v>
      </c>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t="str">
        <f t="shared" si="37"/>
        <v/>
      </c>
      <c r="AK530" s="8"/>
      <c r="AL530" s="8"/>
      <c r="AM530" s="8" t="s">
        <v>1477</v>
      </c>
      <c r="AN530" s="8" t="s">
        <v>5419</v>
      </c>
      <c r="AO530" s="9"/>
      <c r="AP530" s="9"/>
      <c r="AQ530" s="9"/>
      <c r="AR530" s="8" t="s">
        <v>1479</v>
      </c>
      <c r="AS530" s="8" t="s">
        <v>1480</v>
      </c>
      <c r="AT530" s="9"/>
      <c r="AU530" s="8" t="s">
        <v>5420</v>
      </c>
      <c r="AV530" s="8" t="s">
        <v>108</v>
      </c>
      <c r="AW530" s="9"/>
      <c r="AX530" s="9"/>
      <c r="AY530" s="8" t="s">
        <v>5338</v>
      </c>
      <c r="AZ530" s="8" t="b">
        <v>0</v>
      </c>
      <c r="BA530" s="8" t="s">
        <v>110</v>
      </c>
      <c r="BB530" s="9"/>
      <c r="BC530" s="9"/>
      <c r="BD530" s="9"/>
      <c r="BE530" s="8" t="s">
        <v>1882</v>
      </c>
      <c r="BF530" s="9"/>
      <c r="BG530" s="9"/>
      <c r="BH530" s="9"/>
      <c r="BI530" s="9"/>
      <c r="BJ530" s="9"/>
      <c r="BK530" s="9"/>
      <c r="BL530" s="9"/>
      <c r="BM530" s="9"/>
      <c r="BN530" s="9"/>
      <c r="BO530" s="9"/>
      <c r="BP530" s="9"/>
      <c r="BQ530" s="9"/>
      <c r="BR530" s="9"/>
      <c r="BS530" s="9"/>
      <c r="BT530" s="9"/>
      <c r="BU530" s="9"/>
      <c r="BV530" s="9"/>
      <c r="BW530" s="9"/>
      <c r="BX530" s="9"/>
      <c r="BY530" s="9"/>
      <c r="BZ530" s="9"/>
      <c r="CA530" s="9"/>
      <c r="CB530" s="8" t="s">
        <v>5225</v>
      </c>
      <c r="CC530" s="9"/>
      <c r="CD530" s="9"/>
      <c r="CE530" s="8" t="s">
        <v>197</v>
      </c>
      <c r="CF530" s="8" t="s">
        <v>5421</v>
      </c>
      <c r="CG530" s="9"/>
      <c r="CH530" s="9"/>
      <c r="CI530" s="9"/>
      <c r="CJ530" s="9"/>
      <c r="CK530" s="9"/>
      <c r="CL530" s="9"/>
      <c r="CM530" s="9"/>
      <c r="CN530" s="9"/>
      <c r="CO530" s="9"/>
      <c r="CP530" s="9"/>
    </row>
    <row r="531">
      <c r="A531" s="7" t="s">
        <v>5422</v>
      </c>
      <c r="B531" s="8" t="s">
        <v>5423</v>
      </c>
      <c r="C531" s="8" t="s">
        <v>5424</v>
      </c>
      <c r="D531" s="8" t="s">
        <v>94</v>
      </c>
      <c r="E531" s="8" t="s">
        <v>95</v>
      </c>
      <c r="F531" s="9"/>
      <c r="G531" s="8" t="s">
        <v>5425</v>
      </c>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t="str">
        <f t="shared" si="37"/>
        <v/>
      </c>
      <c r="AK531" s="8"/>
      <c r="AL531" s="8"/>
      <c r="AM531" s="8" t="s">
        <v>1477</v>
      </c>
      <c r="AN531" s="8" t="s">
        <v>5426</v>
      </c>
      <c r="AO531" s="9"/>
      <c r="AP531" s="9"/>
      <c r="AQ531" s="9"/>
      <c r="AR531" s="8" t="s">
        <v>1479</v>
      </c>
      <c r="AS531" s="8" t="s">
        <v>1480</v>
      </c>
      <c r="AT531" s="9"/>
      <c r="AU531" s="8" t="s">
        <v>5427</v>
      </c>
      <c r="AV531" s="8" t="s">
        <v>108</v>
      </c>
      <c r="AW531" s="9"/>
      <c r="AX531" s="9"/>
      <c r="AY531" s="8" t="s">
        <v>5338</v>
      </c>
      <c r="AZ531" s="8" t="b">
        <v>0</v>
      </c>
      <c r="BA531" s="8" t="s">
        <v>110</v>
      </c>
      <c r="BB531" s="9"/>
      <c r="BC531" s="9"/>
      <c r="BD531" s="9"/>
      <c r="BE531" s="8" t="s">
        <v>1089</v>
      </c>
      <c r="BF531" s="9"/>
      <c r="BG531" s="9"/>
      <c r="BH531" s="9"/>
      <c r="BI531" s="9"/>
      <c r="BJ531" s="9"/>
      <c r="BK531" s="9"/>
      <c r="BL531" s="9"/>
      <c r="BM531" s="9"/>
      <c r="BN531" s="9"/>
      <c r="BO531" s="9"/>
      <c r="BP531" s="9"/>
      <c r="BQ531" s="9"/>
      <c r="BR531" s="9"/>
      <c r="BS531" s="9"/>
      <c r="BT531" s="9"/>
      <c r="BU531" s="9"/>
      <c r="BV531" s="9"/>
      <c r="BW531" s="9"/>
      <c r="BX531" s="9"/>
      <c r="BY531" s="9"/>
      <c r="BZ531" s="9"/>
      <c r="CA531" s="9"/>
      <c r="CB531" s="8" t="s">
        <v>5428</v>
      </c>
      <c r="CC531" s="9"/>
      <c r="CD531" s="9"/>
      <c r="CE531" s="8" t="s">
        <v>412</v>
      </c>
      <c r="CF531" s="8" t="s">
        <v>5429</v>
      </c>
      <c r="CG531" s="9"/>
      <c r="CH531" s="9"/>
      <c r="CI531" s="9"/>
      <c r="CJ531" s="9"/>
      <c r="CK531" s="9"/>
      <c r="CL531" s="9"/>
      <c r="CM531" s="9"/>
      <c r="CN531" s="9"/>
      <c r="CO531" s="9"/>
      <c r="CP531" s="9"/>
    </row>
    <row r="532">
      <c r="A532" s="7" t="s">
        <v>5430</v>
      </c>
      <c r="B532" s="8" t="s">
        <v>5431</v>
      </c>
      <c r="C532" s="8" t="s">
        <v>5432</v>
      </c>
      <c r="D532" s="8" t="s">
        <v>94</v>
      </c>
      <c r="E532" s="8" t="s">
        <v>95</v>
      </c>
      <c r="F532" s="9"/>
      <c r="G532" s="8" t="s">
        <v>5433</v>
      </c>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t="str">
        <f t="shared" si="37"/>
        <v/>
      </c>
      <c r="AK532" s="8"/>
      <c r="AL532" s="8"/>
      <c r="AM532" s="8" t="s">
        <v>1477</v>
      </c>
      <c r="AN532" s="8" t="s">
        <v>5434</v>
      </c>
      <c r="AO532" s="9"/>
      <c r="AP532" s="9"/>
      <c r="AQ532" s="9"/>
      <c r="AR532" s="8" t="s">
        <v>1479</v>
      </c>
      <c r="AS532" s="8" t="s">
        <v>1480</v>
      </c>
      <c r="AT532" s="9"/>
      <c r="AU532" s="8" t="s">
        <v>5435</v>
      </c>
      <c r="AV532" s="8" t="s">
        <v>108</v>
      </c>
      <c r="AW532" s="9"/>
      <c r="AX532" s="9"/>
      <c r="AY532" s="8" t="s">
        <v>5338</v>
      </c>
      <c r="AZ532" s="8" t="b">
        <v>0</v>
      </c>
      <c r="BA532" s="8" t="s">
        <v>110</v>
      </c>
      <c r="BB532" s="9"/>
      <c r="BC532" s="9"/>
      <c r="BD532" s="9"/>
      <c r="BE532" s="8" t="s">
        <v>1882</v>
      </c>
      <c r="BF532" s="9"/>
      <c r="BG532" s="9"/>
      <c r="BH532" s="9"/>
      <c r="BI532" s="9"/>
      <c r="BJ532" s="9"/>
      <c r="BK532" s="9"/>
      <c r="BL532" s="9"/>
      <c r="BM532" s="9"/>
      <c r="BN532" s="9"/>
      <c r="BO532" s="9"/>
      <c r="BP532" s="9"/>
      <c r="BQ532" s="9"/>
      <c r="BR532" s="9"/>
      <c r="BS532" s="9"/>
      <c r="BT532" s="9"/>
      <c r="BU532" s="9"/>
      <c r="BV532" s="9"/>
      <c r="BW532" s="9"/>
      <c r="BX532" s="9"/>
      <c r="BY532" s="9"/>
      <c r="BZ532" s="9"/>
      <c r="CA532" s="9"/>
      <c r="CB532" s="8" t="s">
        <v>5436</v>
      </c>
      <c r="CC532" s="9"/>
      <c r="CD532" s="9"/>
      <c r="CE532" s="8" t="s">
        <v>450</v>
      </c>
      <c r="CF532" s="8" t="s">
        <v>5437</v>
      </c>
      <c r="CG532" s="9"/>
      <c r="CH532" s="9"/>
      <c r="CI532" s="9"/>
      <c r="CJ532" s="9"/>
      <c r="CK532" s="9"/>
      <c r="CL532" s="9"/>
      <c r="CM532" s="9"/>
      <c r="CN532" s="9"/>
      <c r="CO532" s="9"/>
      <c r="CP532" s="9"/>
    </row>
    <row r="533">
      <c r="A533" s="7" t="s">
        <v>5438</v>
      </c>
      <c r="B533" s="8" t="s">
        <v>5439</v>
      </c>
      <c r="C533" s="8" t="s">
        <v>5440</v>
      </c>
      <c r="D533" s="8" t="s">
        <v>94</v>
      </c>
      <c r="E533" s="8" t="s">
        <v>95</v>
      </c>
      <c r="F533" s="9"/>
      <c r="G533" s="8" t="s">
        <v>5441</v>
      </c>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t="str">
        <f t="shared" si="37"/>
        <v/>
      </c>
      <c r="AK533" s="8"/>
      <c r="AL533" s="8"/>
      <c r="AM533" s="8" t="s">
        <v>1477</v>
      </c>
      <c r="AN533" s="8" t="s">
        <v>5442</v>
      </c>
      <c r="AO533" s="9"/>
      <c r="AP533" s="9"/>
      <c r="AQ533" s="9"/>
      <c r="AR533" s="8" t="s">
        <v>1479</v>
      </c>
      <c r="AS533" s="8" t="s">
        <v>1480</v>
      </c>
      <c r="AT533" s="9"/>
      <c r="AU533" s="8" t="s">
        <v>5443</v>
      </c>
      <c r="AV533" s="8" t="s">
        <v>108</v>
      </c>
      <c r="AW533" s="9"/>
      <c r="AX533" s="9"/>
      <c r="AY533" s="8" t="s">
        <v>5338</v>
      </c>
      <c r="AZ533" s="8" t="b">
        <v>0</v>
      </c>
      <c r="BA533" s="8" t="s">
        <v>110</v>
      </c>
      <c r="BB533" s="9"/>
      <c r="BC533" s="9"/>
      <c r="BD533" s="9"/>
      <c r="BE533" s="8" t="s">
        <v>5444</v>
      </c>
      <c r="BF533" s="9"/>
      <c r="BG533" s="9"/>
      <c r="BH533" s="9"/>
      <c r="BI533" s="9"/>
      <c r="BJ533" s="9"/>
      <c r="BK533" s="9"/>
      <c r="BL533" s="9"/>
      <c r="BM533" s="9"/>
      <c r="BN533" s="9"/>
      <c r="BO533" s="9"/>
      <c r="BP533" s="9"/>
      <c r="BQ533" s="9"/>
      <c r="BR533" s="9"/>
      <c r="BS533" s="9"/>
      <c r="BT533" s="9"/>
      <c r="BU533" s="9"/>
      <c r="BV533" s="9"/>
      <c r="BW533" s="9"/>
      <c r="BX533" s="9"/>
      <c r="BY533" s="9"/>
      <c r="BZ533" s="9"/>
      <c r="CA533" s="9"/>
      <c r="CB533" s="8" t="s">
        <v>5445</v>
      </c>
      <c r="CC533" s="9"/>
      <c r="CD533" s="9"/>
      <c r="CE533" s="8" t="s">
        <v>366</v>
      </c>
      <c r="CF533" s="8" t="s">
        <v>5446</v>
      </c>
      <c r="CG533" s="9"/>
      <c r="CH533" s="9"/>
      <c r="CI533" s="9"/>
      <c r="CJ533" s="9"/>
      <c r="CK533" s="9"/>
      <c r="CL533" s="9"/>
      <c r="CM533" s="9"/>
      <c r="CN533" s="9"/>
      <c r="CO533" s="9"/>
      <c r="CP533" s="9"/>
    </row>
    <row r="534">
      <c r="A534" s="7" t="s">
        <v>5447</v>
      </c>
      <c r="B534" s="8" t="s">
        <v>5448</v>
      </c>
      <c r="C534" s="8" t="s">
        <v>5449</v>
      </c>
      <c r="D534" s="8" t="s">
        <v>94</v>
      </c>
      <c r="E534" s="8" t="s">
        <v>95</v>
      </c>
      <c r="F534" s="9"/>
      <c r="G534" s="8" t="s">
        <v>5450</v>
      </c>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t="str">
        <f t="shared" si="37"/>
        <v/>
      </c>
      <c r="AK534" s="8"/>
      <c r="AL534" s="8"/>
      <c r="AM534" s="8" t="s">
        <v>1477</v>
      </c>
      <c r="AN534" s="8" t="s">
        <v>5451</v>
      </c>
      <c r="AO534" s="9"/>
      <c r="AP534" s="9"/>
      <c r="AQ534" s="9"/>
      <c r="AR534" s="8" t="s">
        <v>1479</v>
      </c>
      <c r="AS534" s="8" t="s">
        <v>1480</v>
      </c>
      <c r="AT534" s="9"/>
      <c r="AU534" s="8" t="s">
        <v>5452</v>
      </c>
      <c r="AV534" s="8" t="s">
        <v>108</v>
      </c>
      <c r="AW534" s="9"/>
      <c r="AX534" s="9"/>
      <c r="AY534" s="8" t="s">
        <v>5338</v>
      </c>
      <c r="AZ534" s="8" t="b">
        <v>0</v>
      </c>
      <c r="BA534" s="8" t="s">
        <v>110</v>
      </c>
      <c r="BB534" s="9"/>
      <c r="BC534" s="9"/>
      <c r="BD534" s="9"/>
      <c r="BE534" s="8" t="s">
        <v>5453</v>
      </c>
      <c r="BF534" s="9"/>
      <c r="BG534" s="9"/>
      <c r="BH534" s="9"/>
      <c r="BI534" s="9"/>
      <c r="BJ534" s="9"/>
      <c r="BK534" s="9"/>
      <c r="BL534" s="9"/>
      <c r="BM534" s="9"/>
      <c r="BN534" s="9"/>
      <c r="BO534" s="9"/>
      <c r="BP534" s="9"/>
      <c r="BQ534" s="9"/>
      <c r="BR534" s="9"/>
      <c r="BS534" s="9"/>
      <c r="BT534" s="9"/>
      <c r="BU534" s="9"/>
      <c r="BV534" s="9"/>
      <c r="BW534" s="9"/>
      <c r="BX534" s="9"/>
      <c r="BY534" s="9"/>
      <c r="BZ534" s="9"/>
      <c r="CA534" s="9"/>
      <c r="CB534" s="8" t="s">
        <v>5454</v>
      </c>
      <c r="CC534" s="9"/>
      <c r="CD534" s="9"/>
      <c r="CE534" s="8" t="s">
        <v>366</v>
      </c>
      <c r="CF534" s="8" t="s">
        <v>5455</v>
      </c>
      <c r="CG534" s="9"/>
      <c r="CH534" s="9"/>
      <c r="CI534" s="9"/>
      <c r="CJ534" s="9"/>
      <c r="CK534" s="9"/>
      <c r="CL534" s="9"/>
      <c r="CM534" s="9"/>
      <c r="CN534" s="9"/>
      <c r="CO534" s="9"/>
      <c r="CP534" s="9"/>
    </row>
    <row r="535">
      <c r="A535" s="7" t="s">
        <v>5456</v>
      </c>
      <c r="B535" s="8" t="s">
        <v>5457</v>
      </c>
      <c r="C535" s="8" t="s">
        <v>5458</v>
      </c>
      <c r="D535" s="8" t="s">
        <v>94</v>
      </c>
      <c r="E535" s="8" t="s">
        <v>95</v>
      </c>
      <c r="F535" s="9"/>
      <c r="G535" s="8" t="s">
        <v>5459</v>
      </c>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t="str">
        <f t="shared" si="37"/>
        <v/>
      </c>
      <c r="AK535" s="8"/>
      <c r="AL535" s="8"/>
      <c r="AM535" s="8" t="s">
        <v>1477</v>
      </c>
      <c r="AN535" s="8" t="s">
        <v>5460</v>
      </c>
      <c r="AO535" s="9"/>
      <c r="AP535" s="9"/>
      <c r="AQ535" s="9"/>
      <c r="AR535" s="8" t="s">
        <v>1479</v>
      </c>
      <c r="AS535" s="8" t="s">
        <v>1480</v>
      </c>
      <c r="AT535" s="9"/>
      <c r="AU535" s="8" t="s">
        <v>5461</v>
      </c>
      <c r="AV535" s="8" t="s">
        <v>108</v>
      </c>
      <c r="AW535" s="9"/>
      <c r="AX535" s="9"/>
      <c r="AY535" s="8" t="s">
        <v>5338</v>
      </c>
      <c r="AZ535" s="8" t="b">
        <v>0</v>
      </c>
      <c r="BA535" s="8" t="s">
        <v>110</v>
      </c>
      <c r="BB535" s="9"/>
      <c r="BC535" s="9"/>
      <c r="BD535" s="9"/>
      <c r="BE535" s="8" t="s">
        <v>5462</v>
      </c>
      <c r="BF535" s="9"/>
      <c r="BG535" s="9"/>
      <c r="BH535" s="9"/>
      <c r="BI535" s="9"/>
      <c r="BJ535" s="9"/>
      <c r="BK535" s="9"/>
      <c r="BL535" s="9"/>
      <c r="BM535" s="9"/>
      <c r="BN535" s="9"/>
      <c r="BO535" s="9"/>
      <c r="BP535" s="9"/>
      <c r="BQ535" s="9"/>
      <c r="BR535" s="9"/>
      <c r="BS535" s="9"/>
      <c r="BT535" s="9"/>
      <c r="BU535" s="9"/>
      <c r="BV535" s="9"/>
      <c r="BW535" s="9"/>
      <c r="BX535" s="9"/>
      <c r="BY535" s="9"/>
      <c r="BZ535" s="9"/>
      <c r="CA535" s="9"/>
      <c r="CB535" s="8" t="s">
        <v>2667</v>
      </c>
      <c r="CC535" s="9"/>
      <c r="CD535" s="9"/>
      <c r="CE535" s="8" t="s">
        <v>366</v>
      </c>
      <c r="CF535" s="8" t="s">
        <v>5463</v>
      </c>
      <c r="CG535" s="9"/>
      <c r="CH535" s="9"/>
      <c r="CI535" s="9"/>
      <c r="CJ535" s="9"/>
      <c r="CK535" s="9"/>
      <c r="CL535" s="9"/>
      <c r="CM535" s="9"/>
      <c r="CN535" s="9"/>
      <c r="CO535" s="9"/>
      <c r="CP535" s="9"/>
    </row>
    <row r="536">
      <c r="A536" s="7" t="s">
        <v>5464</v>
      </c>
      <c r="B536" s="8" t="s">
        <v>5465</v>
      </c>
      <c r="C536" s="8" t="s">
        <v>5466</v>
      </c>
      <c r="D536" s="8" t="s">
        <v>94</v>
      </c>
      <c r="E536" s="8" t="s">
        <v>95</v>
      </c>
      <c r="F536" s="9"/>
      <c r="G536" s="8" t="s">
        <v>5467</v>
      </c>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t="str">
        <f t="shared" si="37"/>
        <v/>
      </c>
      <c r="AK536" s="8"/>
      <c r="AL536" s="8"/>
      <c r="AM536" s="8" t="s">
        <v>1477</v>
      </c>
      <c r="AN536" s="8" t="s">
        <v>5468</v>
      </c>
      <c r="AO536" s="9"/>
      <c r="AP536" s="9"/>
      <c r="AQ536" s="9"/>
      <c r="AR536" s="8" t="s">
        <v>1479</v>
      </c>
      <c r="AS536" s="8" t="s">
        <v>1480</v>
      </c>
      <c r="AT536" s="9"/>
      <c r="AU536" s="8" t="s">
        <v>5469</v>
      </c>
      <c r="AV536" s="8" t="s">
        <v>108</v>
      </c>
      <c r="AW536" s="9"/>
      <c r="AX536" s="9"/>
      <c r="AY536" s="8" t="s">
        <v>5338</v>
      </c>
      <c r="AZ536" s="8" t="b">
        <v>0</v>
      </c>
      <c r="BA536" s="8" t="s">
        <v>110</v>
      </c>
      <c r="BB536" s="9"/>
      <c r="BC536" s="9"/>
      <c r="BD536" s="9"/>
      <c r="BE536" s="8" t="s">
        <v>5470</v>
      </c>
      <c r="BF536" s="9"/>
      <c r="BG536" s="9"/>
      <c r="BH536" s="9"/>
      <c r="BI536" s="9"/>
      <c r="BJ536" s="9"/>
      <c r="BK536" s="9"/>
      <c r="BL536" s="9"/>
      <c r="BM536" s="9"/>
      <c r="BN536" s="9"/>
      <c r="BO536" s="9"/>
      <c r="BP536" s="9"/>
      <c r="BQ536" s="9"/>
      <c r="BR536" s="9"/>
      <c r="BS536" s="9"/>
      <c r="BT536" s="9"/>
      <c r="BU536" s="9"/>
      <c r="BV536" s="9"/>
      <c r="BW536" s="9"/>
      <c r="BX536" s="9"/>
      <c r="BY536" s="9"/>
      <c r="BZ536" s="9"/>
      <c r="CA536" s="9"/>
      <c r="CB536" s="8" t="s">
        <v>3158</v>
      </c>
      <c r="CC536" s="9"/>
      <c r="CD536" s="9"/>
      <c r="CE536" s="8" t="s">
        <v>366</v>
      </c>
      <c r="CF536" s="8" t="s">
        <v>5471</v>
      </c>
      <c r="CG536" s="9"/>
      <c r="CH536" s="9"/>
      <c r="CI536" s="9"/>
      <c r="CJ536" s="9"/>
      <c r="CK536" s="9"/>
      <c r="CL536" s="9"/>
      <c r="CM536" s="9"/>
      <c r="CN536" s="9"/>
      <c r="CO536" s="9"/>
      <c r="CP536" s="9"/>
    </row>
    <row r="537">
      <c r="A537" s="7" t="s">
        <v>5472</v>
      </c>
      <c r="B537" s="8" t="s">
        <v>5473</v>
      </c>
      <c r="C537" s="8" t="s">
        <v>5474</v>
      </c>
      <c r="D537" s="8" t="s">
        <v>94</v>
      </c>
      <c r="E537" s="8" t="s">
        <v>95</v>
      </c>
      <c r="F537" s="9"/>
      <c r="G537" s="8" t="s">
        <v>5475</v>
      </c>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t="str">
        <f t="shared" si="37"/>
        <v/>
      </c>
      <c r="AK537" s="8"/>
      <c r="AL537" s="8"/>
      <c r="AM537" s="8" t="s">
        <v>1477</v>
      </c>
      <c r="AN537" s="8" t="s">
        <v>5476</v>
      </c>
      <c r="AO537" s="9"/>
      <c r="AP537" s="9"/>
      <c r="AQ537" s="9"/>
      <c r="AR537" s="8" t="s">
        <v>1479</v>
      </c>
      <c r="AS537" s="8" t="s">
        <v>1480</v>
      </c>
      <c r="AT537" s="9"/>
      <c r="AU537" s="8" t="s">
        <v>5477</v>
      </c>
      <c r="AV537" s="9"/>
      <c r="AW537" s="9"/>
      <c r="AX537" s="9"/>
      <c r="AY537" s="8" t="s">
        <v>5338</v>
      </c>
      <c r="AZ537" s="8" t="b">
        <v>0</v>
      </c>
      <c r="BA537" s="8" t="s">
        <v>190</v>
      </c>
      <c r="BB537" s="8" t="s">
        <v>191</v>
      </c>
      <c r="BC537" s="9"/>
      <c r="BD537" s="9"/>
      <c r="BE537" s="8" t="s">
        <v>5478</v>
      </c>
      <c r="BF537" s="9"/>
      <c r="BG537" s="9"/>
      <c r="BH537" s="9"/>
      <c r="BI537" s="9"/>
      <c r="BJ537" s="9"/>
      <c r="BK537" s="9"/>
      <c r="BL537" s="9"/>
      <c r="BM537" s="9"/>
      <c r="BN537" s="9"/>
      <c r="BO537" s="9"/>
      <c r="BP537" s="9"/>
      <c r="BQ537" s="9"/>
      <c r="BR537" s="9"/>
      <c r="BS537" s="9"/>
      <c r="BT537" s="9"/>
      <c r="BU537" s="9"/>
      <c r="BV537" s="9"/>
      <c r="BW537" s="9"/>
      <c r="BX537" s="9"/>
      <c r="BY537" s="9"/>
      <c r="BZ537" s="9"/>
      <c r="CA537" s="9"/>
      <c r="CB537" s="8" t="s">
        <v>5479</v>
      </c>
      <c r="CC537" s="9"/>
      <c r="CD537" s="9"/>
      <c r="CE537" s="8" t="s">
        <v>115</v>
      </c>
      <c r="CF537" s="8" t="s">
        <v>5480</v>
      </c>
      <c r="CG537" s="9"/>
      <c r="CH537" s="9"/>
      <c r="CI537" s="9"/>
      <c r="CJ537" s="9"/>
      <c r="CK537" s="9"/>
      <c r="CL537" s="9"/>
      <c r="CM537" s="9"/>
      <c r="CN537" s="9"/>
      <c r="CO537" s="9"/>
      <c r="CP537" s="9"/>
    </row>
    <row r="538">
      <c r="A538" s="7" t="s">
        <v>5481</v>
      </c>
      <c r="B538" s="8" t="s">
        <v>5482</v>
      </c>
      <c r="C538" s="8" t="s">
        <v>5483</v>
      </c>
      <c r="D538" s="8" t="s">
        <v>94</v>
      </c>
      <c r="E538" s="8" t="s">
        <v>95</v>
      </c>
      <c r="F538" s="9"/>
      <c r="G538" s="8" t="s">
        <v>5484</v>
      </c>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t="str">
        <f t="shared" si="37"/>
        <v/>
      </c>
      <c r="AK538" s="8"/>
      <c r="AL538" s="8"/>
      <c r="AM538" s="8" t="s">
        <v>1477</v>
      </c>
      <c r="AN538" s="8" t="s">
        <v>5485</v>
      </c>
      <c r="AO538" s="9"/>
      <c r="AP538" s="9"/>
      <c r="AQ538" s="9"/>
      <c r="AR538" s="8" t="s">
        <v>1479</v>
      </c>
      <c r="AS538" s="8" t="s">
        <v>1480</v>
      </c>
      <c r="AT538" s="9"/>
      <c r="AU538" s="8" t="s">
        <v>5486</v>
      </c>
      <c r="AV538" s="8" t="s">
        <v>108</v>
      </c>
      <c r="AW538" s="9"/>
      <c r="AX538" s="9"/>
      <c r="AY538" s="8" t="s">
        <v>5338</v>
      </c>
      <c r="AZ538" s="8" t="b">
        <v>0</v>
      </c>
      <c r="BA538" s="8" t="s">
        <v>110</v>
      </c>
      <c r="BB538" s="9"/>
      <c r="BC538" s="9"/>
      <c r="BD538" s="8" t="s">
        <v>112</v>
      </c>
      <c r="BE538" s="8" t="s">
        <v>5487</v>
      </c>
      <c r="BF538" s="9"/>
      <c r="BG538" s="9"/>
      <c r="BH538" s="9"/>
      <c r="BI538" s="9"/>
      <c r="BJ538" s="9"/>
      <c r="BK538" s="9"/>
      <c r="BL538" s="9"/>
      <c r="BM538" s="9"/>
      <c r="BN538" s="9"/>
      <c r="BO538" s="9"/>
      <c r="BP538" s="9"/>
      <c r="BQ538" s="9"/>
      <c r="BR538" s="9"/>
      <c r="BS538" s="9"/>
      <c r="BT538" s="9"/>
      <c r="BU538" s="9"/>
      <c r="BV538" s="9"/>
      <c r="BW538" s="9"/>
      <c r="BX538" s="9"/>
      <c r="BY538" s="9"/>
      <c r="BZ538" s="9"/>
      <c r="CA538" s="9"/>
      <c r="CB538" s="8" t="s">
        <v>5488</v>
      </c>
      <c r="CC538" s="9"/>
      <c r="CD538" s="9"/>
      <c r="CE538" s="8" t="s">
        <v>366</v>
      </c>
      <c r="CF538" s="8" t="s">
        <v>5489</v>
      </c>
      <c r="CG538" s="9"/>
      <c r="CH538" s="9"/>
      <c r="CI538" s="9"/>
      <c r="CJ538" s="9"/>
      <c r="CK538" s="9"/>
      <c r="CL538" s="9"/>
      <c r="CM538" s="9"/>
      <c r="CN538" s="9"/>
      <c r="CO538" s="9"/>
      <c r="CP538" s="9"/>
    </row>
    <row r="539">
      <c r="A539" s="7" t="s">
        <v>5490</v>
      </c>
      <c r="B539" s="8" t="s">
        <v>5491</v>
      </c>
      <c r="C539" s="8" t="s">
        <v>5492</v>
      </c>
      <c r="D539" s="8" t="s">
        <v>94</v>
      </c>
      <c r="E539" s="8" t="s">
        <v>95</v>
      </c>
      <c r="F539" s="9"/>
      <c r="G539" s="8" t="s">
        <v>5493</v>
      </c>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t="str">
        <f t="shared" si="37"/>
        <v/>
      </c>
      <c r="AK539" s="8"/>
      <c r="AL539" s="8"/>
      <c r="AM539" s="8" t="s">
        <v>1477</v>
      </c>
      <c r="AN539" s="8" t="s">
        <v>5494</v>
      </c>
      <c r="AO539" s="9"/>
      <c r="AP539" s="9"/>
      <c r="AQ539" s="9"/>
      <c r="AR539" s="8" t="s">
        <v>1479</v>
      </c>
      <c r="AS539" s="8" t="s">
        <v>1480</v>
      </c>
      <c r="AT539" s="9"/>
      <c r="AU539" s="8" t="s">
        <v>5495</v>
      </c>
      <c r="AV539" s="8" t="s">
        <v>108</v>
      </c>
      <c r="AW539" s="9"/>
      <c r="AX539" s="9"/>
      <c r="AY539" s="8" t="s">
        <v>5338</v>
      </c>
      <c r="AZ539" s="8" t="b">
        <v>0</v>
      </c>
      <c r="BA539" s="8" t="s">
        <v>110</v>
      </c>
      <c r="BB539" s="9"/>
      <c r="BC539" s="9"/>
      <c r="BD539" s="9"/>
      <c r="BE539" s="8" t="s">
        <v>5496</v>
      </c>
      <c r="BF539" s="9"/>
      <c r="BG539" s="9"/>
      <c r="BH539" s="9"/>
      <c r="BI539" s="9"/>
      <c r="BJ539" s="9"/>
      <c r="BK539" s="9"/>
      <c r="BL539" s="9"/>
      <c r="BM539" s="9"/>
      <c r="BN539" s="9"/>
      <c r="BO539" s="9"/>
      <c r="BP539" s="9"/>
      <c r="BQ539" s="9"/>
      <c r="BR539" s="9"/>
      <c r="BS539" s="9"/>
      <c r="BT539" s="9"/>
      <c r="BU539" s="9"/>
      <c r="BV539" s="9"/>
      <c r="BW539" s="9"/>
      <c r="BX539" s="9"/>
      <c r="BY539" s="9"/>
      <c r="BZ539" s="9"/>
      <c r="CA539" s="9"/>
      <c r="CB539" s="8" t="s">
        <v>5497</v>
      </c>
      <c r="CC539" s="9"/>
      <c r="CD539" s="9"/>
      <c r="CE539" s="8" t="s">
        <v>366</v>
      </c>
      <c r="CF539" s="8" t="s">
        <v>5498</v>
      </c>
      <c r="CG539" s="9"/>
      <c r="CH539" s="9"/>
      <c r="CI539" s="9"/>
      <c r="CJ539" s="9"/>
      <c r="CK539" s="9"/>
      <c r="CL539" s="9"/>
      <c r="CM539" s="9"/>
      <c r="CN539" s="9"/>
      <c r="CO539" s="9"/>
      <c r="CP539" s="9"/>
    </row>
    <row r="540">
      <c r="A540" s="7" t="s">
        <v>5499</v>
      </c>
      <c r="B540" s="8" t="s">
        <v>5500</v>
      </c>
      <c r="C540" s="8" t="s">
        <v>5501</v>
      </c>
      <c r="D540" s="8" t="s">
        <v>94</v>
      </c>
      <c r="E540" s="8" t="s">
        <v>95</v>
      </c>
      <c r="F540" s="9"/>
      <c r="G540" s="8" t="s">
        <v>5502</v>
      </c>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t="str">
        <f t="shared" si="37"/>
        <v/>
      </c>
      <c r="AK540" s="8"/>
      <c r="AL540" s="8"/>
      <c r="AM540" s="8" t="s">
        <v>1477</v>
      </c>
      <c r="AN540" s="8" t="s">
        <v>5503</v>
      </c>
      <c r="AO540" s="9"/>
      <c r="AP540" s="9"/>
      <c r="AQ540" s="9"/>
      <c r="AR540" s="8" t="s">
        <v>1479</v>
      </c>
      <c r="AS540" s="8" t="s">
        <v>1480</v>
      </c>
      <c r="AT540" s="9"/>
      <c r="AU540" s="8" t="s">
        <v>5504</v>
      </c>
      <c r="AV540" s="8" t="s">
        <v>108</v>
      </c>
      <c r="AW540" s="9"/>
      <c r="AX540" s="9"/>
      <c r="AY540" s="8" t="s">
        <v>5338</v>
      </c>
      <c r="AZ540" s="8" t="b">
        <v>0</v>
      </c>
      <c r="BA540" s="8" t="s">
        <v>110</v>
      </c>
      <c r="BB540" s="9"/>
      <c r="BC540" s="9"/>
      <c r="BD540" s="9"/>
      <c r="BE540" s="8" t="s">
        <v>5505</v>
      </c>
      <c r="BF540" s="9"/>
      <c r="BG540" s="9"/>
      <c r="BH540" s="9"/>
      <c r="BI540" s="9"/>
      <c r="BJ540" s="9"/>
      <c r="BK540" s="9"/>
      <c r="BL540" s="9"/>
      <c r="BM540" s="9"/>
      <c r="BN540" s="9"/>
      <c r="BO540" s="9"/>
      <c r="BP540" s="9"/>
      <c r="BQ540" s="9"/>
      <c r="BR540" s="9"/>
      <c r="BS540" s="9"/>
      <c r="BT540" s="9"/>
      <c r="BU540" s="9"/>
      <c r="BV540" s="9"/>
      <c r="BW540" s="9"/>
      <c r="BX540" s="9"/>
      <c r="BY540" s="9"/>
      <c r="BZ540" s="9"/>
      <c r="CA540" s="9"/>
      <c r="CB540" s="8" t="s">
        <v>5506</v>
      </c>
      <c r="CC540" s="9"/>
      <c r="CD540" s="9"/>
      <c r="CE540" s="8" t="s">
        <v>366</v>
      </c>
      <c r="CF540" s="8" t="s">
        <v>5507</v>
      </c>
      <c r="CG540" s="9"/>
      <c r="CH540" s="9"/>
      <c r="CI540" s="9"/>
      <c r="CJ540" s="9"/>
      <c r="CK540" s="9"/>
      <c r="CL540" s="9"/>
      <c r="CM540" s="9"/>
      <c r="CN540" s="9"/>
      <c r="CO540" s="9"/>
      <c r="CP540" s="9"/>
    </row>
    <row r="541">
      <c r="A541" s="7" t="s">
        <v>5508</v>
      </c>
      <c r="B541" s="8" t="s">
        <v>5509</v>
      </c>
      <c r="C541" s="8" t="s">
        <v>5510</v>
      </c>
      <c r="D541" s="8" t="s">
        <v>94</v>
      </c>
      <c r="E541" s="8" t="s">
        <v>95</v>
      </c>
      <c r="F541" s="9"/>
      <c r="G541" s="8" t="s">
        <v>5511</v>
      </c>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t="str">
        <f t="shared" si="37"/>
        <v/>
      </c>
      <c r="AK541" s="8"/>
      <c r="AL541" s="8"/>
      <c r="AM541" s="8" t="s">
        <v>3026</v>
      </c>
      <c r="AN541" s="8" t="s">
        <v>5512</v>
      </c>
      <c r="AO541" s="8" t="s">
        <v>3028</v>
      </c>
      <c r="AP541" s="9"/>
      <c r="AQ541" s="9"/>
      <c r="AR541" s="9"/>
      <c r="AS541" s="9"/>
      <c r="AT541" s="9"/>
      <c r="AU541" s="8" t="s">
        <v>5513</v>
      </c>
      <c r="AV541" s="8" t="s">
        <v>108</v>
      </c>
      <c r="AW541" s="9"/>
      <c r="AX541" s="9"/>
      <c r="AY541" s="8" t="s">
        <v>5338</v>
      </c>
      <c r="AZ541" s="8" t="b">
        <v>0</v>
      </c>
      <c r="BA541" s="8" t="s">
        <v>110</v>
      </c>
      <c r="BB541" s="9"/>
      <c r="BC541" s="9"/>
      <c r="BD541" s="9"/>
      <c r="BE541" s="8" t="s">
        <v>5514</v>
      </c>
      <c r="BF541" s="9"/>
      <c r="BG541" s="9"/>
      <c r="BH541" s="9"/>
      <c r="BI541" s="9"/>
      <c r="BJ541" s="9"/>
      <c r="BK541" s="9"/>
      <c r="BL541" s="9"/>
      <c r="BM541" s="9"/>
      <c r="BN541" s="9"/>
      <c r="BO541" s="9"/>
      <c r="BP541" s="9"/>
      <c r="BQ541" s="9"/>
      <c r="BR541" s="9"/>
      <c r="BS541" s="9"/>
      <c r="BT541" s="9"/>
      <c r="BU541" s="9"/>
      <c r="BV541" s="9"/>
      <c r="BW541" s="9"/>
      <c r="BX541" s="9"/>
      <c r="BY541" s="8" t="s">
        <v>2419</v>
      </c>
      <c r="BZ541" s="9"/>
      <c r="CA541" s="9"/>
      <c r="CB541" s="8" t="s">
        <v>5515</v>
      </c>
      <c r="CC541" s="9"/>
      <c r="CD541" s="9"/>
      <c r="CE541" s="8" t="s">
        <v>115</v>
      </c>
      <c r="CF541" s="8" t="s">
        <v>5516</v>
      </c>
      <c r="CG541" s="9"/>
      <c r="CH541" s="9"/>
      <c r="CI541" s="9"/>
      <c r="CJ541" s="9"/>
      <c r="CK541" s="9"/>
      <c r="CL541" s="9"/>
      <c r="CM541" s="9"/>
      <c r="CN541" s="9"/>
      <c r="CO541" s="9"/>
      <c r="CP541" s="9"/>
    </row>
    <row r="542">
      <c r="A542" s="7" t="s">
        <v>5517</v>
      </c>
      <c r="B542" s="8" t="s">
        <v>5518</v>
      </c>
      <c r="C542" s="8" t="s">
        <v>5519</v>
      </c>
      <c r="D542" s="8" t="s">
        <v>94</v>
      </c>
      <c r="E542" s="8" t="s">
        <v>95</v>
      </c>
      <c r="F542" s="9"/>
      <c r="G542" s="8" t="s">
        <v>5520</v>
      </c>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t="str">
        <f t="shared" si="37"/>
        <v/>
      </c>
      <c r="AK542" s="8"/>
      <c r="AL542" s="8"/>
      <c r="AM542" s="8" t="s">
        <v>3624</v>
      </c>
      <c r="AN542" s="8" t="s">
        <v>5521</v>
      </c>
      <c r="AO542" s="9"/>
      <c r="AP542" s="9"/>
      <c r="AQ542" s="9"/>
      <c r="AR542" s="9"/>
      <c r="AS542" s="9"/>
      <c r="AT542" s="9"/>
      <c r="AU542" s="8" t="s">
        <v>5522</v>
      </c>
      <c r="AV542" s="8" t="s">
        <v>108</v>
      </c>
      <c r="AW542" s="9"/>
      <c r="AX542" s="9"/>
      <c r="AY542" s="8" t="s">
        <v>5338</v>
      </c>
      <c r="AZ542" s="8" t="b">
        <v>0</v>
      </c>
      <c r="BA542" s="8" t="s">
        <v>110</v>
      </c>
      <c r="BB542" s="9"/>
      <c r="BC542" s="9"/>
      <c r="BD542" s="9"/>
      <c r="BE542" s="8" t="s">
        <v>2693</v>
      </c>
      <c r="BF542" s="9"/>
      <c r="BG542" s="9"/>
      <c r="BH542" s="9"/>
      <c r="BI542" s="9"/>
      <c r="BJ542" s="9"/>
      <c r="BK542" s="9"/>
      <c r="BL542" s="9"/>
      <c r="BM542" s="9"/>
      <c r="BN542" s="9"/>
      <c r="BO542" s="9"/>
      <c r="BP542" s="9"/>
      <c r="BQ542" s="9"/>
      <c r="BR542" s="9"/>
      <c r="BS542" s="9"/>
      <c r="BT542" s="9"/>
      <c r="BU542" s="9"/>
      <c r="BV542" s="9"/>
      <c r="BW542" s="9"/>
      <c r="BX542" s="9"/>
      <c r="BY542" s="8" t="s">
        <v>2419</v>
      </c>
      <c r="BZ542" s="9"/>
      <c r="CA542" s="9"/>
      <c r="CB542" s="8" t="s">
        <v>5523</v>
      </c>
      <c r="CC542" s="9"/>
      <c r="CD542" s="9"/>
      <c r="CE542" s="8" t="s">
        <v>115</v>
      </c>
      <c r="CF542" s="8" t="s">
        <v>5524</v>
      </c>
      <c r="CG542" s="9"/>
      <c r="CH542" s="9"/>
      <c r="CI542" s="9"/>
      <c r="CJ542" s="9"/>
      <c r="CK542" s="9"/>
      <c r="CL542" s="9"/>
      <c r="CM542" s="9"/>
      <c r="CN542" s="9"/>
      <c r="CO542" s="9"/>
      <c r="CP542" s="9"/>
    </row>
    <row r="543">
      <c r="A543" s="7" t="s">
        <v>5525</v>
      </c>
      <c r="B543" s="8" t="s">
        <v>5526</v>
      </c>
      <c r="C543" s="8" t="s">
        <v>5527</v>
      </c>
      <c r="D543" s="8" t="s">
        <v>94</v>
      </c>
      <c r="E543" s="8" t="s">
        <v>95</v>
      </c>
      <c r="F543" s="9"/>
      <c r="G543" s="8" t="s">
        <v>5528</v>
      </c>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t="str">
        <f t="shared" si="37"/>
        <v/>
      </c>
      <c r="AK543" s="8"/>
      <c r="AL543" s="8"/>
      <c r="AM543" s="8" t="s">
        <v>3500</v>
      </c>
      <c r="AN543" s="8" t="s">
        <v>5529</v>
      </c>
      <c r="AO543" s="9"/>
      <c r="AP543" s="9"/>
      <c r="AQ543" s="9"/>
      <c r="AR543" s="9"/>
      <c r="AS543" s="9"/>
      <c r="AT543" s="9"/>
      <c r="AU543" s="8" t="s">
        <v>5530</v>
      </c>
      <c r="AV543" s="9"/>
      <c r="AW543" s="9"/>
      <c r="AX543" s="9"/>
      <c r="AY543" s="8" t="s">
        <v>5338</v>
      </c>
      <c r="AZ543" s="8" t="b">
        <v>0</v>
      </c>
      <c r="BA543" s="8" t="s">
        <v>190</v>
      </c>
      <c r="BB543" s="8" t="s">
        <v>191</v>
      </c>
      <c r="BC543" s="8" t="s">
        <v>1767</v>
      </c>
      <c r="BD543" s="9"/>
      <c r="BE543" s="8" t="s">
        <v>5531</v>
      </c>
      <c r="BF543" s="9"/>
      <c r="BG543" s="9"/>
      <c r="BH543" s="9"/>
      <c r="BI543" s="9"/>
      <c r="BJ543" s="9"/>
      <c r="BK543" s="9"/>
      <c r="BL543" s="9"/>
      <c r="BM543" s="8" t="s">
        <v>5532</v>
      </c>
      <c r="BN543" s="8" t="s">
        <v>5533</v>
      </c>
      <c r="BO543" s="9"/>
      <c r="BP543" s="9"/>
      <c r="BQ543" s="9"/>
      <c r="BR543" s="8" t="s">
        <v>193</v>
      </c>
      <c r="BS543" s="8" t="s">
        <v>194</v>
      </c>
      <c r="BT543" s="9"/>
      <c r="BU543" s="9"/>
      <c r="BV543" s="9"/>
      <c r="BW543" s="9"/>
      <c r="BX543" s="9"/>
      <c r="BY543" s="9"/>
      <c r="BZ543" s="9"/>
      <c r="CA543" s="9"/>
      <c r="CB543" s="9"/>
      <c r="CC543" s="9"/>
      <c r="CD543" s="9"/>
      <c r="CE543" s="8" t="s">
        <v>115</v>
      </c>
      <c r="CF543" s="8" t="s">
        <v>5534</v>
      </c>
      <c r="CG543" s="9"/>
      <c r="CH543" s="9"/>
      <c r="CI543" s="9"/>
      <c r="CJ543" s="9"/>
      <c r="CK543" s="9"/>
      <c r="CL543" s="9"/>
      <c r="CM543" s="9"/>
      <c r="CN543" s="9"/>
      <c r="CO543" s="9"/>
      <c r="CP543" s="9"/>
    </row>
    <row r="544">
      <c r="A544" s="7" t="s">
        <v>5535</v>
      </c>
      <c r="B544" s="8" t="s">
        <v>5536</v>
      </c>
      <c r="C544" s="8" t="s">
        <v>5537</v>
      </c>
      <c r="D544" s="8" t="s">
        <v>94</v>
      </c>
      <c r="E544" s="8" t="s">
        <v>95</v>
      </c>
      <c r="F544" s="9"/>
      <c r="G544" s="8" t="s">
        <v>5538</v>
      </c>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t="str">
        <f t="shared" si="37"/>
        <v/>
      </c>
      <c r="AK544" s="8"/>
      <c r="AL544" s="8"/>
      <c r="AM544" s="8" t="s">
        <v>3500</v>
      </c>
      <c r="AN544" s="8" t="s">
        <v>5539</v>
      </c>
      <c r="AO544" s="9"/>
      <c r="AP544" s="9"/>
      <c r="AQ544" s="9"/>
      <c r="AR544" s="9"/>
      <c r="AS544" s="9"/>
      <c r="AT544" s="9"/>
      <c r="AU544" s="8" t="s">
        <v>5540</v>
      </c>
      <c r="AV544" s="9"/>
      <c r="AW544" s="9"/>
      <c r="AX544" s="9"/>
      <c r="AY544" s="8" t="s">
        <v>5338</v>
      </c>
      <c r="AZ544" s="8" t="b">
        <v>0</v>
      </c>
      <c r="BA544" s="8" t="s">
        <v>190</v>
      </c>
      <c r="BB544" s="8" t="s">
        <v>191</v>
      </c>
      <c r="BC544" s="8" t="s">
        <v>1767</v>
      </c>
      <c r="BD544" s="9"/>
      <c r="BE544" s="8" t="s">
        <v>5541</v>
      </c>
      <c r="BF544" s="9"/>
      <c r="BG544" s="9"/>
      <c r="BH544" s="9"/>
      <c r="BI544" s="9"/>
      <c r="BJ544" s="9"/>
      <c r="BK544" s="9"/>
      <c r="BL544" s="9"/>
      <c r="BM544" s="8" t="s">
        <v>5542</v>
      </c>
      <c r="BN544" s="8" t="s">
        <v>5543</v>
      </c>
      <c r="BO544" s="9"/>
      <c r="BP544" s="9"/>
      <c r="BQ544" s="9"/>
      <c r="BR544" s="8" t="s">
        <v>193</v>
      </c>
      <c r="BS544" s="8" t="s">
        <v>194</v>
      </c>
      <c r="BT544" s="9"/>
      <c r="BU544" s="9"/>
      <c r="BV544" s="9"/>
      <c r="BW544" s="9"/>
      <c r="BX544" s="9"/>
      <c r="BY544" s="9"/>
      <c r="BZ544" s="9"/>
      <c r="CA544" s="9"/>
      <c r="CB544" s="9"/>
      <c r="CC544" s="9"/>
      <c r="CD544" s="9"/>
      <c r="CE544" s="8" t="s">
        <v>115</v>
      </c>
      <c r="CF544" s="8" t="s">
        <v>5544</v>
      </c>
      <c r="CG544" s="9"/>
      <c r="CH544" s="9"/>
      <c r="CI544" s="9"/>
      <c r="CJ544" s="9"/>
      <c r="CK544" s="9"/>
      <c r="CL544" s="9"/>
      <c r="CM544" s="9"/>
      <c r="CN544" s="9"/>
      <c r="CO544" s="9"/>
      <c r="CP544" s="9"/>
    </row>
    <row r="545">
      <c r="A545" s="7" t="s">
        <v>5545</v>
      </c>
      <c r="B545" s="8" t="s">
        <v>5546</v>
      </c>
      <c r="C545" s="8" t="s">
        <v>5547</v>
      </c>
      <c r="D545" s="8" t="s">
        <v>94</v>
      </c>
      <c r="E545" s="8" t="s">
        <v>95</v>
      </c>
      <c r="F545" s="9"/>
      <c r="G545" s="8" t="s">
        <v>5548</v>
      </c>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t="str">
        <f t="shared" si="37"/>
        <v/>
      </c>
      <c r="AK545" s="8"/>
      <c r="AL545" s="8"/>
      <c r="AM545" s="8" t="s">
        <v>3500</v>
      </c>
      <c r="AN545" s="8" t="s">
        <v>5549</v>
      </c>
      <c r="AO545" s="9"/>
      <c r="AP545" s="9"/>
      <c r="AQ545" s="9"/>
      <c r="AR545" s="9"/>
      <c r="AS545" s="9"/>
      <c r="AT545" s="9"/>
      <c r="AU545" s="8" t="s">
        <v>5550</v>
      </c>
      <c r="AV545" s="9"/>
      <c r="AW545" s="9"/>
      <c r="AX545" s="9"/>
      <c r="AY545" s="8" t="s">
        <v>5338</v>
      </c>
      <c r="AZ545" s="8" t="b">
        <v>0</v>
      </c>
      <c r="BA545" s="8" t="s">
        <v>190</v>
      </c>
      <c r="BB545" s="8" t="s">
        <v>191</v>
      </c>
      <c r="BC545" s="8" t="s">
        <v>1767</v>
      </c>
      <c r="BD545" s="9"/>
      <c r="BE545" s="8" t="s">
        <v>5551</v>
      </c>
      <c r="BF545" s="9"/>
      <c r="BG545" s="9"/>
      <c r="BH545" s="9"/>
      <c r="BI545" s="9"/>
      <c r="BJ545" s="9"/>
      <c r="BK545" s="9"/>
      <c r="BL545" s="9"/>
      <c r="BM545" s="8" t="s">
        <v>5552</v>
      </c>
      <c r="BN545" s="8" t="s">
        <v>5553</v>
      </c>
      <c r="BO545" s="9"/>
      <c r="BP545" s="9"/>
      <c r="BQ545" s="9"/>
      <c r="BR545" s="8" t="s">
        <v>193</v>
      </c>
      <c r="BS545" s="8" t="s">
        <v>194</v>
      </c>
      <c r="BT545" s="9"/>
      <c r="BU545" s="9"/>
      <c r="BV545" s="8" t="s">
        <v>4313</v>
      </c>
      <c r="BW545" s="9"/>
      <c r="BX545" s="9"/>
      <c r="BY545" s="9"/>
      <c r="BZ545" s="9"/>
      <c r="CA545" s="9"/>
      <c r="CB545" s="9"/>
      <c r="CC545" s="9"/>
      <c r="CD545" s="9"/>
      <c r="CE545" s="8" t="s">
        <v>115</v>
      </c>
      <c r="CF545" s="8" t="s">
        <v>5554</v>
      </c>
      <c r="CG545" s="9"/>
      <c r="CH545" s="9"/>
      <c r="CI545" s="9"/>
      <c r="CJ545" s="9"/>
      <c r="CK545" s="9"/>
      <c r="CL545" s="9"/>
      <c r="CM545" s="9"/>
      <c r="CN545" s="9"/>
      <c r="CO545" s="9"/>
      <c r="CP545" s="9"/>
    </row>
    <row r="546">
      <c r="A546" s="7" t="s">
        <v>5555</v>
      </c>
      <c r="B546" s="8" t="s">
        <v>5556</v>
      </c>
      <c r="C546" s="8" t="s">
        <v>5557</v>
      </c>
      <c r="D546" s="8" t="s">
        <v>94</v>
      </c>
      <c r="E546" s="8" t="s">
        <v>95</v>
      </c>
      <c r="F546" s="9"/>
      <c r="G546" s="8" t="s">
        <v>5558</v>
      </c>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t="str">
        <f t="shared" si="37"/>
        <v/>
      </c>
      <c r="AK546" s="8"/>
      <c r="AL546" s="8"/>
      <c r="AM546" s="8" t="s">
        <v>3500</v>
      </c>
      <c r="AN546" s="8" t="s">
        <v>5559</v>
      </c>
      <c r="AO546" s="9"/>
      <c r="AP546" s="9"/>
      <c r="AQ546" s="9"/>
      <c r="AR546" s="9"/>
      <c r="AS546" s="9"/>
      <c r="AT546" s="9"/>
      <c r="AU546" s="8" t="s">
        <v>5560</v>
      </c>
      <c r="AV546" s="9"/>
      <c r="AW546" s="9"/>
      <c r="AX546" s="9"/>
      <c r="AY546" s="8" t="s">
        <v>5338</v>
      </c>
      <c r="AZ546" s="8" t="b">
        <v>0</v>
      </c>
      <c r="BA546" s="8" t="s">
        <v>190</v>
      </c>
      <c r="BB546" s="8" t="s">
        <v>191</v>
      </c>
      <c r="BC546" s="8" t="s">
        <v>1767</v>
      </c>
      <c r="BD546" s="9"/>
      <c r="BE546" s="8" t="s">
        <v>5561</v>
      </c>
      <c r="BF546" s="9"/>
      <c r="BG546" s="9"/>
      <c r="BH546" s="9"/>
      <c r="BI546" s="8" t="s">
        <v>5562</v>
      </c>
      <c r="BJ546" s="8" t="s">
        <v>5563</v>
      </c>
      <c r="BK546" s="9"/>
      <c r="BL546" s="9"/>
      <c r="BM546" s="8" t="s">
        <v>5552</v>
      </c>
      <c r="BN546" s="8" t="s">
        <v>5553</v>
      </c>
      <c r="BO546" s="9"/>
      <c r="BP546" s="9"/>
      <c r="BQ546" s="9"/>
      <c r="BR546" s="8" t="s">
        <v>193</v>
      </c>
      <c r="BS546" s="8" t="s">
        <v>194</v>
      </c>
      <c r="BT546" s="9"/>
      <c r="BU546" s="9"/>
      <c r="BV546" s="8" t="s">
        <v>3640</v>
      </c>
      <c r="BW546" s="9"/>
      <c r="BX546" s="9"/>
      <c r="BY546" s="9"/>
      <c r="BZ546" s="9"/>
      <c r="CA546" s="9"/>
      <c r="CB546" s="9"/>
      <c r="CC546" s="9"/>
      <c r="CD546" s="9"/>
      <c r="CE546" s="8" t="s">
        <v>115</v>
      </c>
      <c r="CF546" s="8" t="s">
        <v>5564</v>
      </c>
      <c r="CG546" s="9"/>
      <c r="CH546" s="9"/>
      <c r="CI546" s="9"/>
      <c r="CJ546" s="9"/>
      <c r="CK546" s="9"/>
      <c r="CL546" s="9"/>
      <c r="CM546" s="9"/>
      <c r="CN546" s="9"/>
      <c r="CO546" s="9"/>
      <c r="CP546" s="9"/>
    </row>
    <row r="547">
      <c r="A547" s="7" t="s">
        <v>5565</v>
      </c>
      <c r="B547" s="8" t="s">
        <v>5566</v>
      </c>
      <c r="C547" s="8" t="s">
        <v>5567</v>
      </c>
      <c r="D547" s="8" t="s">
        <v>94</v>
      </c>
      <c r="E547" s="8" t="s">
        <v>95</v>
      </c>
      <c r="F547" s="9"/>
      <c r="G547" s="8" t="s">
        <v>5568</v>
      </c>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t="str">
        <f t="shared" si="37"/>
        <v/>
      </c>
      <c r="AK547" s="8"/>
      <c r="AL547" s="8"/>
      <c r="AM547" s="8" t="s">
        <v>3500</v>
      </c>
      <c r="AN547" s="8" t="s">
        <v>5569</v>
      </c>
      <c r="AO547" s="9"/>
      <c r="AP547" s="9"/>
      <c r="AQ547" s="9"/>
      <c r="AR547" s="9"/>
      <c r="AS547" s="9"/>
      <c r="AT547" s="9"/>
      <c r="AU547" s="8" t="s">
        <v>5570</v>
      </c>
      <c r="AV547" s="9"/>
      <c r="AW547" s="9"/>
      <c r="AX547" s="9"/>
      <c r="AY547" s="8" t="s">
        <v>5338</v>
      </c>
      <c r="AZ547" s="8" t="b">
        <v>0</v>
      </c>
      <c r="BA547" s="8" t="s">
        <v>190</v>
      </c>
      <c r="BB547" s="8" t="s">
        <v>191</v>
      </c>
      <c r="BC547" s="8" t="s">
        <v>1767</v>
      </c>
      <c r="BD547" s="9"/>
      <c r="BE547" s="8" t="s">
        <v>5571</v>
      </c>
      <c r="BF547" s="9"/>
      <c r="BG547" s="9"/>
      <c r="BH547" s="9"/>
      <c r="BI547" s="9"/>
      <c r="BJ547" s="9"/>
      <c r="BK547" s="9"/>
      <c r="BL547" s="9"/>
      <c r="BM547" s="8" t="s">
        <v>5552</v>
      </c>
      <c r="BN547" s="8" t="s">
        <v>5553</v>
      </c>
      <c r="BO547" s="9"/>
      <c r="BP547" s="9"/>
      <c r="BQ547" s="9"/>
      <c r="BR547" s="8" t="s">
        <v>193</v>
      </c>
      <c r="BS547" s="8" t="s">
        <v>194</v>
      </c>
      <c r="BT547" s="9"/>
      <c r="BU547" s="9"/>
      <c r="BV547" s="9"/>
      <c r="BW547" s="9"/>
      <c r="BX547" s="9"/>
      <c r="BY547" s="9"/>
      <c r="BZ547" s="9"/>
      <c r="CA547" s="9"/>
      <c r="CB547" s="9"/>
      <c r="CC547" s="9"/>
      <c r="CD547" s="9"/>
      <c r="CE547" s="8" t="s">
        <v>115</v>
      </c>
      <c r="CF547" s="8" t="s">
        <v>5572</v>
      </c>
      <c r="CG547" s="9"/>
      <c r="CH547" s="9"/>
      <c r="CI547" s="9"/>
      <c r="CJ547" s="9"/>
      <c r="CK547" s="9"/>
      <c r="CL547" s="9"/>
      <c r="CM547" s="9"/>
      <c r="CN547" s="9"/>
      <c r="CO547" s="9"/>
      <c r="CP547" s="9"/>
    </row>
    <row r="548">
      <c r="A548" s="7" t="s">
        <v>5573</v>
      </c>
      <c r="B548" s="8" t="s">
        <v>5574</v>
      </c>
      <c r="C548" s="8" t="s">
        <v>5574</v>
      </c>
      <c r="D548" s="8" t="s">
        <v>94</v>
      </c>
      <c r="E548" s="8" t="s">
        <v>4764</v>
      </c>
      <c r="F548" s="9"/>
      <c r="G548" s="8" t="s">
        <v>5575</v>
      </c>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t="str">
        <f t="shared" si="37"/>
        <v/>
      </c>
      <c r="AK548" s="8"/>
      <c r="AL548" s="8"/>
      <c r="AM548" s="8" t="s">
        <v>5576</v>
      </c>
      <c r="AN548" s="8" t="s">
        <v>1288</v>
      </c>
      <c r="AO548" s="9"/>
      <c r="AP548" s="9"/>
      <c r="AQ548" s="9"/>
      <c r="AR548" s="9"/>
      <c r="AS548" s="9"/>
      <c r="AT548" s="9"/>
      <c r="AU548" s="9"/>
      <c r="AV548" s="9"/>
      <c r="AW548" s="9"/>
      <c r="AX548" s="9"/>
      <c r="AY548" s="8" t="s">
        <v>5338</v>
      </c>
      <c r="AZ548" s="8" t="b">
        <v>0</v>
      </c>
      <c r="BA548" s="8" t="s">
        <v>190</v>
      </c>
      <c r="BB548" s="8" t="s">
        <v>5577</v>
      </c>
      <c r="BC548" s="9"/>
      <c r="BD548" s="9"/>
      <c r="BE548" s="8" t="s">
        <v>5578</v>
      </c>
      <c r="BF548" s="9"/>
      <c r="BG548" s="9"/>
      <c r="BH548" s="9"/>
      <c r="BI548" s="9"/>
      <c r="BJ548" s="9"/>
      <c r="BK548" s="9"/>
      <c r="BL548" s="9"/>
      <c r="BM548" s="9"/>
      <c r="BN548" s="9"/>
      <c r="BO548" s="9"/>
      <c r="BP548" s="9"/>
      <c r="BQ548" s="9"/>
      <c r="BR548" s="8" t="s">
        <v>193</v>
      </c>
      <c r="BS548" s="8" t="s">
        <v>194</v>
      </c>
      <c r="BT548" s="8" t="s">
        <v>4303</v>
      </c>
      <c r="BU548" s="9"/>
      <c r="BV548" s="8" t="s">
        <v>4019</v>
      </c>
      <c r="BW548" s="9"/>
      <c r="BX548" s="9"/>
      <c r="BY548" s="8" t="s">
        <v>2419</v>
      </c>
      <c r="BZ548" s="9"/>
      <c r="CA548" s="9"/>
      <c r="CB548" s="8" t="s">
        <v>5579</v>
      </c>
      <c r="CC548" s="9"/>
      <c r="CD548" s="9"/>
      <c r="CE548" s="8" t="s">
        <v>115</v>
      </c>
      <c r="CF548" s="8" t="s">
        <v>5580</v>
      </c>
      <c r="CG548" s="9"/>
      <c r="CH548" s="9"/>
      <c r="CI548" s="9"/>
      <c r="CJ548" s="9"/>
      <c r="CK548" s="9"/>
      <c r="CL548" s="9"/>
      <c r="CM548" s="9"/>
      <c r="CN548" s="9"/>
      <c r="CO548" s="9"/>
      <c r="CP548" s="9"/>
    </row>
    <row r="549">
      <c r="A549" s="7" t="s">
        <v>5581</v>
      </c>
      <c r="B549" s="8" t="s">
        <v>5582</v>
      </c>
      <c r="C549" s="8" t="s">
        <v>5582</v>
      </c>
      <c r="D549" s="8" t="s">
        <v>354</v>
      </c>
      <c r="E549" s="8" t="s">
        <v>355</v>
      </c>
      <c r="F549" s="9"/>
      <c r="G549" s="8" t="s">
        <v>5583</v>
      </c>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t="str">
        <f t="shared" si="37"/>
        <v/>
      </c>
      <c r="AK549" s="8"/>
      <c r="AL549" s="8"/>
      <c r="AM549" s="8" t="s">
        <v>2564</v>
      </c>
      <c r="AN549" s="9"/>
      <c r="AO549" s="9"/>
      <c r="AP549" s="9"/>
      <c r="AQ549" s="9"/>
      <c r="AR549" s="9"/>
      <c r="AS549" s="9"/>
      <c r="AT549" s="9"/>
      <c r="AU549" s="8" t="s">
        <v>5584</v>
      </c>
      <c r="AV549" s="9"/>
      <c r="AW549" s="8" t="s">
        <v>1974</v>
      </c>
      <c r="AX549" s="8" t="s">
        <v>302</v>
      </c>
      <c r="AY549" s="8" t="s">
        <v>5338</v>
      </c>
      <c r="AZ549" s="8" t="b">
        <v>0</v>
      </c>
      <c r="BA549" s="8" t="s">
        <v>190</v>
      </c>
      <c r="BB549" s="8" t="s">
        <v>5585</v>
      </c>
      <c r="BC549" s="9"/>
      <c r="BD549" s="8" t="s">
        <v>5074</v>
      </c>
      <c r="BE549" s="8" t="s">
        <v>2495</v>
      </c>
      <c r="BF549" s="9"/>
      <c r="BG549" s="9"/>
      <c r="BH549" s="9"/>
      <c r="BI549" s="8" t="s">
        <v>5586</v>
      </c>
      <c r="BJ549" s="8" t="s">
        <v>2946</v>
      </c>
      <c r="BK549" s="9"/>
      <c r="BL549" s="9"/>
      <c r="BM549" s="9"/>
      <c r="BN549" s="9"/>
      <c r="BO549" s="9"/>
      <c r="BP549" s="9"/>
      <c r="BQ549" s="9"/>
      <c r="BR549" s="9"/>
      <c r="BS549" s="9"/>
      <c r="BT549" s="9"/>
      <c r="BU549" s="9"/>
      <c r="BV549" s="9"/>
      <c r="BW549" s="9"/>
      <c r="BX549" s="9"/>
      <c r="BY549" s="9"/>
      <c r="BZ549" s="9"/>
      <c r="CA549" s="9"/>
      <c r="CB549" s="8" t="s">
        <v>5587</v>
      </c>
      <c r="CC549" s="9"/>
      <c r="CD549" s="9"/>
      <c r="CE549" s="8" t="s">
        <v>366</v>
      </c>
      <c r="CF549" s="9"/>
      <c r="CG549" s="9"/>
      <c r="CH549" s="9"/>
      <c r="CI549" s="9"/>
      <c r="CJ549" s="9"/>
      <c r="CK549" s="9"/>
      <c r="CL549" s="9"/>
      <c r="CM549" s="9"/>
      <c r="CN549" s="9"/>
      <c r="CO549" s="9"/>
      <c r="CP549" s="9"/>
    </row>
    <row r="550">
      <c r="A550" s="7" t="s">
        <v>5588</v>
      </c>
      <c r="B550" s="8" t="s">
        <v>5589</v>
      </c>
      <c r="C550" s="8" t="s">
        <v>5589</v>
      </c>
      <c r="D550" s="8" t="s">
        <v>354</v>
      </c>
      <c r="E550" s="8" t="s">
        <v>355</v>
      </c>
      <c r="F550" s="8" t="s">
        <v>5590</v>
      </c>
      <c r="G550" s="8" t="s">
        <v>5591</v>
      </c>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t="str">
        <f t="shared" si="37"/>
        <v/>
      </c>
      <c r="AK550" s="8"/>
      <c r="AL550" s="8"/>
      <c r="AM550" s="8" t="s">
        <v>5592</v>
      </c>
      <c r="AN550" s="9"/>
      <c r="AO550" s="9"/>
      <c r="AP550" s="9"/>
      <c r="AQ550" s="9"/>
      <c r="AR550" s="9"/>
      <c r="AS550" s="9"/>
      <c r="AT550" s="9"/>
      <c r="AU550" s="8" t="s">
        <v>5593</v>
      </c>
      <c r="AV550" s="9"/>
      <c r="AW550" s="8" t="s">
        <v>1974</v>
      </c>
      <c r="AX550" s="8" t="s">
        <v>2766</v>
      </c>
      <c r="AY550" s="8" t="s">
        <v>5338</v>
      </c>
      <c r="AZ550" s="8" t="b">
        <v>0</v>
      </c>
      <c r="BA550" s="8" t="s">
        <v>190</v>
      </c>
      <c r="BB550" s="8" t="s">
        <v>2566</v>
      </c>
      <c r="BC550" s="9"/>
      <c r="BD550" s="9"/>
      <c r="BE550" s="8" t="s">
        <v>361</v>
      </c>
      <c r="BF550" s="9"/>
      <c r="BG550" s="9"/>
      <c r="BH550" s="9"/>
      <c r="BI550" s="8" t="s">
        <v>5594</v>
      </c>
      <c r="BJ550" s="8" t="s">
        <v>5595</v>
      </c>
      <c r="BK550" s="9"/>
      <c r="BL550" s="9"/>
      <c r="BM550" s="9"/>
      <c r="BN550" s="9"/>
      <c r="BO550" s="9"/>
      <c r="BP550" s="9"/>
      <c r="BQ550" s="9"/>
      <c r="BR550" s="8" t="s">
        <v>193</v>
      </c>
      <c r="BS550" s="8" t="s">
        <v>5596</v>
      </c>
      <c r="BT550" s="9"/>
      <c r="BU550" s="9"/>
      <c r="BV550" s="8" t="s">
        <v>5597</v>
      </c>
      <c r="BW550" s="9"/>
      <c r="BX550" s="9"/>
      <c r="BY550" s="9"/>
      <c r="BZ550" s="9"/>
      <c r="CA550" s="9"/>
      <c r="CB550" s="8" t="s">
        <v>5598</v>
      </c>
      <c r="CC550" s="9"/>
      <c r="CD550" s="9"/>
      <c r="CE550" s="8" t="s">
        <v>366</v>
      </c>
      <c r="CF550" s="9"/>
      <c r="CG550" s="9"/>
      <c r="CH550" s="9"/>
      <c r="CI550" s="9"/>
      <c r="CJ550" s="9"/>
      <c r="CK550" s="9"/>
      <c r="CL550" s="9"/>
      <c r="CM550" s="9"/>
      <c r="CN550" s="9"/>
      <c r="CO550" s="9"/>
      <c r="CP550" s="9"/>
    </row>
    <row r="551">
      <c r="A551" s="7" t="s">
        <v>5599</v>
      </c>
      <c r="B551" s="8" t="s">
        <v>5600</v>
      </c>
      <c r="C551" s="8" t="s">
        <v>5600</v>
      </c>
      <c r="D551" s="8" t="s">
        <v>354</v>
      </c>
      <c r="E551" s="8" t="s">
        <v>355</v>
      </c>
      <c r="F551" s="9"/>
      <c r="G551" s="8" t="s">
        <v>5601</v>
      </c>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t="str">
        <f t="shared" si="37"/>
        <v/>
      </c>
      <c r="AK551" s="8"/>
      <c r="AL551" s="8"/>
      <c r="AM551" s="8" t="s">
        <v>5592</v>
      </c>
      <c r="AN551" s="9"/>
      <c r="AO551" s="9"/>
      <c r="AP551" s="9"/>
      <c r="AQ551" s="9"/>
      <c r="AR551" s="9"/>
      <c r="AS551" s="9"/>
      <c r="AT551" s="9"/>
      <c r="AU551" s="8" t="s">
        <v>5602</v>
      </c>
      <c r="AV551" s="9"/>
      <c r="AW551" s="8" t="s">
        <v>1974</v>
      </c>
      <c r="AX551" s="8" t="s">
        <v>302</v>
      </c>
      <c r="AY551" s="8" t="s">
        <v>5338</v>
      </c>
      <c r="AZ551" s="8" t="b">
        <v>0</v>
      </c>
      <c r="BA551" s="8" t="s">
        <v>190</v>
      </c>
      <c r="BB551" s="8" t="s">
        <v>2566</v>
      </c>
      <c r="BC551" s="9"/>
      <c r="BD551" s="9"/>
      <c r="BE551" s="8" t="s">
        <v>2194</v>
      </c>
      <c r="BF551" s="9"/>
      <c r="BG551" s="9"/>
      <c r="BH551" s="9"/>
      <c r="BI551" s="8" t="s">
        <v>5603</v>
      </c>
      <c r="BJ551" s="8" t="s">
        <v>5604</v>
      </c>
      <c r="BK551" s="9"/>
      <c r="BL551" s="9"/>
      <c r="BM551" s="9"/>
      <c r="BN551" s="9"/>
      <c r="BO551" s="9"/>
      <c r="BP551" s="9"/>
      <c r="BQ551" s="9"/>
      <c r="BR551" s="8" t="s">
        <v>193</v>
      </c>
      <c r="BS551" s="8" t="s">
        <v>5605</v>
      </c>
      <c r="BT551" s="9"/>
      <c r="BU551" s="8" t="s">
        <v>5606</v>
      </c>
      <c r="BV551" s="8" t="s">
        <v>5607</v>
      </c>
      <c r="BW551" s="9"/>
      <c r="BX551" s="9"/>
      <c r="BY551" s="9"/>
      <c r="BZ551" s="9"/>
      <c r="CA551" s="9"/>
      <c r="CB551" s="8" t="s">
        <v>5608</v>
      </c>
      <c r="CC551" s="9"/>
      <c r="CD551" s="9"/>
      <c r="CE551" s="8" t="s">
        <v>366</v>
      </c>
      <c r="CF551" s="9"/>
      <c r="CG551" s="9"/>
      <c r="CH551" s="9"/>
      <c r="CI551" s="9"/>
      <c r="CJ551" s="9"/>
      <c r="CK551" s="9"/>
      <c r="CL551" s="9"/>
      <c r="CM551" s="9"/>
      <c r="CN551" s="9"/>
      <c r="CO551" s="9"/>
      <c r="CP551" s="9"/>
    </row>
  </sheetData>
  <hyperlinks>
    <hyperlink r:id="rId4" ref="A2"/>
    <hyperlink r:id="rId5" ref="A3"/>
    <hyperlink r:id="rId6" ref="A4"/>
    <hyperlink r:id="rId7" ref="A5"/>
    <hyperlink r:id="rId8" ref="A6"/>
    <hyperlink r:id="rId9" ref="A7"/>
    <hyperlink r:id="rId10" ref="A8"/>
    <hyperlink r:id="rId11" ref="A9"/>
    <hyperlink r:id="rId12" ref="A10"/>
    <hyperlink r:id="rId13" ref="A11"/>
    <hyperlink r:id="rId14" ref="A12"/>
    <hyperlink r:id="rId15" ref="A13"/>
    <hyperlink r:id="rId16" ref="A14"/>
    <hyperlink r:id="rId17" ref="A15"/>
    <hyperlink r:id="rId18" ref="A16"/>
    <hyperlink r:id="rId19" ref="A17"/>
    <hyperlink r:id="rId20" ref="A18"/>
    <hyperlink r:id="rId21" ref="A19"/>
    <hyperlink r:id="rId22" ref="A20"/>
    <hyperlink r:id="rId23" ref="A21"/>
    <hyperlink r:id="rId24" ref="A22"/>
    <hyperlink r:id="rId25" ref="A23"/>
    <hyperlink r:id="rId26" ref="A24"/>
    <hyperlink r:id="rId27" ref="A25"/>
    <hyperlink r:id="rId28" ref="A26"/>
    <hyperlink r:id="rId29" ref="A27"/>
    <hyperlink r:id="rId30" ref="A28"/>
    <hyperlink r:id="rId31" ref="A29"/>
    <hyperlink r:id="rId32" ref="A30"/>
    <hyperlink r:id="rId33" ref="A31"/>
    <hyperlink r:id="rId34" ref="A32"/>
    <hyperlink r:id="rId35" ref="A33"/>
    <hyperlink r:id="rId36" ref="A34"/>
    <hyperlink r:id="rId37" ref="A35"/>
    <hyperlink r:id="rId38" ref="A36"/>
    <hyperlink r:id="rId39" ref="A37"/>
    <hyperlink r:id="rId40" ref="A38"/>
    <hyperlink r:id="rId41" ref="A39"/>
    <hyperlink r:id="rId42" ref="A40"/>
    <hyperlink r:id="rId43" ref="A41"/>
    <hyperlink r:id="rId44" ref="A42"/>
    <hyperlink r:id="rId45" ref="A43"/>
    <hyperlink r:id="rId46" ref="A44"/>
    <hyperlink r:id="rId47" ref="A45"/>
    <hyperlink r:id="rId48" ref="A46"/>
    <hyperlink r:id="rId49" ref="A47"/>
    <hyperlink r:id="rId50" ref="A48"/>
    <hyperlink r:id="rId51" ref="A49"/>
    <hyperlink r:id="rId52" ref="A50"/>
    <hyperlink r:id="rId53" ref="A51"/>
    <hyperlink r:id="rId54" ref="A52"/>
    <hyperlink r:id="rId55" ref="A53"/>
    <hyperlink r:id="rId56" ref="A54"/>
    <hyperlink r:id="rId57" ref="A55"/>
    <hyperlink r:id="rId58" ref="A56"/>
    <hyperlink r:id="rId59" ref="A57"/>
    <hyperlink r:id="rId60" ref="A58"/>
    <hyperlink r:id="rId61" ref="A59"/>
    <hyperlink r:id="rId62" ref="A60"/>
    <hyperlink r:id="rId63" ref="A61"/>
    <hyperlink r:id="rId64" ref="A62"/>
    <hyperlink r:id="rId65" ref="A63"/>
    <hyperlink r:id="rId66" ref="A64"/>
    <hyperlink r:id="rId67" ref="A65"/>
    <hyperlink r:id="rId68" ref="A66"/>
    <hyperlink r:id="rId69" ref="A67"/>
    <hyperlink r:id="rId70" ref="A68"/>
    <hyperlink r:id="rId71" ref="A69"/>
    <hyperlink r:id="rId72" ref="A70"/>
    <hyperlink r:id="rId73" ref="A71"/>
    <hyperlink r:id="rId74" ref="A72"/>
    <hyperlink r:id="rId75" ref="A73"/>
    <hyperlink r:id="rId76" ref="A74"/>
    <hyperlink r:id="rId77" ref="A75"/>
    <hyperlink r:id="rId78" ref="A76"/>
    <hyperlink r:id="rId79" ref="A77"/>
    <hyperlink r:id="rId80" ref="A78"/>
    <hyperlink r:id="rId81" ref="A79"/>
    <hyperlink r:id="rId82" ref="A80"/>
    <hyperlink r:id="rId83" ref="A81"/>
    <hyperlink r:id="rId84" ref="A82"/>
    <hyperlink r:id="rId85" ref="A83"/>
    <hyperlink r:id="rId86" ref="A84"/>
    <hyperlink r:id="rId87" ref="A85"/>
    <hyperlink r:id="rId88" ref="A86"/>
    <hyperlink r:id="rId89" ref="A87"/>
    <hyperlink r:id="rId90" ref="A88"/>
    <hyperlink r:id="rId91" ref="A89"/>
    <hyperlink r:id="rId92" ref="A90"/>
    <hyperlink r:id="rId93" ref="A91"/>
    <hyperlink r:id="rId94" ref="A92"/>
    <hyperlink r:id="rId95" ref="A93"/>
    <hyperlink r:id="rId96" ref="A94"/>
    <hyperlink r:id="rId97" ref="A95"/>
    <hyperlink r:id="rId98" ref="A96"/>
    <hyperlink r:id="rId99" ref="A97"/>
    <hyperlink r:id="rId100" ref="A98"/>
    <hyperlink r:id="rId101" ref="A99"/>
    <hyperlink r:id="rId102" ref="A100"/>
    <hyperlink r:id="rId103" ref="A101"/>
    <hyperlink r:id="rId104" ref="A102"/>
    <hyperlink r:id="rId105" ref="A103"/>
    <hyperlink r:id="rId106" ref="A104"/>
    <hyperlink r:id="rId107" ref="A105"/>
    <hyperlink r:id="rId108" ref="A106"/>
    <hyperlink r:id="rId109" ref="A107"/>
    <hyperlink r:id="rId110" ref="A108"/>
    <hyperlink r:id="rId111" ref="A109"/>
    <hyperlink r:id="rId112" ref="A110"/>
    <hyperlink r:id="rId113" ref="A111"/>
    <hyperlink r:id="rId114" ref="A112"/>
    <hyperlink r:id="rId115" ref="A113"/>
    <hyperlink r:id="rId116" ref="A114"/>
    <hyperlink r:id="rId117" ref="A115"/>
    <hyperlink r:id="rId118" ref="A116"/>
    <hyperlink r:id="rId119" ref="A117"/>
    <hyperlink r:id="rId120" ref="A118"/>
    <hyperlink r:id="rId121" ref="A119"/>
    <hyperlink r:id="rId122" ref="A120"/>
    <hyperlink r:id="rId123" ref="A121"/>
    <hyperlink r:id="rId124" ref="A122"/>
    <hyperlink r:id="rId125" ref="A123"/>
    <hyperlink r:id="rId126" ref="A124"/>
    <hyperlink r:id="rId127" ref="A125"/>
    <hyperlink r:id="rId128" ref="A126"/>
    <hyperlink r:id="rId129" ref="A127"/>
    <hyperlink r:id="rId130" ref="A128"/>
    <hyperlink r:id="rId131" ref="A129"/>
    <hyperlink r:id="rId132" ref="A130"/>
    <hyperlink r:id="rId133" ref="A131"/>
    <hyperlink r:id="rId134" ref="A132"/>
    <hyperlink r:id="rId135" ref="A133"/>
    <hyperlink r:id="rId136" ref="A134"/>
    <hyperlink r:id="rId137" ref="A135"/>
    <hyperlink r:id="rId138" ref="A136"/>
    <hyperlink r:id="rId139" ref="A137"/>
    <hyperlink r:id="rId140" ref="A138"/>
    <hyperlink r:id="rId141" ref="A139"/>
    <hyperlink r:id="rId142" ref="A140"/>
    <hyperlink r:id="rId143" ref="A141"/>
    <hyperlink r:id="rId144" ref="A142"/>
    <hyperlink r:id="rId145" ref="A143"/>
    <hyperlink r:id="rId146" ref="A144"/>
    <hyperlink r:id="rId147" ref="A145"/>
    <hyperlink r:id="rId148" ref="A146"/>
    <hyperlink r:id="rId149" ref="A147"/>
    <hyperlink r:id="rId150" ref="A148"/>
    <hyperlink r:id="rId151" ref="A149"/>
    <hyperlink r:id="rId152" ref="A150"/>
    <hyperlink r:id="rId153" ref="A151"/>
    <hyperlink r:id="rId154" ref="A152"/>
    <hyperlink r:id="rId155" ref="A153"/>
    <hyperlink r:id="rId156" ref="A154"/>
    <hyperlink r:id="rId157" ref="A155"/>
    <hyperlink r:id="rId158" ref="A156"/>
    <hyperlink r:id="rId159" ref="A157"/>
    <hyperlink r:id="rId160" ref="A158"/>
    <hyperlink r:id="rId161" ref="A159"/>
    <hyperlink r:id="rId162" ref="A160"/>
    <hyperlink r:id="rId163" ref="A161"/>
    <hyperlink r:id="rId164" ref="A162"/>
    <hyperlink r:id="rId165" ref="A163"/>
    <hyperlink r:id="rId166" ref="A164"/>
    <hyperlink r:id="rId167" ref="A165"/>
    <hyperlink r:id="rId168" ref="A166"/>
    <hyperlink r:id="rId169" ref="A167"/>
    <hyperlink r:id="rId170" ref="A168"/>
    <hyperlink r:id="rId171" ref="A169"/>
    <hyperlink r:id="rId172" ref="A170"/>
    <hyperlink r:id="rId173" ref="A171"/>
    <hyperlink r:id="rId174" ref="A172"/>
    <hyperlink r:id="rId175" ref="A173"/>
    <hyperlink r:id="rId176" ref="A174"/>
    <hyperlink r:id="rId177" ref="A175"/>
    <hyperlink r:id="rId178" ref="A176"/>
    <hyperlink r:id="rId179" ref="A177"/>
    <hyperlink r:id="rId180" ref="A178"/>
    <hyperlink r:id="rId181" ref="A179"/>
    <hyperlink r:id="rId182" ref="A180"/>
    <hyperlink r:id="rId183" ref="A181"/>
    <hyperlink r:id="rId184" ref="A182"/>
    <hyperlink r:id="rId185" ref="A183"/>
    <hyperlink r:id="rId186" ref="A184"/>
    <hyperlink r:id="rId187" ref="A185"/>
    <hyperlink r:id="rId188" ref="A186"/>
    <hyperlink r:id="rId189" ref="A187"/>
    <hyperlink r:id="rId190" ref="A188"/>
    <hyperlink r:id="rId191" ref="A189"/>
    <hyperlink r:id="rId192" ref="A190"/>
    <hyperlink r:id="rId193" ref="A191"/>
    <hyperlink r:id="rId194" ref="A192"/>
    <hyperlink r:id="rId195" ref="A193"/>
    <hyperlink r:id="rId196" ref="A194"/>
    <hyperlink r:id="rId197" ref="A195"/>
    <hyperlink r:id="rId198" ref="A196"/>
    <hyperlink r:id="rId199" ref="A197"/>
    <hyperlink r:id="rId200" ref="A198"/>
    <hyperlink r:id="rId201" ref="A199"/>
    <hyperlink r:id="rId202" ref="A200"/>
    <hyperlink r:id="rId203" ref="A201"/>
    <hyperlink r:id="rId204" ref="A202"/>
    <hyperlink r:id="rId205" ref="A203"/>
    <hyperlink r:id="rId206" ref="A204"/>
    <hyperlink r:id="rId207" ref="A205"/>
    <hyperlink r:id="rId208" ref="A206"/>
    <hyperlink r:id="rId209" ref="A207"/>
    <hyperlink r:id="rId210" ref="A208"/>
    <hyperlink r:id="rId211" ref="A209"/>
    <hyperlink r:id="rId212" ref="A210"/>
    <hyperlink r:id="rId213" ref="A211"/>
    <hyperlink r:id="rId214" ref="A212"/>
    <hyperlink r:id="rId215" ref="A213"/>
    <hyperlink r:id="rId216" ref="A214"/>
    <hyperlink r:id="rId217" ref="A215"/>
    <hyperlink r:id="rId218" ref="A216"/>
    <hyperlink r:id="rId219" ref="A217"/>
    <hyperlink r:id="rId220" ref="A218"/>
    <hyperlink r:id="rId221" ref="A219"/>
    <hyperlink r:id="rId222" ref="A220"/>
    <hyperlink r:id="rId223" ref="A221"/>
    <hyperlink r:id="rId224" ref="A222"/>
    <hyperlink r:id="rId225" ref="A223"/>
    <hyperlink r:id="rId226" ref="A224"/>
    <hyperlink r:id="rId227" ref="A225"/>
    <hyperlink r:id="rId228" ref="A226"/>
    <hyperlink r:id="rId229" ref="A227"/>
    <hyperlink r:id="rId230" ref="A228"/>
    <hyperlink r:id="rId231" ref="A229"/>
    <hyperlink r:id="rId232" ref="A230"/>
    <hyperlink r:id="rId233" ref="A231"/>
    <hyperlink r:id="rId234" ref="A232"/>
    <hyperlink r:id="rId235" ref="A233"/>
    <hyperlink r:id="rId236" ref="A234"/>
    <hyperlink r:id="rId237" ref="A235"/>
    <hyperlink r:id="rId238" ref="A236"/>
    <hyperlink r:id="rId239" ref="A237"/>
    <hyperlink r:id="rId240" ref="A238"/>
    <hyperlink r:id="rId241" ref="A239"/>
    <hyperlink r:id="rId242" ref="A240"/>
    <hyperlink r:id="rId243" ref="A241"/>
    <hyperlink r:id="rId244" ref="A242"/>
    <hyperlink r:id="rId245" ref="A243"/>
    <hyperlink r:id="rId246" ref="A244"/>
    <hyperlink r:id="rId247" ref="A245"/>
    <hyperlink r:id="rId248" ref="A246"/>
    <hyperlink r:id="rId249" ref="A247"/>
    <hyperlink r:id="rId250" ref="A248"/>
    <hyperlink r:id="rId251" ref="A249"/>
    <hyperlink r:id="rId252" ref="A250"/>
    <hyperlink r:id="rId253" ref="A251"/>
    <hyperlink r:id="rId254" ref="A252"/>
    <hyperlink r:id="rId255" ref="A253"/>
    <hyperlink r:id="rId256" ref="A254"/>
    <hyperlink r:id="rId257" ref="A255"/>
    <hyperlink r:id="rId258" ref="A256"/>
    <hyperlink r:id="rId259" ref="A257"/>
    <hyperlink r:id="rId260" ref="A258"/>
    <hyperlink r:id="rId261" ref="A259"/>
    <hyperlink r:id="rId262" ref="A260"/>
    <hyperlink r:id="rId263" ref="A261"/>
    <hyperlink r:id="rId264" ref="A262"/>
    <hyperlink r:id="rId265" ref="A263"/>
    <hyperlink r:id="rId266" ref="A264"/>
    <hyperlink r:id="rId267" ref="A265"/>
    <hyperlink r:id="rId268" ref="A266"/>
    <hyperlink r:id="rId269" ref="A267"/>
    <hyperlink r:id="rId270" ref="A268"/>
    <hyperlink r:id="rId271" ref="A269"/>
    <hyperlink r:id="rId272" ref="A270"/>
    <hyperlink r:id="rId273" ref="A271"/>
    <hyperlink r:id="rId274" ref="A272"/>
    <hyperlink r:id="rId275" ref="A273"/>
    <hyperlink r:id="rId276" ref="A274"/>
    <hyperlink r:id="rId277" ref="A275"/>
    <hyperlink r:id="rId278" ref="A276"/>
    <hyperlink r:id="rId279" ref="A277"/>
    <hyperlink r:id="rId280" ref="A278"/>
    <hyperlink r:id="rId281" ref="A279"/>
    <hyperlink r:id="rId282" ref="A280"/>
    <hyperlink r:id="rId283" ref="A281"/>
    <hyperlink r:id="rId284" ref="A282"/>
    <hyperlink r:id="rId285" ref="A283"/>
    <hyperlink r:id="rId286" ref="A284"/>
    <hyperlink r:id="rId287" ref="A285"/>
    <hyperlink r:id="rId288" ref="A286"/>
    <hyperlink r:id="rId289" ref="A287"/>
    <hyperlink r:id="rId290" ref="A288"/>
    <hyperlink r:id="rId291" ref="A289"/>
    <hyperlink r:id="rId292" ref="A290"/>
    <hyperlink r:id="rId293" ref="A291"/>
    <hyperlink r:id="rId294" ref="A292"/>
    <hyperlink r:id="rId295" ref="A293"/>
    <hyperlink r:id="rId296" ref="A294"/>
    <hyperlink r:id="rId297" ref="A295"/>
    <hyperlink r:id="rId298" ref="A296"/>
    <hyperlink r:id="rId299" ref="A297"/>
    <hyperlink r:id="rId300" ref="A298"/>
    <hyperlink r:id="rId301" ref="A299"/>
    <hyperlink r:id="rId302" ref="A300"/>
    <hyperlink r:id="rId303" ref="A301"/>
    <hyperlink r:id="rId304" ref="A302"/>
    <hyperlink r:id="rId305" ref="A303"/>
    <hyperlink r:id="rId306" ref="A304"/>
    <hyperlink r:id="rId307" ref="A305"/>
    <hyperlink r:id="rId308" ref="A306"/>
    <hyperlink r:id="rId309" ref="A307"/>
    <hyperlink r:id="rId310" ref="A308"/>
    <hyperlink r:id="rId311" ref="A309"/>
    <hyperlink r:id="rId312" ref="A310"/>
    <hyperlink r:id="rId313" ref="A311"/>
    <hyperlink r:id="rId314" ref="A312"/>
    <hyperlink r:id="rId315" ref="A313"/>
    <hyperlink r:id="rId316" ref="A314"/>
    <hyperlink r:id="rId317" ref="A315"/>
    <hyperlink r:id="rId318" ref="A316"/>
    <hyperlink r:id="rId319" ref="A317"/>
    <hyperlink r:id="rId320" ref="A318"/>
    <hyperlink r:id="rId321" ref="A319"/>
    <hyperlink r:id="rId322" ref="A320"/>
    <hyperlink r:id="rId323" ref="A321"/>
    <hyperlink r:id="rId324" ref="A322"/>
    <hyperlink r:id="rId325" ref="A323"/>
    <hyperlink r:id="rId326" ref="A324"/>
    <hyperlink r:id="rId327" ref="A325"/>
    <hyperlink r:id="rId328" ref="A326"/>
    <hyperlink r:id="rId329" ref="A327"/>
    <hyperlink r:id="rId330" ref="A328"/>
    <hyperlink r:id="rId331" ref="A329"/>
    <hyperlink r:id="rId332" ref="A330"/>
    <hyperlink r:id="rId333" ref="A331"/>
    <hyperlink r:id="rId334" ref="A332"/>
    <hyperlink r:id="rId335" ref="A333"/>
    <hyperlink r:id="rId336" ref="A334"/>
    <hyperlink r:id="rId337" ref="A335"/>
    <hyperlink r:id="rId338" ref="A336"/>
    <hyperlink r:id="rId339" ref="A337"/>
    <hyperlink r:id="rId340" ref="A338"/>
    <hyperlink r:id="rId341" ref="A339"/>
    <hyperlink r:id="rId342" ref="A340"/>
    <hyperlink r:id="rId343" ref="A341"/>
    <hyperlink r:id="rId344" ref="A342"/>
    <hyperlink r:id="rId345" ref="A343"/>
    <hyperlink r:id="rId346" ref="A344"/>
    <hyperlink r:id="rId347" ref="A345"/>
    <hyperlink r:id="rId348" ref="A346"/>
    <hyperlink r:id="rId349" ref="A347"/>
    <hyperlink r:id="rId350" ref="A348"/>
    <hyperlink r:id="rId351" ref="A349"/>
    <hyperlink r:id="rId352" ref="A350"/>
    <hyperlink r:id="rId353" ref="A351"/>
    <hyperlink r:id="rId354" ref="A352"/>
    <hyperlink r:id="rId355" ref="A354"/>
    <hyperlink r:id="rId356" ref="A355"/>
    <hyperlink r:id="rId357" ref="A356"/>
    <hyperlink r:id="rId358" ref="A357"/>
    <hyperlink r:id="rId359" ref="A358"/>
    <hyperlink r:id="rId360" ref="A359"/>
    <hyperlink r:id="rId361" ref="A360"/>
    <hyperlink r:id="rId362" ref="A361"/>
    <hyperlink r:id="rId363" ref="A362"/>
    <hyperlink r:id="rId364" ref="A363"/>
    <hyperlink r:id="rId365" ref="A364"/>
    <hyperlink r:id="rId366" ref="A365"/>
    <hyperlink r:id="rId367" ref="A366"/>
    <hyperlink r:id="rId368" ref="A367"/>
    <hyperlink r:id="rId369" ref="A368"/>
    <hyperlink r:id="rId370" ref="A369"/>
    <hyperlink r:id="rId371" ref="A370"/>
    <hyperlink r:id="rId372" ref="A371"/>
    <hyperlink r:id="rId373" ref="A372"/>
    <hyperlink r:id="rId374" ref="A373"/>
    <hyperlink r:id="rId375" ref="A374"/>
    <hyperlink r:id="rId376" ref="A375"/>
    <hyperlink r:id="rId377" ref="A376"/>
    <hyperlink r:id="rId378" ref="A377"/>
    <hyperlink r:id="rId379" ref="A378"/>
    <hyperlink r:id="rId380" ref="A379"/>
    <hyperlink r:id="rId381" ref="A380"/>
    <hyperlink r:id="rId382" ref="A381"/>
    <hyperlink r:id="rId383" ref="A382"/>
    <hyperlink r:id="rId384" ref="A383"/>
    <hyperlink r:id="rId385" ref="A384"/>
    <hyperlink r:id="rId386" ref="A385"/>
    <hyperlink r:id="rId387" ref="A386"/>
    <hyperlink r:id="rId388" ref="A387"/>
    <hyperlink r:id="rId389" ref="A388"/>
    <hyperlink r:id="rId390" ref="A389"/>
    <hyperlink r:id="rId391" ref="A390"/>
    <hyperlink r:id="rId392" ref="A391"/>
    <hyperlink r:id="rId393" ref="A392"/>
    <hyperlink r:id="rId394" ref="A393"/>
    <hyperlink r:id="rId395" ref="A394"/>
    <hyperlink r:id="rId396" ref="A395"/>
    <hyperlink r:id="rId397" ref="A396"/>
    <hyperlink r:id="rId398" ref="A397"/>
    <hyperlink r:id="rId399" ref="A398"/>
    <hyperlink r:id="rId400" ref="A399"/>
    <hyperlink r:id="rId401" ref="A400"/>
    <hyperlink r:id="rId402" ref="A401"/>
    <hyperlink r:id="rId403" ref="A402"/>
    <hyperlink r:id="rId404" ref="A403"/>
    <hyperlink r:id="rId405" ref="A404"/>
    <hyperlink r:id="rId406" ref="A405"/>
    <hyperlink r:id="rId407" ref="A406"/>
    <hyperlink r:id="rId408" ref="A407"/>
    <hyperlink r:id="rId409" ref="A408"/>
    <hyperlink r:id="rId410" ref="A409"/>
    <hyperlink r:id="rId411" ref="A410"/>
    <hyperlink r:id="rId412" ref="A411"/>
    <hyperlink r:id="rId413" ref="A412"/>
    <hyperlink r:id="rId414" ref="A413"/>
    <hyperlink r:id="rId415" ref="A414"/>
    <hyperlink r:id="rId416" ref="A415"/>
    <hyperlink r:id="rId417" ref="A416"/>
    <hyperlink r:id="rId418" ref="A417"/>
    <hyperlink r:id="rId419" ref="A418"/>
    <hyperlink r:id="rId420" ref="A419"/>
    <hyperlink r:id="rId421" ref="A420"/>
    <hyperlink r:id="rId422" ref="A421"/>
    <hyperlink r:id="rId423" ref="A422"/>
    <hyperlink r:id="rId424" ref="A423"/>
    <hyperlink r:id="rId425" ref="A424"/>
    <hyperlink r:id="rId426" ref="A425"/>
    <hyperlink r:id="rId427" ref="A426"/>
    <hyperlink r:id="rId428" ref="A427"/>
    <hyperlink r:id="rId429" ref="A428"/>
    <hyperlink r:id="rId430" ref="A429"/>
    <hyperlink r:id="rId431" ref="A430"/>
    <hyperlink r:id="rId432" ref="A431"/>
    <hyperlink r:id="rId433" ref="A432"/>
    <hyperlink r:id="rId434" ref="A433"/>
    <hyperlink r:id="rId435" ref="A434"/>
    <hyperlink r:id="rId436" ref="A435"/>
    <hyperlink r:id="rId437" ref="A436"/>
    <hyperlink r:id="rId438" ref="A437"/>
    <hyperlink r:id="rId439" ref="A438"/>
    <hyperlink r:id="rId440" ref="A439"/>
    <hyperlink r:id="rId441" ref="A440"/>
    <hyperlink r:id="rId442" ref="A441"/>
    <hyperlink r:id="rId443" ref="A442"/>
    <hyperlink r:id="rId444" ref="A443"/>
    <hyperlink r:id="rId445" ref="A444"/>
    <hyperlink r:id="rId446" ref="A445"/>
    <hyperlink r:id="rId447" ref="A446"/>
    <hyperlink r:id="rId448" ref="A447"/>
    <hyperlink r:id="rId449" ref="A448"/>
    <hyperlink r:id="rId450" ref="A449"/>
    <hyperlink r:id="rId451" ref="A450"/>
    <hyperlink r:id="rId452" ref="A451"/>
    <hyperlink r:id="rId453" ref="A452"/>
    <hyperlink r:id="rId454" ref="A453"/>
    <hyperlink r:id="rId455" ref="A454"/>
    <hyperlink r:id="rId456" ref="A455"/>
    <hyperlink r:id="rId457" ref="A456"/>
    <hyperlink r:id="rId458" ref="A457"/>
    <hyperlink r:id="rId459" ref="A458"/>
    <hyperlink r:id="rId460" ref="A459"/>
    <hyperlink r:id="rId461" ref="A460"/>
    <hyperlink r:id="rId462" ref="A461"/>
    <hyperlink r:id="rId463" ref="A462"/>
    <hyperlink r:id="rId464" ref="A463"/>
    <hyperlink r:id="rId465" ref="A464"/>
    <hyperlink r:id="rId466" ref="A465"/>
    <hyperlink r:id="rId467" ref="A466"/>
    <hyperlink r:id="rId468" ref="A467"/>
    <hyperlink r:id="rId469" ref="A468"/>
    <hyperlink r:id="rId470" ref="A469"/>
    <hyperlink r:id="rId471" ref="A470"/>
    <hyperlink r:id="rId472" ref="A471"/>
    <hyperlink r:id="rId473" ref="A472"/>
    <hyperlink r:id="rId474" ref="A473"/>
    <hyperlink r:id="rId475" ref="A474"/>
    <hyperlink r:id="rId476" ref="A475"/>
    <hyperlink r:id="rId477" ref="A476"/>
    <hyperlink r:id="rId478" ref="A477"/>
    <hyperlink r:id="rId479" ref="A478"/>
    <hyperlink r:id="rId480" ref="A479"/>
    <hyperlink r:id="rId481" ref="A480"/>
    <hyperlink r:id="rId482" ref="A481"/>
    <hyperlink r:id="rId483" ref="A482"/>
    <hyperlink r:id="rId484" ref="A483"/>
    <hyperlink r:id="rId485" ref="A484"/>
    <hyperlink r:id="rId486" ref="A485"/>
    <hyperlink r:id="rId487" ref="A486"/>
    <hyperlink r:id="rId488" ref="A487"/>
    <hyperlink r:id="rId489" ref="A488"/>
    <hyperlink r:id="rId490" ref="A489"/>
    <hyperlink r:id="rId491" ref="A490"/>
    <hyperlink r:id="rId492" ref="A491"/>
    <hyperlink r:id="rId493" ref="A492"/>
    <hyperlink r:id="rId494" ref="A493"/>
    <hyperlink r:id="rId495" ref="A494"/>
    <hyperlink r:id="rId496" ref="A495"/>
    <hyperlink r:id="rId497" ref="A496"/>
    <hyperlink r:id="rId498" ref="A497"/>
    <hyperlink r:id="rId499" ref="A498"/>
    <hyperlink r:id="rId500" ref="A499"/>
    <hyperlink r:id="rId501" ref="A500"/>
    <hyperlink r:id="rId502" ref="A501"/>
    <hyperlink r:id="rId503" ref="A502"/>
    <hyperlink r:id="rId504" ref="A503"/>
    <hyperlink r:id="rId505" ref="A504"/>
    <hyperlink r:id="rId506" ref="A505"/>
    <hyperlink r:id="rId507" ref="A506"/>
    <hyperlink r:id="rId508" ref="A507"/>
    <hyperlink r:id="rId509" ref="A508"/>
    <hyperlink r:id="rId510" ref="A509"/>
    <hyperlink r:id="rId511" ref="A510"/>
    <hyperlink r:id="rId512" ref="A511"/>
    <hyperlink r:id="rId513" ref="A512"/>
    <hyperlink r:id="rId514" ref="A513"/>
    <hyperlink r:id="rId515" ref="A514"/>
    <hyperlink r:id="rId516" ref="A515"/>
    <hyperlink r:id="rId517" ref="A516"/>
    <hyperlink r:id="rId518" ref="A517"/>
    <hyperlink r:id="rId519" ref="A518"/>
    <hyperlink r:id="rId520" ref="A519"/>
    <hyperlink r:id="rId521" ref="A520"/>
    <hyperlink r:id="rId522" ref="A521"/>
    <hyperlink r:id="rId523" ref="A522"/>
    <hyperlink r:id="rId524" ref="A523"/>
    <hyperlink r:id="rId525" ref="A524"/>
    <hyperlink r:id="rId526" ref="A525"/>
    <hyperlink r:id="rId527" ref="A526"/>
    <hyperlink r:id="rId528" ref="A527"/>
    <hyperlink r:id="rId529" ref="A528"/>
    <hyperlink r:id="rId530" ref="A529"/>
    <hyperlink r:id="rId531" ref="A530"/>
    <hyperlink r:id="rId532" ref="A531"/>
    <hyperlink r:id="rId533" ref="A532"/>
    <hyperlink r:id="rId534" ref="A533"/>
    <hyperlink r:id="rId535" ref="A534"/>
    <hyperlink r:id="rId536" ref="A535"/>
    <hyperlink r:id="rId537" ref="A536"/>
    <hyperlink r:id="rId538" ref="A537"/>
    <hyperlink r:id="rId539" ref="A538"/>
    <hyperlink r:id="rId540" ref="A539"/>
    <hyperlink r:id="rId541" ref="A540"/>
    <hyperlink r:id="rId542" ref="A541"/>
    <hyperlink r:id="rId543" ref="A542"/>
    <hyperlink r:id="rId544" ref="A543"/>
    <hyperlink r:id="rId545" ref="A544"/>
    <hyperlink r:id="rId546" ref="A545"/>
    <hyperlink r:id="rId547" ref="A546"/>
    <hyperlink r:id="rId548" ref="A547"/>
    <hyperlink r:id="rId549" ref="A548"/>
    <hyperlink r:id="rId550" ref="A549"/>
    <hyperlink r:id="rId551" ref="A550"/>
    <hyperlink r:id="rId552" ref="A551"/>
  </hyperlinks>
  <drawing r:id="rId553"/>
  <legacyDrawing r:id="rId55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row>
    <row r="2">
      <c r="A2" s="5" t="s">
        <v>97</v>
      </c>
      <c r="B2" s="15" t="str">
        <f t="shared" ref="B2:B380" si="1">IF(A2&lt;&gt;"","1","")</f>
        <v>1</v>
      </c>
      <c r="C2" s="15" t="s">
        <v>115</v>
      </c>
      <c r="D2" s="15">
        <f t="shared" ref="D2:D380" si="2">VALUE(C2)</f>
        <v>1</v>
      </c>
    </row>
    <row r="3">
      <c r="A3" s="5" t="s">
        <v>97</v>
      </c>
      <c r="B3" s="15" t="str">
        <f t="shared" si="1"/>
        <v>1</v>
      </c>
      <c r="C3" s="15" t="s">
        <v>115</v>
      </c>
      <c r="D3" s="15">
        <f t="shared" si="2"/>
        <v>1</v>
      </c>
    </row>
    <row r="4">
      <c r="A4" s="8"/>
      <c r="B4" s="15" t="str">
        <f t="shared" si="1"/>
        <v/>
      </c>
      <c r="C4" s="15" t="s">
        <v>5609</v>
      </c>
      <c r="D4" s="15">
        <f t="shared" si="2"/>
        <v>0</v>
      </c>
    </row>
    <row r="5">
      <c r="A5" s="5" t="s">
        <v>97</v>
      </c>
      <c r="B5" s="15" t="str">
        <f t="shared" si="1"/>
        <v>1</v>
      </c>
      <c r="C5" s="15" t="s">
        <v>115</v>
      </c>
      <c r="D5" s="15">
        <f t="shared" si="2"/>
        <v>1</v>
      </c>
    </row>
    <row r="6">
      <c r="A6" s="5" t="s">
        <v>97</v>
      </c>
      <c r="B6" s="15" t="str">
        <f t="shared" si="1"/>
        <v>1</v>
      </c>
      <c r="C6" s="15" t="s">
        <v>115</v>
      </c>
      <c r="D6" s="15">
        <f t="shared" si="2"/>
        <v>1</v>
      </c>
    </row>
    <row r="7">
      <c r="A7" s="8"/>
      <c r="B7" s="15" t="str">
        <f t="shared" si="1"/>
        <v/>
      </c>
      <c r="C7" s="15" t="s">
        <v>5609</v>
      </c>
      <c r="D7" s="15">
        <f t="shared" si="2"/>
        <v>0</v>
      </c>
    </row>
    <row r="8">
      <c r="A8" s="5" t="s">
        <v>97</v>
      </c>
      <c r="B8" s="15" t="str">
        <f t="shared" si="1"/>
        <v>1</v>
      </c>
      <c r="C8" s="15" t="s">
        <v>115</v>
      </c>
      <c r="D8" s="15">
        <f t="shared" si="2"/>
        <v>1</v>
      </c>
    </row>
    <row r="9">
      <c r="A9" s="5" t="s">
        <v>97</v>
      </c>
      <c r="B9" s="15" t="str">
        <f t="shared" si="1"/>
        <v>1</v>
      </c>
      <c r="C9" s="15" t="s">
        <v>115</v>
      </c>
      <c r="D9" s="15">
        <f t="shared" si="2"/>
        <v>1</v>
      </c>
    </row>
    <row r="10">
      <c r="A10" s="8"/>
      <c r="B10" s="15" t="str">
        <f t="shared" si="1"/>
        <v/>
      </c>
      <c r="C10" s="15" t="s">
        <v>5609</v>
      </c>
      <c r="D10" s="15">
        <f t="shared" si="2"/>
        <v>0</v>
      </c>
    </row>
    <row r="11">
      <c r="A11" s="8"/>
      <c r="B11" s="15" t="str">
        <f t="shared" si="1"/>
        <v/>
      </c>
      <c r="C11" s="15" t="s">
        <v>5609</v>
      </c>
      <c r="D11" s="15">
        <f t="shared" si="2"/>
        <v>0</v>
      </c>
    </row>
    <row r="12">
      <c r="A12" s="5" t="s">
        <v>97</v>
      </c>
      <c r="B12" s="15" t="str">
        <f t="shared" si="1"/>
        <v>1</v>
      </c>
      <c r="C12" s="15" t="s">
        <v>115</v>
      </c>
      <c r="D12" s="15">
        <f t="shared" si="2"/>
        <v>1</v>
      </c>
    </row>
    <row r="13">
      <c r="A13" s="5" t="s">
        <v>97</v>
      </c>
      <c r="B13" s="15" t="str">
        <f t="shared" si="1"/>
        <v>1</v>
      </c>
      <c r="C13" s="15" t="s">
        <v>115</v>
      </c>
      <c r="D13" s="15">
        <f t="shared" si="2"/>
        <v>1</v>
      </c>
    </row>
    <row r="14">
      <c r="A14" s="5" t="s">
        <v>97</v>
      </c>
      <c r="B14" s="15" t="str">
        <f t="shared" si="1"/>
        <v>1</v>
      </c>
      <c r="C14" s="15" t="s">
        <v>115</v>
      </c>
      <c r="D14" s="15">
        <f t="shared" si="2"/>
        <v>1</v>
      </c>
    </row>
    <row r="15">
      <c r="A15" s="5" t="s">
        <v>97</v>
      </c>
      <c r="B15" s="15" t="str">
        <f t="shared" si="1"/>
        <v>1</v>
      </c>
      <c r="C15" s="15" t="s">
        <v>115</v>
      </c>
      <c r="D15" s="15">
        <f t="shared" si="2"/>
        <v>1</v>
      </c>
    </row>
    <row r="16">
      <c r="A16" s="8"/>
      <c r="B16" s="15" t="str">
        <f t="shared" si="1"/>
        <v/>
      </c>
      <c r="C16" s="15" t="s">
        <v>5609</v>
      </c>
      <c r="D16" s="15">
        <f t="shared" si="2"/>
        <v>0</v>
      </c>
    </row>
    <row r="17">
      <c r="A17" s="8"/>
      <c r="B17" s="15" t="str">
        <f t="shared" si="1"/>
        <v/>
      </c>
      <c r="C17" s="15" t="s">
        <v>5609</v>
      </c>
      <c r="D17" s="15">
        <f t="shared" si="2"/>
        <v>0</v>
      </c>
    </row>
    <row r="18">
      <c r="A18" s="8"/>
      <c r="B18" s="15" t="str">
        <f t="shared" si="1"/>
        <v/>
      </c>
      <c r="C18" s="15" t="s">
        <v>5609</v>
      </c>
      <c r="D18" s="15">
        <f t="shared" si="2"/>
        <v>0</v>
      </c>
    </row>
    <row r="19">
      <c r="A19" s="5" t="s">
        <v>97</v>
      </c>
      <c r="B19" s="15" t="str">
        <f t="shared" si="1"/>
        <v>1</v>
      </c>
      <c r="C19" s="15" t="s">
        <v>115</v>
      </c>
      <c r="D19" s="15">
        <f t="shared" si="2"/>
        <v>1</v>
      </c>
    </row>
    <row r="20">
      <c r="A20" s="5" t="s">
        <v>97</v>
      </c>
      <c r="B20" s="15" t="str">
        <f t="shared" si="1"/>
        <v>1</v>
      </c>
      <c r="C20" s="15" t="s">
        <v>115</v>
      </c>
      <c r="D20" s="15">
        <f t="shared" si="2"/>
        <v>1</v>
      </c>
    </row>
    <row r="21">
      <c r="A21" s="8"/>
      <c r="B21" s="15" t="str">
        <f t="shared" si="1"/>
        <v/>
      </c>
      <c r="C21" s="15" t="s">
        <v>5609</v>
      </c>
      <c r="D21" s="15">
        <f t="shared" si="2"/>
        <v>0</v>
      </c>
    </row>
    <row r="22">
      <c r="A22" s="5" t="s">
        <v>97</v>
      </c>
      <c r="B22" s="15" t="str">
        <f t="shared" si="1"/>
        <v>1</v>
      </c>
      <c r="C22" s="15" t="s">
        <v>115</v>
      </c>
      <c r="D22" s="15">
        <f t="shared" si="2"/>
        <v>1</v>
      </c>
    </row>
    <row r="23">
      <c r="A23" s="8"/>
      <c r="B23" s="15" t="str">
        <f t="shared" si="1"/>
        <v/>
      </c>
      <c r="C23" s="15" t="s">
        <v>5609</v>
      </c>
      <c r="D23" s="15">
        <f t="shared" si="2"/>
        <v>0</v>
      </c>
    </row>
    <row r="24">
      <c r="A24" s="8"/>
      <c r="B24" s="15" t="str">
        <f t="shared" si="1"/>
        <v/>
      </c>
      <c r="C24" s="15" t="s">
        <v>5609</v>
      </c>
      <c r="D24" s="15">
        <f t="shared" si="2"/>
        <v>0</v>
      </c>
    </row>
    <row r="25">
      <c r="A25" s="8"/>
      <c r="B25" s="15" t="str">
        <f t="shared" si="1"/>
        <v/>
      </c>
      <c r="C25" s="15" t="s">
        <v>5609</v>
      </c>
      <c r="D25" s="15">
        <f t="shared" si="2"/>
        <v>0</v>
      </c>
    </row>
    <row r="26">
      <c r="A26" s="8"/>
      <c r="B26" s="15" t="str">
        <f t="shared" si="1"/>
        <v/>
      </c>
      <c r="C26" s="15" t="s">
        <v>5609</v>
      </c>
      <c r="D26" s="15">
        <f t="shared" si="2"/>
        <v>0</v>
      </c>
    </row>
    <row r="27">
      <c r="A27" s="5" t="s">
        <v>97</v>
      </c>
      <c r="B27" s="15" t="str">
        <f t="shared" si="1"/>
        <v>1</v>
      </c>
      <c r="C27" s="15" t="s">
        <v>115</v>
      </c>
      <c r="D27" s="15">
        <f t="shared" si="2"/>
        <v>1</v>
      </c>
    </row>
    <row r="28">
      <c r="A28" s="8"/>
      <c r="B28" s="15" t="str">
        <f t="shared" si="1"/>
        <v/>
      </c>
      <c r="C28" s="15" t="s">
        <v>5609</v>
      </c>
      <c r="D28" s="15">
        <f t="shared" si="2"/>
        <v>0</v>
      </c>
    </row>
    <row r="29">
      <c r="A29" s="5" t="s">
        <v>97</v>
      </c>
      <c r="B29" s="15" t="str">
        <f t="shared" si="1"/>
        <v>1</v>
      </c>
      <c r="C29" s="15" t="s">
        <v>115</v>
      </c>
      <c r="D29" s="15">
        <f t="shared" si="2"/>
        <v>1</v>
      </c>
    </row>
    <row r="30">
      <c r="A30" s="5" t="s">
        <v>97</v>
      </c>
      <c r="B30" s="15" t="str">
        <f t="shared" si="1"/>
        <v>1</v>
      </c>
      <c r="C30" s="15" t="s">
        <v>115</v>
      </c>
      <c r="D30" s="15">
        <f t="shared" si="2"/>
        <v>1</v>
      </c>
    </row>
    <row r="31">
      <c r="A31" s="5" t="s">
        <v>97</v>
      </c>
      <c r="B31" s="15" t="str">
        <f t="shared" si="1"/>
        <v>1</v>
      </c>
      <c r="C31" s="15" t="s">
        <v>115</v>
      </c>
      <c r="D31" s="15">
        <f t="shared" si="2"/>
        <v>1</v>
      </c>
    </row>
    <row r="32">
      <c r="A32" s="5" t="s">
        <v>97</v>
      </c>
      <c r="B32" s="15" t="str">
        <f t="shared" si="1"/>
        <v>1</v>
      </c>
      <c r="C32" s="15" t="s">
        <v>115</v>
      </c>
      <c r="D32" s="15">
        <f t="shared" si="2"/>
        <v>1</v>
      </c>
    </row>
    <row r="33">
      <c r="A33" s="8"/>
      <c r="B33" s="15" t="str">
        <f t="shared" si="1"/>
        <v/>
      </c>
      <c r="C33" s="15" t="s">
        <v>5609</v>
      </c>
      <c r="D33" s="15">
        <f t="shared" si="2"/>
        <v>0</v>
      </c>
    </row>
    <row r="34">
      <c r="A34" s="8"/>
      <c r="B34" s="15" t="str">
        <f t="shared" si="1"/>
        <v/>
      </c>
      <c r="C34" s="15" t="s">
        <v>5609</v>
      </c>
      <c r="D34" s="15">
        <f t="shared" si="2"/>
        <v>0</v>
      </c>
    </row>
    <row r="35">
      <c r="A35" s="8"/>
      <c r="B35" s="15" t="str">
        <f t="shared" si="1"/>
        <v/>
      </c>
      <c r="C35" s="15" t="s">
        <v>5609</v>
      </c>
      <c r="D35" s="15">
        <f t="shared" si="2"/>
        <v>0</v>
      </c>
    </row>
    <row r="36">
      <c r="A36" s="8"/>
      <c r="B36" s="15" t="str">
        <f t="shared" si="1"/>
        <v/>
      </c>
      <c r="C36" s="15" t="s">
        <v>5609</v>
      </c>
      <c r="D36" s="15">
        <f t="shared" si="2"/>
        <v>0</v>
      </c>
    </row>
    <row r="37">
      <c r="A37" s="8"/>
      <c r="B37" s="15" t="str">
        <f t="shared" si="1"/>
        <v/>
      </c>
      <c r="C37" s="15" t="s">
        <v>5609</v>
      </c>
      <c r="D37" s="15">
        <f t="shared" si="2"/>
        <v>0</v>
      </c>
    </row>
    <row r="38">
      <c r="A38" s="8"/>
      <c r="B38" s="15" t="str">
        <f t="shared" si="1"/>
        <v/>
      </c>
      <c r="C38" s="15" t="s">
        <v>5609</v>
      </c>
      <c r="D38" s="15">
        <f t="shared" si="2"/>
        <v>0</v>
      </c>
    </row>
    <row r="39">
      <c r="A39" s="8"/>
      <c r="B39" s="15" t="str">
        <f t="shared" si="1"/>
        <v/>
      </c>
      <c r="C39" s="15" t="s">
        <v>5609</v>
      </c>
      <c r="D39" s="15">
        <f t="shared" si="2"/>
        <v>0</v>
      </c>
    </row>
    <row r="40">
      <c r="A40" s="8"/>
      <c r="B40" s="15" t="str">
        <f t="shared" si="1"/>
        <v/>
      </c>
      <c r="C40" s="15" t="s">
        <v>5609</v>
      </c>
      <c r="D40" s="15">
        <f t="shared" si="2"/>
        <v>0</v>
      </c>
    </row>
    <row r="41">
      <c r="A41" s="8"/>
      <c r="B41" s="15" t="str">
        <f t="shared" si="1"/>
        <v/>
      </c>
      <c r="C41" s="15" t="s">
        <v>5609</v>
      </c>
      <c r="D41" s="15">
        <f t="shared" si="2"/>
        <v>0</v>
      </c>
    </row>
    <row r="42">
      <c r="A42" s="8"/>
      <c r="B42" s="15" t="str">
        <f t="shared" si="1"/>
        <v/>
      </c>
      <c r="C42" s="15" t="s">
        <v>5609</v>
      </c>
      <c r="D42" s="15">
        <f t="shared" si="2"/>
        <v>0</v>
      </c>
    </row>
    <row r="43">
      <c r="A43" s="8"/>
      <c r="B43" s="15" t="str">
        <f t="shared" si="1"/>
        <v/>
      </c>
      <c r="C43" s="15" t="s">
        <v>5609</v>
      </c>
      <c r="D43" s="15">
        <f t="shared" si="2"/>
        <v>0</v>
      </c>
    </row>
    <row r="44">
      <c r="A44" s="8"/>
      <c r="B44" s="15" t="str">
        <f t="shared" si="1"/>
        <v/>
      </c>
      <c r="C44" s="15" t="s">
        <v>5609</v>
      </c>
      <c r="D44" s="15">
        <f t="shared" si="2"/>
        <v>0</v>
      </c>
    </row>
    <row r="45">
      <c r="A45" s="8"/>
      <c r="B45" s="15" t="str">
        <f t="shared" si="1"/>
        <v/>
      </c>
      <c r="C45" s="15" t="s">
        <v>5609</v>
      </c>
      <c r="D45" s="15">
        <f t="shared" si="2"/>
        <v>0</v>
      </c>
    </row>
    <row r="46">
      <c r="A46" s="5" t="s">
        <v>97</v>
      </c>
      <c r="B46" s="15" t="str">
        <f t="shared" si="1"/>
        <v>1</v>
      </c>
      <c r="C46" s="15" t="s">
        <v>115</v>
      </c>
      <c r="D46" s="15">
        <f t="shared" si="2"/>
        <v>1</v>
      </c>
    </row>
    <row r="47">
      <c r="A47" s="5" t="s">
        <v>97</v>
      </c>
      <c r="B47" s="15" t="str">
        <f t="shared" si="1"/>
        <v>1</v>
      </c>
      <c r="C47" s="15" t="s">
        <v>115</v>
      </c>
      <c r="D47" s="15">
        <f t="shared" si="2"/>
        <v>1</v>
      </c>
    </row>
    <row r="48">
      <c r="A48" s="5" t="s">
        <v>97</v>
      </c>
      <c r="B48" s="15" t="str">
        <f t="shared" si="1"/>
        <v>1</v>
      </c>
      <c r="C48" s="15" t="s">
        <v>115</v>
      </c>
      <c r="D48" s="15">
        <f t="shared" si="2"/>
        <v>1</v>
      </c>
    </row>
    <row r="49">
      <c r="A49" s="8"/>
      <c r="B49" s="15" t="str">
        <f t="shared" si="1"/>
        <v/>
      </c>
      <c r="C49" s="15" t="s">
        <v>5609</v>
      </c>
      <c r="D49" s="15">
        <f t="shared" si="2"/>
        <v>0</v>
      </c>
    </row>
    <row r="50">
      <c r="A50" s="8"/>
      <c r="B50" s="15" t="str">
        <f t="shared" si="1"/>
        <v/>
      </c>
      <c r="C50" s="15" t="s">
        <v>5609</v>
      </c>
      <c r="D50" s="15">
        <f t="shared" si="2"/>
        <v>0</v>
      </c>
    </row>
    <row r="51">
      <c r="A51" s="8"/>
      <c r="B51" s="15" t="str">
        <f t="shared" si="1"/>
        <v/>
      </c>
      <c r="C51" s="15" t="s">
        <v>5609</v>
      </c>
      <c r="D51" s="15">
        <f t="shared" si="2"/>
        <v>0</v>
      </c>
    </row>
    <row r="52">
      <c r="A52" s="8"/>
      <c r="B52" s="15" t="str">
        <f t="shared" si="1"/>
        <v/>
      </c>
      <c r="C52" s="15" t="s">
        <v>5609</v>
      </c>
      <c r="D52" s="15">
        <f t="shared" si="2"/>
        <v>0</v>
      </c>
    </row>
    <row r="53">
      <c r="A53" s="8"/>
      <c r="B53" s="15" t="str">
        <f t="shared" si="1"/>
        <v/>
      </c>
      <c r="C53" s="15" t="s">
        <v>5609</v>
      </c>
      <c r="D53" s="15">
        <f t="shared" si="2"/>
        <v>0</v>
      </c>
    </row>
    <row r="54">
      <c r="A54" s="8"/>
      <c r="B54" s="15" t="str">
        <f t="shared" si="1"/>
        <v/>
      </c>
      <c r="C54" s="15" t="s">
        <v>5609</v>
      </c>
      <c r="D54" s="15">
        <f t="shared" si="2"/>
        <v>0</v>
      </c>
    </row>
    <row r="55">
      <c r="A55" s="5" t="s">
        <v>97</v>
      </c>
      <c r="B55" s="15" t="str">
        <f t="shared" si="1"/>
        <v>1</v>
      </c>
      <c r="C55" s="15" t="s">
        <v>115</v>
      </c>
      <c r="D55" s="15">
        <f t="shared" si="2"/>
        <v>1</v>
      </c>
    </row>
    <row r="56">
      <c r="A56" s="5" t="s">
        <v>97</v>
      </c>
      <c r="B56" s="15" t="str">
        <f t="shared" si="1"/>
        <v>1</v>
      </c>
      <c r="C56" s="15" t="s">
        <v>115</v>
      </c>
      <c r="D56" s="15">
        <f t="shared" si="2"/>
        <v>1</v>
      </c>
    </row>
    <row r="57">
      <c r="A57" s="5" t="s">
        <v>97</v>
      </c>
      <c r="B57" s="15" t="str">
        <f t="shared" si="1"/>
        <v>1</v>
      </c>
      <c r="C57" s="15" t="s">
        <v>115</v>
      </c>
      <c r="D57" s="15">
        <f t="shared" si="2"/>
        <v>1</v>
      </c>
    </row>
    <row r="58">
      <c r="A58" s="8"/>
      <c r="B58" s="15" t="str">
        <f t="shared" si="1"/>
        <v/>
      </c>
      <c r="C58" s="15" t="s">
        <v>5609</v>
      </c>
      <c r="D58" s="15">
        <f t="shared" si="2"/>
        <v>0</v>
      </c>
    </row>
    <row r="59">
      <c r="A59" s="8"/>
      <c r="B59" s="15" t="str">
        <f t="shared" si="1"/>
        <v/>
      </c>
      <c r="C59" s="15" t="s">
        <v>5609</v>
      </c>
      <c r="D59" s="15">
        <f t="shared" si="2"/>
        <v>0</v>
      </c>
    </row>
    <row r="60">
      <c r="A60" s="5" t="s">
        <v>100</v>
      </c>
      <c r="B60" s="15" t="str">
        <f t="shared" si="1"/>
        <v>1</v>
      </c>
      <c r="C60" s="15" t="s">
        <v>115</v>
      </c>
      <c r="D60" s="15">
        <f t="shared" si="2"/>
        <v>1</v>
      </c>
    </row>
    <row r="61">
      <c r="A61" s="8"/>
      <c r="B61" s="15" t="str">
        <f t="shared" si="1"/>
        <v/>
      </c>
      <c r="C61" s="15" t="s">
        <v>5609</v>
      </c>
      <c r="D61" s="15">
        <f t="shared" si="2"/>
        <v>0</v>
      </c>
    </row>
    <row r="62">
      <c r="A62" s="5" t="s">
        <v>97</v>
      </c>
      <c r="B62" s="15" t="str">
        <f t="shared" si="1"/>
        <v>1</v>
      </c>
      <c r="C62" s="15" t="s">
        <v>115</v>
      </c>
      <c r="D62" s="15">
        <f t="shared" si="2"/>
        <v>1</v>
      </c>
    </row>
    <row r="63">
      <c r="A63" s="5" t="s">
        <v>97</v>
      </c>
      <c r="B63" s="15" t="str">
        <f t="shared" si="1"/>
        <v>1</v>
      </c>
      <c r="C63" s="15" t="s">
        <v>115</v>
      </c>
      <c r="D63" s="15">
        <f t="shared" si="2"/>
        <v>1</v>
      </c>
    </row>
    <row r="64">
      <c r="A64" s="5" t="s">
        <v>97</v>
      </c>
      <c r="B64" s="15" t="str">
        <f t="shared" si="1"/>
        <v>1</v>
      </c>
      <c r="C64" s="15" t="s">
        <v>115</v>
      </c>
      <c r="D64" s="15">
        <f t="shared" si="2"/>
        <v>1</v>
      </c>
    </row>
    <row r="65">
      <c r="A65" s="8"/>
      <c r="B65" s="15" t="str">
        <f t="shared" si="1"/>
        <v/>
      </c>
      <c r="C65" s="15" t="s">
        <v>5609</v>
      </c>
      <c r="D65" s="15">
        <f t="shared" si="2"/>
        <v>0</v>
      </c>
    </row>
    <row r="66">
      <c r="A66" s="8"/>
      <c r="B66" s="15" t="str">
        <f t="shared" si="1"/>
        <v/>
      </c>
      <c r="C66" s="15" t="s">
        <v>5609</v>
      </c>
      <c r="D66" s="15">
        <f t="shared" si="2"/>
        <v>0</v>
      </c>
    </row>
    <row r="67">
      <c r="A67" s="8"/>
      <c r="B67" s="15" t="str">
        <f t="shared" si="1"/>
        <v/>
      </c>
      <c r="C67" s="15" t="s">
        <v>5609</v>
      </c>
      <c r="D67" s="15">
        <f t="shared" si="2"/>
        <v>0</v>
      </c>
    </row>
    <row r="68">
      <c r="A68" s="5" t="s">
        <v>97</v>
      </c>
      <c r="B68" s="15" t="str">
        <f t="shared" si="1"/>
        <v>1</v>
      </c>
      <c r="C68" s="15" t="s">
        <v>115</v>
      </c>
      <c r="D68" s="15">
        <f t="shared" si="2"/>
        <v>1</v>
      </c>
    </row>
    <row r="69">
      <c r="A69" s="5" t="s">
        <v>97</v>
      </c>
      <c r="B69" s="15" t="str">
        <f t="shared" si="1"/>
        <v>1</v>
      </c>
      <c r="C69" s="15" t="s">
        <v>115</v>
      </c>
      <c r="D69" s="15">
        <f t="shared" si="2"/>
        <v>1</v>
      </c>
    </row>
    <row r="70">
      <c r="A70" s="5" t="s">
        <v>97</v>
      </c>
      <c r="B70" s="15" t="str">
        <f t="shared" si="1"/>
        <v>1</v>
      </c>
      <c r="C70" s="15" t="s">
        <v>115</v>
      </c>
      <c r="D70" s="15">
        <f t="shared" si="2"/>
        <v>1</v>
      </c>
    </row>
    <row r="71">
      <c r="A71" s="5" t="s">
        <v>97</v>
      </c>
      <c r="B71" s="15" t="str">
        <f t="shared" si="1"/>
        <v>1</v>
      </c>
      <c r="C71" s="15" t="s">
        <v>115</v>
      </c>
      <c r="D71" s="15">
        <f t="shared" si="2"/>
        <v>1</v>
      </c>
    </row>
    <row r="72">
      <c r="A72" s="5" t="s">
        <v>97</v>
      </c>
      <c r="B72" s="15" t="str">
        <f t="shared" si="1"/>
        <v>1</v>
      </c>
      <c r="C72" s="15" t="s">
        <v>115</v>
      </c>
      <c r="D72" s="15">
        <f t="shared" si="2"/>
        <v>1</v>
      </c>
    </row>
    <row r="73">
      <c r="A73" s="5" t="s">
        <v>97</v>
      </c>
      <c r="B73" s="15" t="str">
        <f t="shared" si="1"/>
        <v>1</v>
      </c>
      <c r="C73" s="15" t="s">
        <v>115</v>
      </c>
      <c r="D73" s="15">
        <f t="shared" si="2"/>
        <v>1</v>
      </c>
    </row>
    <row r="74">
      <c r="A74" s="5" t="s">
        <v>97</v>
      </c>
      <c r="B74" s="15" t="str">
        <f t="shared" si="1"/>
        <v>1</v>
      </c>
      <c r="C74" s="15" t="s">
        <v>115</v>
      </c>
      <c r="D74" s="15">
        <f t="shared" si="2"/>
        <v>1</v>
      </c>
    </row>
    <row r="75">
      <c r="A75" s="5" t="s">
        <v>97</v>
      </c>
      <c r="B75" s="15" t="str">
        <f t="shared" si="1"/>
        <v>1</v>
      </c>
      <c r="C75" s="15" t="s">
        <v>115</v>
      </c>
      <c r="D75" s="15">
        <f t="shared" si="2"/>
        <v>1</v>
      </c>
    </row>
    <row r="76">
      <c r="A76" s="8"/>
      <c r="B76" s="15" t="str">
        <f t="shared" si="1"/>
        <v/>
      </c>
      <c r="C76" s="15" t="s">
        <v>5609</v>
      </c>
      <c r="D76" s="15">
        <f t="shared" si="2"/>
        <v>0</v>
      </c>
    </row>
    <row r="77">
      <c r="A77" s="5" t="s">
        <v>97</v>
      </c>
      <c r="B77" s="15" t="str">
        <f t="shared" si="1"/>
        <v>1</v>
      </c>
      <c r="C77" s="15" t="s">
        <v>115</v>
      </c>
      <c r="D77" s="15">
        <f t="shared" si="2"/>
        <v>1</v>
      </c>
    </row>
    <row r="78">
      <c r="A78" s="5" t="s">
        <v>97</v>
      </c>
      <c r="B78" s="15" t="str">
        <f t="shared" si="1"/>
        <v>1</v>
      </c>
      <c r="C78" s="15" t="s">
        <v>115</v>
      </c>
      <c r="D78" s="15">
        <f t="shared" si="2"/>
        <v>1</v>
      </c>
    </row>
    <row r="79">
      <c r="A79" s="5" t="s">
        <v>97</v>
      </c>
      <c r="B79" s="15" t="str">
        <f t="shared" si="1"/>
        <v>1</v>
      </c>
      <c r="C79" s="15" t="s">
        <v>115</v>
      </c>
      <c r="D79" s="15">
        <f t="shared" si="2"/>
        <v>1</v>
      </c>
    </row>
    <row r="80">
      <c r="A80" s="8"/>
      <c r="B80" s="15" t="str">
        <f t="shared" si="1"/>
        <v/>
      </c>
      <c r="C80" s="15" t="s">
        <v>5609</v>
      </c>
      <c r="D80" s="15">
        <f t="shared" si="2"/>
        <v>0</v>
      </c>
    </row>
    <row r="81">
      <c r="A81" s="8"/>
      <c r="B81" s="15" t="str">
        <f t="shared" si="1"/>
        <v/>
      </c>
      <c r="C81" s="15" t="s">
        <v>5609</v>
      </c>
      <c r="D81" s="15">
        <f t="shared" si="2"/>
        <v>0</v>
      </c>
    </row>
    <row r="82">
      <c r="A82" s="8"/>
      <c r="B82" s="15" t="str">
        <f t="shared" si="1"/>
        <v/>
      </c>
      <c r="C82" s="15" t="s">
        <v>5609</v>
      </c>
      <c r="D82" s="15">
        <f t="shared" si="2"/>
        <v>0</v>
      </c>
    </row>
    <row r="83">
      <c r="A83" s="8"/>
      <c r="B83" s="15" t="str">
        <f t="shared" si="1"/>
        <v/>
      </c>
      <c r="C83" s="15" t="s">
        <v>5609</v>
      </c>
      <c r="D83" s="15">
        <f t="shared" si="2"/>
        <v>0</v>
      </c>
    </row>
    <row r="84">
      <c r="A84" s="8"/>
      <c r="B84" s="15" t="str">
        <f t="shared" si="1"/>
        <v/>
      </c>
      <c r="C84" s="15" t="s">
        <v>5609</v>
      </c>
      <c r="D84" s="15">
        <f t="shared" si="2"/>
        <v>0</v>
      </c>
    </row>
    <row r="85">
      <c r="A85" s="5" t="s">
        <v>97</v>
      </c>
      <c r="B85" s="15" t="str">
        <f t="shared" si="1"/>
        <v>1</v>
      </c>
      <c r="C85" s="15" t="s">
        <v>115</v>
      </c>
      <c r="D85" s="15">
        <f t="shared" si="2"/>
        <v>1</v>
      </c>
    </row>
    <row r="86">
      <c r="A86" s="5" t="s">
        <v>97</v>
      </c>
      <c r="B86" s="15" t="str">
        <f t="shared" si="1"/>
        <v>1</v>
      </c>
      <c r="C86" s="15" t="s">
        <v>115</v>
      </c>
      <c r="D86" s="15">
        <f t="shared" si="2"/>
        <v>1</v>
      </c>
    </row>
    <row r="87">
      <c r="A87" s="5" t="s">
        <v>97</v>
      </c>
      <c r="B87" s="15" t="str">
        <f t="shared" si="1"/>
        <v>1</v>
      </c>
      <c r="C87" s="15" t="s">
        <v>115</v>
      </c>
      <c r="D87" s="15">
        <f t="shared" si="2"/>
        <v>1</v>
      </c>
    </row>
    <row r="88">
      <c r="A88" s="5" t="s">
        <v>97</v>
      </c>
      <c r="B88" s="15" t="str">
        <f t="shared" si="1"/>
        <v>1</v>
      </c>
      <c r="C88" s="15" t="s">
        <v>115</v>
      </c>
      <c r="D88" s="15">
        <f t="shared" si="2"/>
        <v>1</v>
      </c>
    </row>
    <row r="89">
      <c r="A89" s="8"/>
      <c r="B89" s="15" t="str">
        <f t="shared" si="1"/>
        <v/>
      </c>
      <c r="C89" s="15" t="s">
        <v>5609</v>
      </c>
      <c r="D89" s="15">
        <f t="shared" si="2"/>
        <v>0</v>
      </c>
    </row>
    <row r="90">
      <c r="A90" s="5" t="s">
        <v>97</v>
      </c>
      <c r="B90" s="15" t="str">
        <f t="shared" si="1"/>
        <v>1</v>
      </c>
      <c r="C90" s="15" t="s">
        <v>115</v>
      </c>
      <c r="D90" s="15">
        <f t="shared" si="2"/>
        <v>1</v>
      </c>
    </row>
    <row r="91">
      <c r="A91" s="5" t="s">
        <v>97</v>
      </c>
      <c r="B91" s="15" t="str">
        <f t="shared" si="1"/>
        <v>1</v>
      </c>
      <c r="C91" s="15" t="s">
        <v>115</v>
      </c>
      <c r="D91" s="15">
        <f t="shared" si="2"/>
        <v>1</v>
      </c>
    </row>
    <row r="92">
      <c r="A92" s="8"/>
      <c r="B92" s="15" t="str">
        <f t="shared" si="1"/>
        <v/>
      </c>
      <c r="C92" s="15" t="s">
        <v>5609</v>
      </c>
      <c r="D92" s="15">
        <f t="shared" si="2"/>
        <v>0</v>
      </c>
    </row>
    <row r="93">
      <c r="A93" s="5" t="s">
        <v>97</v>
      </c>
      <c r="B93" s="15" t="str">
        <f t="shared" si="1"/>
        <v>1</v>
      </c>
      <c r="C93" s="15" t="s">
        <v>115</v>
      </c>
      <c r="D93" s="15">
        <f t="shared" si="2"/>
        <v>1</v>
      </c>
    </row>
    <row r="94">
      <c r="A94" s="8"/>
      <c r="B94" s="15" t="str">
        <f t="shared" si="1"/>
        <v/>
      </c>
      <c r="C94" s="15" t="s">
        <v>5609</v>
      </c>
      <c r="D94" s="15">
        <f t="shared" si="2"/>
        <v>0</v>
      </c>
    </row>
    <row r="95">
      <c r="A95" s="8"/>
      <c r="B95" s="15" t="str">
        <f t="shared" si="1"/>
        <v/>
      </c>
      <c r="C95" s="15" t="s">
        <v>5609</v>
      </c>
      <c r="D95" s="15">
        <f t="shared" si="2"/>
        <v>0</v>
      </c>
    </row>
    <row r="96">
      <c r="A96" s="8"/>
      <c r="B96" s="15" t="str">
        <f t="shared" si="1"/>
        <v/>
      </c>
      <c r="C96" s="15" t="s">
        <v>5609</v>
      </c>
      <c r="D96" s="15">
        <f t="shared" si="2"/>
        <v>0</v>
      </c>
    </row>
    <row r="97">
      <c r="A97" s="5" t="s">
        <v>97</v>
      </c>
      <c r="B97" s="15" t="str">
        <f t="shared" si="1"/>
        <v>1</v>
      </c>
      <c r="C97" s="15" t="s">
        <v>115</v>
      </c>
      <c r="D97" s="15">
        <f t="shared" si="2"/>
        <v>1</v>
      </c>
    </row>
    <row r="98">
      <c r="A98" s="8"/>
      <c r="B98" s="15" t="str">
        <f t="shared" si="1"/>
        <v/>
      </c>
      <c r="C98" s="15" t="s">
        <v>5609</v>
      </c>
      <c r="D98" s="15">
        <f t="shared" si="2"/>
        <v>0</v>
      </c>
    </row>
    <row r="99">
      <c r="A99" s="5" t="s">
        <v>97</v>
      </c>
      <c r="B99" s="15" t="str">
        <f t="shared" si="1"/>
        <v>1</v>
      </c>
      <c r="C99" s="15" t="s">
        <v>115</v>
      </c>
      <c r="D99" s="15">
        <f t="shared" si="2"/>
        <v>1</v>
      </c>
    </row>
    <row r="100">
      <c r="A100" s="5" t="s">
        <v>97</v>
      </c>
      <c r="B100" s="15" t="str">
        <f t="shared" si="1"/>
        <v>1</v>
      </c>
      <c r="C100" s="15" t="s">
        <v>115</v>
      </c>
      <c r="D100" s="15">
        <f t="shared" si="2"/>
        <v>1</v>
      </c>
    </row>
    <row r="101">
      <c r="A101" s="8"/>
      <c r="B101" s="15" t="str">
        <f t="shared" si="1"/>
        <v/>
      </c>
      <c r="C101" s="15" t="s">
        <v>5609</v>
      </c>
      <c r="D101" s="15">
        <f t="shared" si="2"/>
        <v>0</v>
      </c>
    </row>
    <row r="102">
      <c r="A102" s="8"/>
      <c r="B102" s="15" t="str">
        <f t="shared" si="1"/>
        <v/>
      </c>
      <c r="C102" s="15" t="s">
        <v>5609</v>
      </c>
      <c r="D102" s="15">
        <f t="shared" si="2"/>
        <v>0</v>
      </c>
    </row>
    <row r="103">
      <c r="A103" s="5" t="s">
        <v>97</v>
      </c>
      <c r="B103" s="15" t="str">
        <f t="shared" si="1"/>
        <v>1</v>
      </c>
      <c r="C103" s="15" t="s">
        <v>115</v>
      </c>
      <c r="D103" s="15">
        <f t="shared" si="2"/>
        <v>1</v>
      </c>
    </row>
    <row r="104">
      <c r="A104" s="8"/>
      <c r="B104" s="15" t="str">
        <f t="shared" si="1"/>
        <v/>
      </c>
      <c r="C104" s="15" t="s">
        <v>5609</v>
      </c>
      <c r="D104" s="15">
        <f t="shared" si="2"/>
        <v>0</v>
      </c>
    </row>
    <row r="105">
      <c r="A105" s="8"/>
      <c r="B105" s="15" t="str">
        <f t="shared" si="1"/>
        <v/>
      </c>
      <c r="C105" s="15" t="s">
        <v>5609</v>
      </c>
      <c r="D105" s="15">
        <f t="shared" si="2"/>
        <v>0</v>
      </c>
    </row>
    <row r="106">
      <c r="A106" s="5" t="s">
        <v>97</v>
      </c>
      <c r="B106" s="15" t="str">
        <f t="shared" si="1"/>
        <v>1</v>
      </c>
      <c r="C106" s="15" t="s">
        <v>115</v>
      </c>
      <c r="D106" s="15">
        <f t="shared" si="2"/>
        <v>1</v>
      </c>
    </row>
    <row r="107">
      <c r="A107" s="8"/>
      <c r="B107" s="15" t="str">
        <f t="shared" si="1"/>
        <v/>
      </c>
      <c r="C107" s="15" t="s">
        <v>5609</v>
      </c>
      <c r="D107" s="15">
        <f t="shared" si="2"/>
        <v>0</v>
      </c>
    </row>
    <row r="108">
      <c r="A108" s="8"/>
      <c r="B108" s="15" t="str">
        <f t="shared" si="1"/>
        <v/>
      </c>
      <c r="C108" s="15" t="s">
        <v>5609</v>
      </c>
      <c r="D108" s="15">
        <f t="shared" si="2"/>
        <v>0</v>
      </c>
    </row>
    <row r="109">
      <c r="A109" s="8"/>
      <c r="B109" s="15" t="str">
        <f t="shared" si="1"/>
        <v/>
      </c>
      <c r="C109" s="15" t="s">
        <v>5609</v>
      </c>
      <c r="D109" s="15">
        <f t="shared" si="2"/>
        <v>0</v>
      </c>
    </row>
    <row r="110">
      <c r="A110" s="8"/>
      <c r="B110" s="15" t="str">
        <f t="shared" si="1"/>
        <v/>
      </c>
      <c r="C110" s="15" t="s">
        <v>5609</v>
      </c>
      <c r="D110" s="15">
        <f t="shared" si="2"/>
        <v>0</v>
      </c>
    </row>
    <row r="111">
      <c r="A111" s="8"/>
      <c r="B111" s="15" t="str">
        <f t="shared" si="1"/>
        <v/>
      </c>
      <c r="C111" s="15" t="s">
        <v>5609</v>
      </c>
      <c r="D111" s="15">
        <f t="shared" si="2"/>
        <v>0</v>
      </c>
    </row>
    <row r="112">
      <c r="A112" s="8"/>
      <c r="B112" s="15" t="str">
        <f t="shared" si="1"/>
        <v/>
      </c>
      <c r="C112" s="15" t="s">
        <v>5609</v>
      </c>
      <c r="D112" s="15">
        <f t="shared" si="2"/>
        <v>0</v>
      </c>
    </row>
    <row r="113">
      <c r="A113" s="8"/>
      <c r="B113" s="15" t="str">
        <f t="shared" si="1"/>
        <v/>
      </c>
      <c r="C113" s="15" t="s">
        <v>5609</v>
      </c>
      <c r="D113" s="15">
        <f t="shared" si="2"/>
        <v>0</v>
      </c>
    </row>
    <row r="114">
      <c r="A114" s="8"/>
      <c r="B114" s="15" t="str">
        <f t="shared" si="1"/>
        <v/>
      </c>
      <c r="C114" s="15" t="s">
        <v>5609</v>
      </c>
      <c r="D114" s="15">
        <f t="shared" si="2"/>
        <v>0</v>
      </c>
    </row>
    <row r="115">
      <c r="A115" s="8"/>
      <c r="B115" s="15" t="str">
        <f t="shared" si="1"/>
        <v/>
      </c>
      <c r="C115" s="15" t="s">
        <v>5609</v>
      </c>
      <c r="D115" s="15">
        <f t="shared" si="2"/>
        <v>0</v>
      </c>
    </row>
    <row r="116">
      <c r="A116" s="8"/>
      <c r="B116" s="15" t="str">
        <f t="shared" si="1"/>
        <v/>
      </c>
      <c r="C116" s="15" t="s">
        <v>5609</v>
      </c>
      <c r="D116" s="15">
        <f t="shared" si="2"/>
        <v>0</v>
      </c>
    </row>
    <row r="117">
      <c r="A117" s="5" t="s">
        <v>97</v>
      </c>
      <c r="B117" s="15" t="str">
        <f t="shared" si="1"/>
        <v>1</v>
      </c>
      <c r="C117" s="15" t="s">
        <v>115</v>
      </c>
      <c r="D117" s="15">
        <f t="shared" si="2"/>
        <v>1</v>
      </c>
    </row>
    <row r="118">
      <c r="A118" s="8"/>
      <c r="B118" s="15" t="str">
        <f t="shared" si="1"/>
        <v/>
      </c>
      <c r="C118" s="15" t="s">
        <v>5609</v>
      </c>
      <c r="D118" s="15">
        <f t="shared" si="2"/>
        <v>0</v>
      </c>
    </row>
    <row r="119">
      <c r="A119" s="8"/>
      <c r="B119" s="15" t="str">
        <f t="shared" si="1"/>
        <v/>
      </c>
      <c r="C119" s="15" t="s">
        <v>5609</v>
      </c>
      <c r="D119" s="15">
        <f t="shared" si="2"/>
        <v>0</v>
      </c>
    </row>
    <row r="120">
      <c r="A120" s="8"/>
      <c r="B120" s="15" t="str">
        <f t="shared" si="1"/>
        <v/>
      </c>
      <c r="C120" s="15" t="s">
        <v>5609</v>
      </c>
      <c r="D120" s="15">
        <f t="shared" si="2"/>
        <v>0</v>
      </c>
    </row>
    <row r="121">
      <c r="A121" s="5" t="s">
        <v>97</v>
      </c>
      <c r="B121" s="15" t="str">
        <f t="shared" si="1"/>
        <v>1</v>
      </c>
      <c r="C121" s="15" t="s">
        <v>115</v>
      </c>
      <c r="D121" s="15">
        <f t="shared" si="2"/>
        <v>1</v>
      </c>
    </row>
    <row r="122">
      <c r="A122" s="8"/>
      <c r="B122" s="15" t="str">
        <f t="shared" si="1"/>
        <v/>
      </c>
      <c r="C122" s="15" t="s">
        <v>5609</v>
      </c>
      <c r="D122" s="15">
        <f t="shared" si="2"/>
        <v>0</v>
      </c>
    </row>
    <row r="123">
      <c r="A123" s="8"/>
      <c r="B123" s="15" t="str">
        <f t="shared" si="1"/>
        <v/>
      </c>
      <c r="C123" s="15" t="s">
        <v>5609</v>
      </c>
      <c r="D123" s="15">
        <f t="shared" si="2"/>
        <v>0</v>
      </c>
    </row>
    <row r="124">
      <c r="A124" s="8"/>
      <c r="B124" s="15" t="str">
        <f t="shared" si="1"/>
        <v/>
      </c>
      <c r="C124" s="15" t="s">
        <v>5609</v>
      </c>
      <c r="D124" s="15">
        <f t="shared" si="2"/>
        <v>0</v>
      </c>
    </row>
    <row r="125">
      <c r="A125" s="8"/>
      <c r="B125" s="15" t="str">
        <f t="shared" si="1"/>
        <v/>
      </c>
      <c r="C125" s="15" t="s">
        <v>5609</v>
      </c>
      <c r="D125" s="15">
        <f t="shared" si="2"/>
        <v>0</v>
      </c>
    </row>
    <row r="126">
      <c r="A126" s="5" t="s">
        <v>97</v>
      </c>
      <c r="B126" s="15" t="str">
        <f t="shared" si="1"/>
        <v>1</v>
      </c>
      <c r="C126" s="15" t="s">
        <v>115</v>
      </c>
      <c r="D126" s="15">
        <f t="shared" si="2"/>
        <v>1</v>
      </c>
    </row>
    <row r="127">
      <c r="A127" s="5" t="s">
        <v>97</v>
      </c>
      <c r="B127" s="15" t="str">
        <f t="shared" si="1"/>
        <v>1</v>
      </c>
      <c r="C127" s="15" t="s">
        <v>115</v>
      </c>
      <c r="D127" s="15">
        <f t="shared" si="2"/>
        <v>1</v>
      </c>
    </row>
    <row r="128">
      <c r="A128" s="8"/>
      <c r="B128" s="15" t="str">
        <f t="shared" si="1"/>
        <v/>
      </c>
      <c r="C128" s="15" t="s">
        <v>5609</v>
      </c>
      <c r="D128" s="15">
        <f t="shared" si="2"/>
        <v>0</v>
      </c>
    </row>
    <row r="129">
      <c r="A129" s="8"/>
      <c r="B129" s="15" t="str">
        <f t="shared" si="1"/>
        <v/>
      </c>
      <c r="C129" s="15" t="s">
        <v>5609</v>
      </c>
      <c r="D129" s="15">
        <f t="shared" si="2"/>
        <v>0</v>
      </c>
    </row>
    <row r="130">
      <c r="A130" s="8"/>
      <c r="B130" s="15" t="str">
        <f t="shared" si="1"/>
        <v/>
      </c>
      <c r="C130" s="15" t="s">
        <v>5609</v>
      </c>
      <c r="D130" s="15">
        <f t="shared" si="2"/>
        <v>0</v>
      </c>
    </row>
    <row r="131">
      <c r="A131" s="5" t="s">
        <v>97</v>
      </c>
      <c r="B131" s="15" t="str">
        <f t="shared" si="1"/>
        <v>1</v>
      </c>
      <c r="C131" s="15" t="s">
        <v>115</v>
      </c>
      <c r="D131" s="15">
        <f t="shared" si="2"/>
        <v>1</v>
      </c>
    </row>
    <row r="132">
      <c r="A132" s="5" t="s">
        <v>97</v>
      </c>
      <c r="B132" s="15" t="str">
        <f t="shared" si="1"/>
        <v>1</v>
      </c>
      <c r="C132" s="15" t="s">
        <v>115</v>
      </c>
      <c r="D132" s="15">
        <f t="shared" si="2"/>
        <v>1</v>
      </c>
    </row>
    <row r="133">
      <c r="A133" s="8"/>
      <c r="B133" s="15" t="str">
        <f t="shared" si="1"/>
        <v/>
      </c>
      <c r="C133" s="15" t="s">
        <v>5609</v>
      </c>
      <c r="D133" s="15">
        <f t="shared" si="2"/>
        <v>0</v>
      </c>
    </row>
    <row r="134">
      <c r="A134" s="5" t="s">
        <v>97</v>
      </c>
      <c r="B134" s="15" t="str">
        <f t="shared" si="1"/>
        <v>1</v>
      </c>
      <c r="C134" s="15" t="s">
        <v>115</v>
      </c>
      <c r="D134" s="15">
        <f t="shared" si="2"/>
        <v>1</v>
      </c>
    </row>
    <row r="135">
      <c r="A135" s="5" t="s">
        <v>97</v>
      </c>
      <c r="B135" s="15" t="str">
        <f t="shared" si="1"/>
        <v>1</v>
      </c>
      <c r="C135" s="15" t="s">
        <v>115</v>
      </c>
      <c r="D135" s="15">
        <f t="shared" si="2"/>
        <v>1</v>
      </c>
    </row>
    <row r="136">
      <c r="A136" s="8"/>
      <c r="B136" s="15" t="str">
        <f t="shared" si="1"/>
        <v/>
      </c>
      <c r="C136" s="15" t="s">
        <v>5609</v>
      </c>
      <c r="D136" s="15">
        <f t="shared" si="2"/>
        <v>0</v>
      </c>
    </row>
    <row r="137">
      <c r="A137" s="8"/>
      <c r="B137" s="15" t="str">
        <f t="shared" si="1"/>
        <v/>
      </c>
      <c r="C137" s="15" t="s">
        <v>5609</v>
      </c>
      <c r="D137" s="15">
        <f t="shared" si="2"/>
        <v>0</v>
      </c>
    </row>
    <row r="138">
      <c r="A138" s="8"/>
      <c r="B138" s="15" t="str">
        <f t="shared" si="1"/>
        <v/>
      </c>
      <c r="C138" s="15" t="s">
        <v>5609</v>
      </c>
      <c r="D138" s="15">
        <f t="shared" si="2"/>
        <v>0</v>
      </c>
    </row>
    <row r="139">
      <c r="A139" s="8"/>
      <c r="B139" s="15" t="str">
        <f t="shared" si="1"/>
        <v/>
      </c>
      <c r="C139" s="15" t="s">
        <v>5609</v>
      </c>
      <c r="D139" s="15">
        <f t="shared" si="2"/>
        <v>0</v>
      </c>
    </row>
    <row r="140">
      <c r="A140" s="8"/>
      <c r="B140" s="15" t="str">
        <f t="shared" si="1"/>
        <v/>
      </c>
      <c r="C140" s="15" t="s">
        <v>5609</v>
      </c>
      <c r="D140" s="15">
        <f t="shared" si="2"/>
        <v>0</v>
      </c>
    </row>
    <row r="141">
      <c r="A141" s="8"/>
      <c r="B141" s="15" t="str">
        <f t="shared" si="1"/>
        <v/>
      </c>
      <c r="C141" s="15" t="s">
        <v>5609</v>
      </c>
      <c r="D141" s="15">
        <f t="shared" si="2"/>
        <v>0</v>
      </c>
    </row>
    <row r="142">
      <c r="A142" s="8"/>
      <c r="B142" s="15" t="str">
        <f t="shared" si="1"/>
        <v/>
      </c>
      <c r="C142" s="15" t="s">
        <v>5609</v>
      </c>
      <c r="D142" s="15">
        <f t="shared" si="2"/>
        <v>0</v>
      </c>
    </row>
    <row r="143">
      <c r="A143" s="8"/>
      <c r="B143" s="15" t="str">
        <f t="shared" si="1"/>
        <v/>
      </c>
      <c r="C143" s="15" t="s">
        <v>5609</v>
      </c>
      <c r="D143" s="15">
        <f t="shared" si="2"/>
        <v>0</v>
      </c>
    </row>
    <row r="144">
      <c r="A144" s="8"/>
      <c r="B144" s="15" t="str">
        <f t="shared" si="1"/>
        <v/>
      </c>
      <c r="C144" s="15" t="s">
        <v>5609</v>
      </c>
      <c r="D144" s="15">
        <f t="shared" si="2"/>
        <v>0</v>
      </c>
    </row>
    <row r="145">
      <c r="A145" s="8"/>
      <c r="B145" s="15" t="str">
        <f t="shared" si="1"/>
        <v/>
      </c>
      <c r="C145" s="15" t="s">
        <v>5609</v>
      </c>
      <c r="D145" s="15">
        <f t="shared" si="2"/>
        <v>0</v>
      </c>
    </row>
    <row r="146">
      <c r="A146" s="5" t="s">
        <v>97</v>
      </c>
      <c r="B146" s="15" t="str">
        <f t="shared" si="1"/>
        <v>1</v>
      </c>
      <c r="C146" s="15" t="s">
        <v>115</v>
      </c>
      <c r="D146" s="15">
        <f t="shared" si="2"/>
        <v>1</v>
      </c>
    </row>
    <row r="147">
      <c r="A147" s="5" t="s">
        <v>97</v>
      </c>
      <c r="B147" s="15" t="str">
        <f t="shared" si="1"/>
        <v>1</v>
      </c>
      <c r="C147" s="15" t="s">
        <v>115</v>
      </c>
      <c r="D147" s="15">
        <f t="shared" si="2"/>
        <v>1</v>
      </c>
    </row>
    <row r="148">
      <c r="A148" s="8"/>
      <c r="B148" s="15" t="str">
        <f t="shared" si="1"/>
        <v/>
      </c>
      <c r="C148" s="15" t="s">
        <v>5609</v>
      </c>
      <c r="D148" s="15">
        <f t="shared" si="2"/>
        <v>0</v>
      </c>
    </row>
    <row r="149">
      <c r="A149" s="8"/>
      <c r="B149" s="15" t="str">
        <f t="shared" si="1"/>
        <v/>
      </c>
      <c r="C149" s="15" t="s">
        <v>5609</v>
      </c>
      <c r="D149" s="15">
        <f t="shared" si="2"/>
        <v>0</v>
      </c>
    </row>
    <row r="150">
      <c r="A150" s="8"/>
      <c r="B150" s="15" t="str">
        <f t="shared" si="1"/>
        <v/>
      </c>
      <c r="C150" s="15" t="s">
        <v>5609</v>
      </c>
      <c r="D150" s="15">
        <f t="shared" si="2"/>
        <v>0</v>
      </c>
    </row>
    <row r="151">
      <c r="A151" s="8"/>
      <c r="B151" s="15" t="str">
        <f t="shared" si="1"/>
        <v/>
      </c>
      <c r="C151" s="15" t="s">
        <v>5609</v>
      </c>
      <c r="D151" s="15">
        <f t="shared" si="2"/>
        <v>0</v>
      </c>
    </row>
    <row r="152">
      <c r="A152" s="8"/>
      <c r="B152" s="15" t="str">
        <f t="shared" si="1"/>
        <v/>
      </c>
      <c r="C152" s="15" t="s">
        <v>5609</v>
      </c>
      <c r="D152" s="15">
        <f t="shared" si="2"/>
        <v>0</v>
      </c>
    </row>
    <row r="153">
      <c r="A153" s="8"/>
      <c r="B153" s="15" t="str">
        <f t="shared" si="1"/>
        <v/>
      </c>
      <c r="C153" s="15" t="s">
        <v>5609</v>
      </c>
      <c r="D153" s="15">
        <f t="shared" si="2"/>
        <v>0</v>
      </c>
    </row>
    <row r="154">
      <c r="A154" s="5" t="s">
        <v>97</v>
      </c>
      <c r="B154" s="15" t="str">
        <f t="shared" si="1"/>
        <v>1</v>
      </c>
      <c r="C154" s="15" t="s">
        <v>115</v>
      </c>
      <c r="D154" s="15">
        <f t="shared" si="2"/>
        <v>1</v>
      </c>
    </row>
    <row r="155">
      <c r="A155" s="8"/>
      <c r="B155" s="15" t="str">
        <f t="shared" si="1"/>
        <v/>
      </c>
      <c r="C155" s="15" t="s">
        <v>5609</v>
      </c>
      <c r="D155" s="15">
        <f t="shared" si="2"/>
        <v>0</v>
      </c>
    </row>
    <row r="156">
      <c r="A156" s="8"/>
      <c r="B156" s="15" t="str">
        <f t="shared" si="1"/>
        <v/>
      </c>
      <c r="C156" s="15" t="s">
        <v>5609</v>
      </c>
      <c r="D156" s="15">
        <f t="shared" si="2"/>
        <v>0</v>
      </c>
    </row>
    <row r="157">
      <c r="A157" s="8"/>
      <c r="B157" s="15" t="str">
        <f t="shared" si="1"/>
        <v/>
      </c>
      <c r="C157" s="15" t="s">
        <v>5609</v>
      </c>
      <c r="D157" s="15">
        <f t="shared" si="2"/>
        <v>0</v>
      </c>
    </row>
    <row r="158">
      <c r="A158" s="8"/>
      <c r="B158" s="15" t="str">
        <f t="shared" si="1"/>
        <v/>
      </c>
      <c r="C158" s="15" t="s">
        <v>5609</v>
      </c>
      <c r="D158" s="15">
        <f t="shared" si="2"/>
        <v>0</v>
      </c>
    </row>
    <row r="159">
      <c r="A159" s="8"/>
      <c r="B159" s="15" t="str">
        <f t="shared" si="1"/>
        <v/>
      </c>
      <c r="C159" s="15" t="s">
        <v>5609</v>
      </c>
      <c r="D159" s="15">
        <f t="shared" si="2"/>
        <v>0</v>
      </c>
    </row>
    <row r="160">
      <c r="A160" s="8"/>
      <c r="B160" s="15" t="str">
        <f t="shared" si="1"/>
        <v/>
      </c>
      <c r="C160" s="15" t="s">
        <v>5609</v>
      </c>
      <c r="D160" s="15">
        <f t="shared" si="2"/>
        <v>0</v>
      </c>
    </row>
    <row r="161">
      <c r="A161" s="8"/>
      <c r="B161" s="15" t="str">
        <f t="shared" si="1"/>
        <v/>
      </c>
      <c r="C161" s="15" t="s">
        <v>5609</v>
      </c>
      <c r="D161" s="15">
        <f t="shared" si="2"/>
        <v>0</v>
      </c>
    </row>
    <row r="162">
      <c r="A162" s="8"/>
      <c r="B162" s="15" t="str">
        <f t="shared" si="1"/>
        <v/>
      </c>
      <c r="C162" s="15" t="s">
        <v>5609</v>
      </c>
      <c r="D162" s="15">
        <f t="shared" si="2"/>
        <v>0</v>
      </c>
    </row>
    <row r="163">
      <c r="A163" s="8"/>
      <c r="B163" s="15" t="str">
        <f t="shared" si="1"/>
        <v/>
      </c>
      <c r="C163" s="15" t="s">
        <v>5609</v>
      </c>
      <c r="D163" s="15">
        <f t="shared" si="2"/>
        <v>0</v>
      </c>
    </row>
    <row r="164">
      <c r="A164" s="8"/>
      <c r="B164" s="15" t="str">
        <f t="shared" si="1"/>
        <v/>
      </c>
      <c r="C164" s="15" t="s">
        <v>5609</v>
      </c>
      <c r="D164" s="15">
        <f t="shared" si="2"/>
        <v>0</v>
      </c>
    </row>
    <row r="165">
      <c r="A165" s="8"/>
      <c r="B165" s="15" t="str">
        <f t="shared" si="1"/>
        <v/>
      </c>
      <c r="C165" s="15" t="s">
        <v>5609</v>
      </c>
      <c r="D165" s="15">
        <f t="shared" si="2"/>
        <v>0</v>
      </c>
    </row>
    <row r="166">
      <c r="A166" s="8"/>
      <c r="B166" s="15" t="str">
        <f t="shared" si="1"/>
        <v/>
      </c>
      <c r="C166" s="15" t="s">
        <v>5609</v>
      </c>
      <c r="D166" s="15">
        <f t="shared" si="2"/>
        <v>0</v>
      </c>
    </row>
    <row r="167">
      <c r="A167" s="8"/>
      <c r="B167" s="15" t="str">
        <f t="shared" si="1"/>
        <v/>
      </c>
      <c r="C167" s="15" t="s">
        <v>5609</v>
      </c>
      <c r="D167" s="15">
        <f t="shared" si="2"/>
        <v>0</v>
      </c>
    </row>
    <row r="168">
      <c r="A168" s="8"/>
      <c r="B168" s="15" t="str">
        <f t="shared" si="1"/>
        <v/>
      </c>
      <c r="C168" s="15" t="s">
        <v>5609</v>
      </c>
      <c r="D168" s="15">
        <f t="shared" si="2"/>
        <v>0</v>
      </c>
    </row>
    <row r="169">
      <c r="A169" s="5" t="s">
        <v>97</v>
      </c>
      <c r="B169" s="15" t="str">
        <f t="shared" si="1"/>
        <v>1</v>
      </c>
      <c r="C169" s="15" t="s">
        <v>115</v>
      </c>
      <c r="D169" s="15">
        <f t="shared" si="2"/>
        <v>1</v>
      </c>
    </row>
    <row r="170">
      <c r="A170" s="8"/>
      <c r="B170" s="15" t="str">
        <f t="shared" si="1"/>
        <v/>
      </c>
      <c r="C170" s="15" t="s">
        <v>5609</v>
      </c>
      <c r="D170" s="15">
        <f t="shared" si="2"/>
        <v>0</v>
      </c>
    </row>
    <row r="171">
      <c r="A171" s="8"/>
      <c r="B171" s="15" t="str">
        <f t="shared" si="1"/>
        <v/>
      </c>
      <c r="C171" s="15" t="s">
        <v>5609</v>
      </c>
      <c r="D171" s="15">
        <f t="shared" si="2"/>
        <v>0</v>
      </c>
    </row>
    <row r="172">
      <c r="A172" s="8"/>
      <c r="B172" s="15" t="str">
        <f t="shared" si="1"/>
        <v/>
      </c>
      <c r="C172" s="15" t="s">
        <v>5609</v>
      </c>
      <c r="D172" s="15">
        <f t="shared" si="2"/>
        <v>0</v>
      </c>
    </row>
    <row r="173">
      <c r="A173" s="8"/>
      <c r="B173" s="15" t="str">
        <f t="shared" si="1"/>
        <v/>
      </c>
      <c r="C173" s="15" t="s">
        <v>5609</v>
      </c>
      <c r="D173" s="15">
        <f t="shared" si="2"/>
        <v>0</v>
      </c>
    </row>
    <row r="174">
      <c r="A174" s="8"/>
      <c r="B174" s="15" t="str">
        <f t="shared" si="1"/>
        <v/>
      </c>
      <c r="C174" s="15" t="s">
        <v>5609</v>
      </c>
      <c r="D174" s="15">
        <f t="shared" si="2"/>
        <v>0</v>
      </c>
    </row>
    <row r="175">
      <c r="A175" s="8"/>
      <c r="B175" s="15" t="str">
        <f t="shared" si="1"/>
        <v/>
      </c>
      <c r="C175" s="15" t="s">
        <v>5609</v>
      </c>
      <c r="D175" s="15">
        <f t="shared" si="2"/>
        <v>0</v>
      </c>
    </row>
    <row r="176">
      <c r="A176" s="8"/>
      <c r="B176" s="15" t="str">
        <f t="shared" si="1"/>
        <v/>
      </c>
      <c r="C176" s="15" t="s">
        <v>5609</v>
      </c>
      <c r="D176" s="15">
        <f t="shared" si="2"/>
        <v>0</v>
      </c>
    </row>
    <row r="177">
      <c r="A177" s="5" t="s">
        <v>97</v>
      </c>
      <c r="B177" s="15" t="str">
        <f t="shared" si="1"/>
        <v>1</v>
      </c>
      <c r="C177" s="15" t="s">
        <v>115</v>
      </c>
      <c r="D177" s="15">
        <f t="shared" si="2"/>
        <v>1</v>
      </c>
    </row>
    <row r="178">
      <c r="A178" s="8"/>
      <c r="B178" s="15" t="str">
        <f t="shared" si="1"/>
        <v/>
      </c>
      <c r="C178" s="15" t="s">
        <v>5609</v>
      </c>
      <c r="D178" s="15">
        <f t="shared" si="2"/>
        <v>0</v>
      </c>
    </row>
    <row r="179">
      <c r="A179" s="8"/>
      <c r="B179" s="15" t="str">
        <f t="shared" si="1"/>
        <v/>
      </c>
      <c r="C179" s="15" t="s">
        <v>5609</v>
      </c>
      <c r="D179" s="15">
        <f t="shared" si="2"/>
        <v>0</v>
      </c>
    </row>
    <row r="180">
      <c r="A180" s="8"/>
      <c r="B180" s="15" t="str">
        <f t="shared" si="1"/>
        <v/>
      </c>
      <c r="C180" s="15" t="s">
        <v>5609</v>
      </c>
      <c r="D180" s="15">
        <f t="shared" si="2"/>
        <v>0</v>
      </c>
    </row>
    <row r="181">
      <c r="A181" s="8"/>
      <c r="B181" s="15" t="str">
        <f t="shared" si="1"/>
        <v/>
      </c>
      <c r="C181" s="15" t="s">
        <v>5609</v>
      </c>
      <c r="D181" s="15">
        <f t="shared" si="2"/>
        <v>0</v>
      </c>
    </row>
    <row r="182">
      <c r="A182" s="8"/>
      <c r="B182" s="15" t="str">
        <f t="shared" si="1"/>
        <v/>
      </c>
      <c r="C182" s="15" t="s">
        <v>5609</v>
      </c>
      <c r="D182" s="15">
        <f t="shared" si="2"/>
        <v>0</v>
      </c>
    </row>
    <row r="183">
      <c r="A183" s="8"/>
      <c r="B183" s="15" t="str">
        <f t="shared" si="1"/>
        <v/>
      </c>
      <c r="C183" s="15" t="s">
        <v>5609</v>
      </c>
      <c r="D183" s="15">
        <f t="shared" si="2"/>
        <v>0</v>
      </c>
    </row>
    <row r="184">
      <c r="A184" s="8"/>
      <c r="B184" s="15" t="str">
        <f t="shared" si="1"/>
        <v/>
      </c>
      <c r="C184" s="15" t="s">
        <v>5609</v>
      </c>
      <c r="D184" s="15">
        <f t="shared" si="2"/>
        <v>0</v>
      </c>
    </row>
    <row r="185">
      <c r="A185" s="8"/>
      <c r="B185" s="15" t="str">
        <f t="shared" si="1"/>
        <v/>
      </c>
      <c r="C185" s="15" t="s">
        <v>5609</v>
      </c>
      <c r="D185" s="15">
        <f t="shared" si="2"/>
        <v>0</v>
      </c>
    </row>
    <row r="186">
      <c r="A186" s="8"/>
      <c r="B186" s="15" t="str">
        <f t="shared" si="1"/>
        <v/>
      </c>
      <c r="C186" s="15" t="s">
        <v>5609</v>
      </c>
      <c r="D186" s="15">
        <f t="shared" si="2"/>
        <v>0</v>
      </c>
    </row>
    <row r="187">
      <c r="A187" s="8"/>
      <c r="B187" s="15" t="str">
        <f t="shared" si="1"/>
        <v/>
      </c>
      <c r="C187" s="15" t="s">
        <v>5609</v>
      </c>
      <c r="D187" s="15">
        <f t="shared" si="2"/>
        <v>0</v>
      </c>
    </row>
    <row r="188">
      <c r="A188" s="8"/>
      <c r="B188" s="15" t="str">
        <f t="shared" si="1"/>
        <v/>
      </c>
      <c r="C188" s="15" t="s">
        <v>5609</v>
      </c>
      <c r="D188" s="15">
        <f t="shared" si="2"/>
        <v>0</v>
      </c>
    </row>
    <row r="189">
      <c r="A189" s="8"/>
      <c r="B189" s="15" t="str">
        <f t="shared" si="1"/>
        <v/>
      </c>
      <c r="C189" s="15" t="s">
        <v>5609</v>
      </c>
      <c r="D189" s="15">
        <f t="shared" si="2"/>
        <v>0</v>
      </c>
    </row>
    <row r="190">
      <c r="A190" s="8"/>
      <c r="B190" s="15" t="str">
        <f t="shared" si="1"/>
        <v/>
      </c>
      <c r="C190" s="15" t="s">
        <v>5609</v>
      </c>
      <c r="D190" s="15">
        <f t="shared" si="2"/>
        <v>0</v>
      </c>
    </row>
    <row r="191">
      <c r="A191" s="8"/>
      <c r="B191" s="15" t="str">
        <f t="shared" si="1"/>
        <v/>
      </c>
      <c r="C191" s="15" t="s">
        <v>5609</v>
      </c>
      <c r="D191" s="15">
        <f t="shared" si="2"/>
        <v>0</v>
      </c>
    </row>
    <row r="192">
      <c r="A192" s="8"/>
      <c r="B192" s="15" t="str">
        <f t="shared" si="1"/>
        <v/>
      </c>
      <c r="C192" s="15" t="s">
        <v>5609</v>
      </c>
      <c r="D192" s="15">
        <f t="shared" si="2"/>
        <v>0</v>
      </c>
    </row>
    <row r="193">
      <c r="A193" s="8"/>
      <c r="B193" s="15" t="str">
        <f t="shared" si="1"/>
        <v/>
      </c>
      <c r="C193" s="15" t="s">
        <v>5609</v>
      </c>
      <c r="D193" s="15">
        <f t="shared" si="2"/>
        <v>0</v>
      </c>
    </row>
    <row r="194">
      <c r="A194" s="8"/>
      <c r="B194" s="15" t="str">
        <f t="shared" si="1"/>
        <v/>
      </c>
      <c r="C194" s="15" t="s">
        <v>5609</v>
      </c>
      <c r="D194" s="15">
        <f t="shared" si="2"/>
        <v>0</v>
      </c>
    </row>
    <row r="195">
      <c r="A195" s="5" t="s">
        <v>97</v>
      </c>
      <c r="B195" s="15" t="str">
        <f t="shared" si="1"/>
        <v>1</v>
      </c>
      <c r="C195" s="15" t="s">
        <v>115</v>
      </c>
      <c r="D195" s="15">
        <f t="shared" si="2"/>
        <v>1</v>
      </c>
    </row>
    <row r="196">
      <c r="A196" s="8"/>
      <c r="B196" s="15" t="str">
        <f t="shared" si="1"/>
        <v/>
      </c>
      <c r="C196" s="15" t="s">
        <v>5609</v>
      </c>
      <c r="D196" s="15">
        <f t="shared" si="2"/>
        <v>0</v>
      </c>
    </row>
    <row r="197">
      <c r="A197" s="8"/>
      <c r="B197" s="15" t="str">
        <f t="shared" si="1"/>
        <v/>
      </c>
      <c r="C197" s="15" t="s">
        <v>5609</v>
      </c>
      <c r="D197" s="15">
        <f t="shared" si="2"/>
        <v>0</v>
      </c>
    </row>
    <row r="198">
      <c r="A198" s="8"/>
      <c r="B198" s="15" t="str">
        <f t="shared" si="1"/>
        <v/>
      </c>
      <c r="C198" s="15" t="s">
        <v>5609</v>
      </c>
      <c r="D198" s="15">
        <f t="shared" si="2"/>
        <v>0</v>
      </c>
    </row>
    <row r="199">
      <c r="A199" s="8"/>
      <c r="B199" s="15" t="str">
        <f t="shared" si="1"/>
        <v/>
      </c>
      <c r="C199" s="15" t="s">
        <v>5609</v>
      </c>
      <c r="D199" s="15">
        <f t="shared" si="2"/>
        <v>0</v>
      </c>
    </row>
    <row r="200">
      <c r="A200" s="8"/>
      <c r="B200" s="15" t="str">
        <f t="shared" si="1"/>
        <v/>
      </c>
      <c r="C200" s="15" t="s">
        <v>5609</v>
      </c>
      <c r="D200" s="15">
        <f t="shared" si="2"/>
        <v>0</v>
      </c>
    </row>
    <row r="201">
      <c r="A201" s="8"/>
      <c r="B201" s="15" t="str">
        <f t="shared" si="1"/>
        <v/>
      </c>
      <c r="C201" s="15" t="s">
        <v>5609</v>
      </c>
      <c r="D201" s="15">
        <f t="shared" si="2"/>
        <v>0</v>
      </c>
    </row>
    <row r="202">
      <c r="A202" s="8"/>
      <c r="B202" s="15" t="str">
        <f t="shared" si="1"/>
        <v/>
      </c>
      <c r="C202" s="15" t="s">
        <v>5609</v>
      </c>
      <c r="D202" s="15">
        <f t="shared" si="2"/>
        <v>0</v>
      </c>
    </row>
    <row r="203">
      <c r="A203" s="8"/>
      <c r="B203" s="15" t="str">
        <f t="shared" si="1"/>
        <v/>
      </c>
      <c r="C203" s="15" t="s">
        <v>5609</v>
      </c>
      <c r="D203" s="15">
        <f t="shared" si="2"/>
        <v>0</v>
      </c>
    </row>
    <row r="204">
      <c r="A204" s="5" t="s">
        <v>97</v>
      </c>
      <c r="B204" s="15" t="str">
        <f t="shared" si="1"/>
        <v>1</v>
      </c>
      <c r="C204" s="15" t="s">
        <v>115</v>
      </c>
      <c r="D204" s="15">
        <f t="shared" si="2"/>
        <v>1</v>
      </c>
    </row>
    <row r="205">
      <c r="A205" s="8"/>
      <c r="B205" s="15" t="str">
        <f t="shared" si="1"/>
        <v/>
      </c>
      <c r="C205" s="15" t="s">
        <v>5609</v>
      </c>
      <c r="D205" s="15">
        <f t="shared" si="2"/>
        <v>0</v>
      </c>
    </row>
    <row r="206">
      <c r="A206" s="8"/>
      <c r="B206" s="15" t="str">
        <f t="shared" si="1"/>
        <v/>
      </c>
      <c r="C206" s="15" t="s">
        <v>5609</v>
      </c>
      <c r="D206" s="15">
        <f t="shared" si="2"/>
        <v>0</v>
      </c>
    </row>
    <row r="207">
      <c r="A207" s="8"/>
      <c r="B207" s="15" t="str">
        <f t="shared" si="1"/>
        <v/>
      </c>
      <c r="C207" s="15" t="s">
        <v>5609</v>
      </c>
      <c r="D207" s="15">
        <f t="shared" si="2"/>
        <v>0</v>
      </c>
    </row>
    <row r="208">
      <c r="A208" s="8"/>
      <c r="B208" s="15" t="str">
        <f t="shared" si="1"/>
        <v/>
      </c>
      <c r="C208" s="15" t="s">
        <v>5609</v>
      </c>
      <c r="D208" s="15">
        <f t="shared" si="2"/>
        <v>0</v>
      </c>
    </row>
    <row r="209">
      <c r="A209" s="8"/>
      <c r="B209" s="15" t="str">
        <f t="shared" si="1"/>
        <v/>
      </c>
      <c r="C209" s="15" t="s">
        <v>5609</v>
      </c>
      <c r="D209" s="15">
        <f t="shared" si="2"/>
        <v>0</v>
      </c>
    </row>
    <row r="210">
      <c r="A210" s="8"/>
      <c r="B210" s="15" t="str">
        <f t="shared" si="1"/>
        <v/>
      </c>
      <c r="C210" s="15" t="s">
        <v>5609</v>
      </c>
      <c r="D210" s="15">
        <f t="shared" si="2"/>
        <v>0</v>
      </c>
    </row>
    <row r="211">
      <c r="A211" s="8"/>
      <c r="B211" s="15" t="str">
        <f t="shared" si="1"/>
        <v/>
      </c>
      <c r="C211" s="15" t="s">
        <v>5609</v>
      </c>
      <c r="D211" s="15">
        <f t="shared" si="2"/>
        <v>0</v>
      </c>
    </row>
    <row r="212">
      <c r="A212" s="8"/>
      <c r="B212" s="15" t="str">
        <f t="shared" si="1"/>
        <v/>
      </c>
      <c r="C212" s="15" t="s">
        <v>5609</v>
      </c>
      <c r="D212" s="15">
        <f t="shared" si="2"/>
        <v>0</v>
      </c>
    </row>
    <row r="213">
      <c r="A213" s="8"/>
      <c r="B213" s="15" t="str">
        <f t="shared" si="1"/>
        <v/>
      </c>
      <c r="C213" s="15" t="s">
        <v>5609</v>
      </c>
      <c r="D213" s="15">
        <f t="shared" si="2"/>
        <v>0</v>
      </c>
    </row>
    <row r="214">
      <c r="A214" s="8"/>
      <c r="B214" s="15" t="str">
        <f t="shared" si="1"/>
        <v/>
      </c>
      <c r="C214" s="15" t="s">
        <v>5609</v>
      </c>
      <c r="D214" s="15">
        <f t="shared" si="2"/>
        <v>0</v>
      </c>
    </row>
    <row r="215">
      <c r="A215" s="8"/>
      <c r="B215" s="15" t="str">
        <f t="shared" si="1"/>
        <v/>
      </c>
      <c r="C215" s="15" t="s">
        <v>5609</v>
      </c>
      <c r="D215" s="15">
        <f t="shared" si="2"/>
        <v>0</v>
      </c>
    </row>
    <row r="216">
      <c r="A216" s="8"/>
      <c r="B216" s="15" t="str">
        <f t="shared" si="1"/>
        <v/>
      </c>
      <c r="C216" s="15" t="s">
        <v>5609</v>
      </c>
      <c r="D216" s="15">
        <f t="shared" si="2"/>
        <v>0</v>
      </c>
    </row>
    <row r="217">
      <c r="A217" s="8"/>
      <c r="B217" s="15" t="str">
        <f t="shared" si="1"/>
        <v/>
      </c>
      <c r="C217" s="15" t="s">
        <v>5609</v>
      </c>
      <c r="D217" s="15">
        <f t="shared" si="2"/>
        <v>0</v>
      </c>
    </row>
    <row r="218">
      <c r="A218" s="8"/>
      <c r="B218" s="15" t="str">
        <f t="shared" si="1"/>
        <v/>
      </c>
      <c r="C218" s="15" t="s">
        <v>5609</v>
      </c>
      <c r="D218" s="15">
        <f t="shared" si="2"/>
        <v>0</v>
      </c>
    </row>
    <row r="219">
      <c r="A219" s="5" t="s">
        <v>97</v>
      </c>
      <c r="B219" s="15" t="str">
        <f t="shared" si="1"/>
        <v>1</v>
      </c>
      <c r="C219" s="15" t="s">
        <v>115</v>
      </c>
      <c r="D219" s="15">
        <f t="shared" si="2"/>
        <v>1</v>
      </c>
    </row>
    <row r="220">
      <c r="A220" s="8"/>
      <c r="B220" s="15" t="str">
        <f t="shared" si="1"/>
        <v/>
      </c>
      <c r="C220" s="15" t="s">
        <v>5609</v>
      </c>
      <c r="D220" s="15">
        <f t="shared" si="2"/>
        <v>0</v>
      </c>
    </row>
    <row r="221">
      <c r="A221" s="8"/>
      <c r="B221" s="15" t="str">
        <f t="shared" si="1"/>
        <v/>
      </c>
      <c r="C221" s="15" t="s">
        <v>5609</v>
      </c>
      <c r="D221" s="15">
        <f t="shared" si="2"/>
        <v>0</v>
      </c>
    </row>
    <row r="222">
      <c r="A222" s="8"/>
      <c r="B222" s="15" t="str">
        <f t="shared" si="1"/>
        <v/>
      </c>
      <c r="C222" s="15" t="s">
        <v>5609</v>
      </c>
      <c r="D222" s="15">
        <f t="shared" si="2"/>
        <v>0</v>
      </c>
    </row>
    <row r="223">
      <c r="A223" s="8"/>
      <c r="B223" s="15" t="str">
        <f t="shared" si="1"/>
        <v/>
      </c>
      <c r="C223" s="15" t="s">
        <v>5609</v>
      </c>
      <c r="D223" s="15">
        <f t="shared" si="2"/>
        <v>0</v>
      </c>
    </row>
    <row r="224">
      <c r="A224" s="8"/>
      <c r="B224" s="15" t="str">
        <f t="shared" si="1"/>
        <v/>
      </c>
      <c r="C224" s="15" t="s">
        <v>5609</v>
      </c>
      <c r="D224" s="15">
        <f t="shared" si="2"/>
        <v>0</v>
      </c>
    </row>
    <row r="225">
      <c r="A225" s="8"/>
      <c r="B225" s="15" t="str">
        <f t="shared" si="1"/>
        <v/>
      </c>
      <c r="C225" s="15" t="s">
        <v>5609</v>
      </c>
      <c r="D225" s="15">
        <f t="shared" si="2"/>
        <v>0</v>
      </c>
    </row>
    <row r="226">
      <c r="A226" s="8"/>
      <c r="B226" s="15" t="str">
        <f t="shared" si="1"/>
        <v/>
      </c>
      <c r="C226" s="15" t="s">
        <v>5609</v>
      </c>
      <c r="D226" s="15">
        <f t="shared" si="2"/>
        <v>0</v>
      </c>
    </row>
    <row r="227">
      <c r="A227" s="8"/>
      <c r="B227" s="15" t="str">
        <f t="shared" si="1"/>
        <v/>
      </c>
      <c r="C227" s="15" t="s">
        <v>5609</v>
      </c>
      <c r="D227" s="15">
        <f t="shared" si="2"/>
        <v>0</v>
      </c>
    </row>
    <row r="228">
      <c r="A228" s="8"/>
      <c r="B228" s="15" t="str">
        <f t="shared" si="1"/>
        <v/>
      </c>
      <c r="C228" s="15" t="s">
        <v>5609</v>
      </c>
      <c r="D228" s="15">
        <f t="shared" si="2"/>
        <v>0</v>
      </c>
    </row>
    <row r="229">
      <c r="A229" s="8"/>
      <c r="B229" s="15" t="str">
        <f t="shared" si="1"/>
        <v/>
      </c>
      <c r="C229" s="15" t="s">
        <v>5609</v>
      </c>
      <c r="D229" s="15">
        <f t="shared" si="2"/>
        <v>0</v>
      </c>
    </row>
    <row r="230">
      <c r="A230" s="8"/>
      <c r="B230" s="15" t="str">
        <f t="shared" si="1"/>
        <v/>
      </c>
      <c r="C230" s="15" t="s">
        <v>5609</v>
      </c>
      <c r="D230" s="15">
        <f t="shared" si="2"/>
        <v>0</v>
      </c>
    </row>
    <row r="231">
      <c r="A231" s="8"/>
      <c r="B231" s="15" t="str">
        <f t="shared" si="1"/>
        <v/>
      </c>
      <c r="C231" s="15" t="s">
        <v>5609</v>
      </c>
      <c r="D231" s="15">
        <f t="shared" si="2"/>
        <v>0</v>
      </c>
    </row>
    <row r="232">
      <c r="A232" s="8"/>
      <c r="B232" s="15" t="str">
        <f t="shared" si="1"/>
        <v/>
      </c>
      <c r="C232" s="15" t="s">
        <v>5609</v>
      </c>
      <c r="D232" s="15">
        <f t="shared" si="2"/>
        <v>0</v>
      </c>
    </row>
    <row r="233">
      <c r="A233" s="8"/>
      <c r="B233" s="15" t="str">
        <f t="shared" si="1"/>
        <v/>
      </c>
      <c r="C233" s="15" t="s">
        <v>5609</v>
      </c>
      <c r="D233" s="15">
        <f t="shared" si="2"/>
        <v>0</v>
      </c>
    </row>
    <row r="234">
      <c r="A234" s="8"/>
      <c r="B234" s="15" t="str">
        <f t="shared" si="1"/>
        <v/>
      </c>
      <c r="C234" s="15" t="s">
        <v>5609</v>
      </c>
      <c r="D234" s="15">
        <f t="shared" si="2"/>
        <v>0</v>
      </c>
    </row>
    <row r="235">
      <c r="A235" s="8"/>
      <c r="B235" s="15" t="str">
        <f t="shared" si="1"/>
        <v/>
      </c>
      <c r="C235" s="15" t="s">
        <v>5609</v>
      </c>
      <c r="D235" s="15">
        <f t="shared" si="2"/>
        <v>0</v>
      </c>
    </row>
    <row r="236">
      <c r="A236" s="8"/>
      <c r="B236" s="15" t="str">
        <f t="shared" si="1"/>
        <v/>
      </c>
      <c r="C236" s="15" t="s">
        <v>5609</v>
      </c>
      <c r="D236" s="15">
        <f t="shared" si="2"/>
        <v>0</v>
      </c>
    </row>
    <row r="237">
      <c r="A237" s="8"/>
      <c r="B237" s="15" t="str">
        <f t="shared" si="1"/>
        <v/>
      </c>
      <c r="C237" s="15" t="s">
        <v>5609</v>
      </c>
      <c r="D237" s="15">
        <f t="shared" si="2"/>
        <v>0</v>
      </c>
    </row>
    <row r="238">
      <c r="A238" s="5" t="s">
        <v>97</v>
      </c>
      <c r="B238" s="15" t="str">
        <f t="shared" si="1"/>
        <v>1</v>
      </c>
      <c r="C238" s="15" t="s">
        <v>115</v>
      </c>
      <c r="D238" s="15">
        <f t="shared" si="2"/>
        <v>1</v>
      </c>
    </row>
    <row r="239">
      <c r="A239" s="8"/>
      <c r="B239" s="15" t="str">
        <f t="shared" si="1"/>
        <v/>
      </c>
      <c r="C239" s="15" t="s">
        <v>5609</v>
      </c>
      <c r="D239" s="15">
        <f t="shared" si="2"/>
        <v>0</v>
      </c>
    </row>
    <row r="240">
      <c r="A240" s="8"/>
      <c r="B240" s="15" t="str">
        <f t="shared" si="1"/>
        <v/>
      </c>
      <c r="C240" s="15" t="s">
        <v>5609</v>
      </c>
      <c r="D240" s="15">
        <f t="shared" si="2"/>
        <v>0</v>
      </c>
    </row>
    <row r="241">
      <c r="A241" s="8"/>
      <c r="B241" s="15" t="str">
        <f t="shared" si="1"/>
        <v/>
      </c>
      <c r="C241" s="15" t="s">
        <v>5609</v>
      </c>
      <c r="D241" s="15">
        <f t="shared" si="2"/>
        <v>0</v>
      </c>
    </row>
    <row r="242">
      <c r="A242" s="8"/>
      <c r="B242" s="15" t="str">
        <f t="shared" si="1"/>
        <v/>
      </c>
      <c r="C242" s="15" t="s">
        <v>5609</v>
      </c>
      <c r="D242" s="15">
        <f t="shared" si="2"/>
        <v>0</v>
      </c>
    </row>
    <row r="243">
      <c r="A243" s="8"/>
      <c r="B243" s="15" t="str">
        <f t="shared" si="1"/>
        <v/>
      </c>
      <c r="C243" s="15" t="s">
        <v>5609</v>
      </c>
      <c r="D243" s="15">
        <f t="shared" si="2"/>
        <v>0</v>
      </c>
    </row>
    <row r="244">
      <c r="A244" s="8"/>
      <c r="B244" s="15" t="str">
        <f t="shared" si="1"/>
        <v/>
      </c>
      <c r="C244" s="15" t="s">
        <v>5609</v>
      </c>
      <c r="D244" s="15">
        <f t="shared" si="2"/>
        <v>0</v>
      </c>
    </row>
    <row r="245">
      <c r="A245" s="8"/>
      <c r="B245" s="15" t="str">
        <f t="shared" si="1"/>
        <v/>
      </c>
      <c r="C245" s="15" t="s">
        <v>5609</v>
      </c>
      <c r="D245" s="15">
        <f t="shared" si="2"/>
        <v>0</v>
      </c>
    </row>
    <row r="246">
      <c r="A246" s="8"/>
      <c r="B246" s="15" t="str">
        <f t="shared" si="1"/>
        <v/>
      </c>
      <c r="C246" s="15" t="s">
        <v>5609</v>
      </c>
      <c r="D246" s="15">
        <f t="shared" si="2"/>
        <v>0</v>
      </c>
    </row>
    <row r="247">
      <c r="A247" s="8"/>
      <c r="B247" s="15" t="str">
        <f t="shared" si="1"/>
        <v/>
      </c>
      <c r="C247" s="15" t="s">
        <v>5609</v>
      </c>
      <c r="D247" s="15">
        <f t="shared" si="2"/>
        <v>0</v>
      </c>
    </row>
    <row r="248">
      <c r="A248" s="8"/>
      <c r="B248" s="15" t="str">
        <f t="shared" si="1"/>
        <v/>
      </c>
      <c r="C248" s="15" t="s">
        <v>5609</v>
      </c>
      <c r="D248" s="15">
        <f t="shared" si="2"/>
        <v>0</v>
      </c>
    </row>
    <row r="249">
      <c r="A249" s="8"/>
      <c r="B249" s="15" t="str">
        <f t="shared" si="1"/>
        <v/>
      </c>
      <c r="C249" s="15" t="s">
        <v>5609</v>
      </c>
      <c r="D249" s="15">
        <f t="shared" si="2"/>
        <v>0</v>
      </c>
    </row>
    <row r="250">
      <c r="A250" s="8"/>
      <c r="B250" s="15" t="str">
        <f t="shared" si="1"/>
        <v/>
      </c>
      <c r="C250" s="15" t="s">
        <v>5609</v>
      </c>
      <c r="D250" s="15">
        <f t="shared" si="2"/>
        <v>0</v>
      </c>
    </row>
    <row r="251">
      <c r="A251" s="8"/>
      <c r="B251" s="15" t="str">
        <f t="shared" si="1"/>
        <v/>
      </c>
      <c r="C251" s="15" t="s">
        <v>5609</v>
      </c>
      <c r="D251" s="15">
        <f t="shared" si="2"/>
        <v>0</v>
      </c>
    </row>
    <row r="252">
      <c r="A252" s="8"/>
      <c r="B252" s="15" t="str">
        <f t="shared" si="1"/>
        <v/>
      </c>
      <c r="C252" s="15" t="s">
        <v>5609</v>
      </c>
      <c r="D252" s="15">
        <f t="shared" si="2"/>
        <v>0</v>
      </c>
    </row>
    <row r="253">
      <c r="A253" s="8"/>
      <c r="B253" s="15" t="str">
        <f t="shared" si="1"/>
        <v/>
      </c>
      <c r="C253" s="15" t="s">
        <v>5609</v>
      </c>
      <c r="D253" s="15">
        <f t="shared" si="2"/>
        <v>0</v>
      </c>
    </row>
    <row r="254">
      <c r="A254" s="8"/>
      <c r="B254" s="15" t="str">
        <f t="shared" si="1"/>
        <v/>
      </c>
      <c r="C254" s="15" t="s">
        <v>5609</v>
      </c>
      <c r="D254" s="15">
        <f t="shared" si="2"/>
        <v>0</v>
      </c>
    </row>
    <row r="255">
      <c r="A255" s="5" t="s">
        <v>97</v>
      </c>
      <c r="B255" s="15" t="str">
        <f t="shared" si="1"/>
        <v>1</v>
      </c>
      <c r="C255" s="15" t="s">
        <v>115</v>
      </c>
      <c r="D255" s="15">
        <f t="shared" si="2"/>
        <v>1</v>
      </c>
    </row>
    <row r="256">
      <c r="A256" s="5" t="s">
        <v>97</v>
      </c>
      <c r="B256" s="15" t="str">
        <f t="shared" si="1"/>
        <v>1</v>
      </c>
      <c r="C256" s="15" t="s">
        <v>115</v>
      </c>
      <c r="D256" s="15">
        <f t="shared" si="2"/>
        <v>1</v>
      </c>
    </row>
    <row r="257">
      <c r="A257" s="8"/>
      <c r="B257" s="15" t="str">
        <f t="shared" si="1"/>
        <v/>
      </c>
      <c r="C257" s="15" t="s">
        <v>5609</v>
      </c>
      <c r="D257" s="15">
        <f t="shared" si="2"/>
        <v>0</v>
      </c>
    </row>
    <row r="258">
      <c r="A258" s="8"/>
      <c r="B258" s="15" t="str">
        <f t="shared" si="1"/>
        <v/>
      </c>
      <c r="C258" s="15" t="s">
        <v>5609</v>
      </c>
      <c r="D258" s="15">
        <f t="shared" si="2"/>
        <v>0</v>
      </c>
    </row>
    <row r="259">
      <c r="A259" s="8"/>
      <c r="B259" s="15" t="str">
        <f t="shared" si="1"/>
        <v/>
      </c>
      <c r="C259" s="15" t="s">
        <v>5609</v>
      </c>
      <c r="D259" s="15">
        <f t="shared" si="2"/>
        <v>0</v>
      </c>
    </row>
    <row r="260">
      <c r="A260" s="8"/>
      <c r="B260" s="15" t="str">
        <f t="shared" si="1"/>
        <v/>
      </c>
      <c r="C260" s="15" t="s">
        <v>5609</v>
      </c>
      <c r="D260" s="15">
        <f t="shared" si="2"/>
        <v>0</v>
      </c>
    </row>
    <row r="261">
      <c r="A261" s="8"/>
      <c r="B261" s="15" t="str">
        <f t="shared" si="1"/>
        <v/>
      </c>
      <c r="C261" s="15" t="s">
        <v>5609</v>
      </c>
      <c r="D261" s="15">
        <f t="shared" si="2"/>
        <v>0</v>
      </c>
    </row>
    <row r="262">
      <c r="A262" s="8"/>
      <c r="B262" s="15" t="str">
        <f t="shared" si="1"/>
        <v/>
      </c>
      <c r="C262" s="15" t="s">
        <v>5609</v>
      </c>
      <c r="D262" s="15">
        <f t="shared" si="2"/>
        <v>0</v>
      </c>
    </row>
    <row r="263">
      <c r="A263" s="8"/>
      <c r="B263" s="15" t="str">
        <f t="shared" si="1"/>
        <v/>
      </c>
      <c r="C263" s="15" t="s">
        <v>5609</v>
      </c>
      <c r="D263" s="15">
        <f t="shared" si="2"/>
        <v>0</v>
      </c>
    </row>
    <row r="264">
      <c r="A264" s="8"/>
      <c r="B264" s="15" t="str">
        <f t="shared" si="1"/>
        <v/>
      </c>
      <c r="C264" s="15" t="s">
        <v>5609</v>
      </c>
      <c r="D264" s="15">
        <f t="shared" si="2"/>
        <v>0</v>
      </c>
    </row>
    <row r="265">
      <c r="A265" s="8"/>
      <c r="B265" s="15" t="str">
        <f t="shared" si="1"/>
        <v/>
      </c>
      <c r="C265" s="15" t="s">
        <v>5609</v>
      </c>
      <c r="D265" s="15">
        <f t="shared" si="2"/>
        <v>0</v>
      </c>
    </row>
    <row r="266">
      <c r="A266" s="5" t="s">
        <v>97</v>
      </c>
      <c r="B266" s="15" t="str">
        <f t="shared" si="1"/>
        <v>1</v>
      </c>
      <c r="C266" s="15" t="s">
        <v>115</v>
      </c>
      <c r="D266" s="15">
        <f t="shared" si="2"/>
        <v>1</v>
      </c>
    </row>
    <row r="267">
      <c r="A267" s="8"/>
      <c r="B267" s="15" t="str">
        <f t="shared" si="1"/>
        <v/>
      </c>
      <c r="C267" s="15" t="s">
        <v>5609</v>
      </c>
      <c r="D267" s="15">
        <f t="shared" si="2"/>
        <v>0</v>
      </c>
    </row>
    <row r="268">
      <c r="A268" s="5" t="s">
        <v>97</v>
      </c>
      <c r="B268" s="15" t="str">
        <f t="shared" si="1"/>
        <v>1</v>
      </c>
      <c r="C268" s="15" t="s">
        <v>115</v>
      </c>
      <c r="D268" s="15">
        <f t="shared" si="2"/>
        <v>1</v>
      </c>
    </row>
    <row r="269">
      <c r="A269" s="8"/>
      <c r="B269" s="15" t="str">
        <f t="shared" si="1"/>
        <v/>
      </c>
      <c r="C269" s="15" t="s">
        <v>5609</v>
      </c>
      <c r="D269" s="15">
        <f t="shared" si="2"/>
        <v>0</v>
      </c>
    </row>
    <row r="270">
      <c r="A270" s="8"/>
      <c r="B270" s="15" t="str">
        <f t="shared" si="1"/>
        <v/>
      </c>
      <c r="C270" s="15" t="s">
        <v>5609</v>
      </c>
      <c r="D270" s="15">
        <f t="shared" si="2"/>
        <v>0</v>
      </c>
    </row>
    <row r="271">
      <c r="A271" s="8"/>
      <c r="B271" s="15" t="str">
        <f t="shared" si="1"/>
        <v/>
      </c>
      <c r="C271" s="15" t="s">
        <v>5609</v>
      </c>
      <c r="D271" s="15">
        <f t="shared" si="2"/>
        <v>0</v>
      </c>
    </row>
    <row r="272">
      <c r="A272" s="8"/>
      <c r="B272" s="15" t="str">
        <f t="shared" si="1"/>
        <v/>
      </c>
      <c r="C272" s="15" t="s">
        <v>5609</v>
      </c>
      <c r="D272" s="15">
        <f t="shared" si="2"/>
        <v>0</v>
      </c>
    </row>
    <row r="273">
      <c r="A273" s="8"/>
      <c r="B273" s="15" t="str">
        <f t="shared" si="1"/>
        <v/>
      </c>
      <c r="C273" s="15" t="s">
        <v>5609</v>
      </c>
      <c r="D273" s="15">
        <f t="shared" si="2"/>
        <v>0</v>
      </c>
    </row>
    <row r="274">
      <c r="A274" s="8"/>
      <c r="B274" s="15" t="str">
        <f t="shared" si="1"/>
        <v/>
      </c>
      <c r="C274" s="15" t="s">
        <v>5609</v>
      </c>
      <c r="D274" s="15">
        <f t="shared" si="2"/>
        <v>0</v>
      </c>
    </row>
    <row r="275">
      <c r="A275" s="8"/>
      <c r="B275" s="15" t="str">
        <f t="shared" si="1"/>
        <v/>
      </c>
      <c r="C275" s="15" t="s">
        <v>5609</v>
      </c>
      <c r="D275" s="15">
        <f t="shared" si="2"/>
        <v>0</v>
      </c>
    </row>
    <row r="276">
      <c r="A276" s="8"/>
      <c r="B276" s="15" t="str">
        <f t="shared" si="1"/>
        <v/>
      </c>
      <c r="C276" s="15" t="s">
        <v>5609</v>
      </c>
      <c r="D276" s="15">
        <f t="shared" si="2"/>
        <v>0</v>
      </c>
    </row>
    <row r="277">
      <c r="A277" s="8"/>
      <c r="B277" s="15" t="str">
        <f t="shared" si="1"/>
        <v/>
      </c>
      <c r="C277" s="15" t="s">
        <v>5609</v>
      </c>
      <c r="D277" s="15">
        <f t="shared" si="2"/>
        <v>0</v>
      </c>
    </row>
    <row r="278">
      <c r="A278" s="8"/>
      <c r="B278" s="15" t="str">
        <f t="shared" si="1"/>
        <v/>
      </c>
      <c r="C278" s="15" t="s">
        <v>5609</v>
      </c>
      <c r="D278" s="15">
        <f t="shared" si="2"/>
        <v>0</v>
      </c>
    </row>
    <row r="279">
      <c r="A279" s="8"/>
      <c r="B279" s="15" t="str">
        <f t="shared" si="1"/>
        <v/>
      </c>
      <c r="C279" s="15" t="s">
        <v>5609</v>
      </c>
      <c r="D279" s="15">
        <f t="shared" si="2"/>
        <v>0</v>
      </c>
    </row>
    <row r="280">
      <c r="A280" s="8"/>
      <c r="B280" s="15" t="str">
        <f t="shared" si="1"/>
        <v/>
      </c>
      <c r="C280" s="15" t="s">
        <v>5609</v>
      </c>
      <c r="D280" s="15">
        <f t="shared" si="2"/>
        <v>0</v>
      </c>
    </row>
    <row r="281">
      <c r="A281" s="8"/>
      <c r="B281" s="15" t="str">
        <f t="shared" si="1"/>
        <v/>
      </c>
      <c r="C281" s="15" t="s">
        <v>5609</v>
      </c>
      <c r="D281" s="15">
        <f t="shared" si="2"/>
        <v>0</v>
      </c>
    </row>
    <row r="282">
      <c r="A282" s="8"/>
      <c r="B282" s="15" t="str">
        <f t="shared" si="1"/>
        <v/>
      </c>
      <c r="C282" s="15" t="s">
        <v>5609</v>
      </c>
      <c r="D282" s="15">
        <f t="shared" si="2"/>
        <v>0</v>
      </c>
    </row>
    <row r="283">
      <c r="A283" s="5" t="s">
        <v>97</v>
      </c>
      <c r="B283" s="15" t="str">
        <f t="shared" si="1"/>
        <v>1</v>
      </c>
      <c r="C283" s="15" t="s">
        <v>115</v>
      </c>
      <c r="D283" s="15">
        <f t="shared" si="2"/>
        <v>1</v>
      </c>
    </row>
    <row r="284">
      <c r="A284" s="5" t="s">
        <v>97</v>
      </c>
      <c r="B284" s="15" t="str">
        <f t="shared" si="1"/>
        <v>1</v>
      </c>
      <c r="C284" s="15" t="s">
        <v>115</v>
      </c>
      <c r="D284" s="15">
        <f t="shared" si="2"/>
        <v>1</v>
      </c>
    </row>
    <row r="285">
      <c r="A285" s="8"/>
      <c r="B285" s="15" t="str">
        <f t="shared" si="1"/>
        <v/>
      </c>
      <c r="C285" s="15" t="s">
        <v>5609</v>
      </c>
      <c r="D285" s="15">
        <f t="shared" si="2"/>
        <v>0</v>
      </c>
    </row>
    <row r="286">
      <c r="A286" s="8"/>
      <c r="B286" s="15" t="str">
        <f t="shared" si="1"/>
        <v/>
      </c>
      <c r="C286" s="15" t="s">
        <v>5609</v>
      </c>
      <c r="D286" s="15">
        <f t="shared" si="2"/>
        <v>0</v>
      </c>
    </row>
    <row r="287">
      <c r="A287" s="8"/>
      <c r="B287" s="15" t="str">
        <f t="shared" si="1"/>
        <v/>
      </c>
      <c r="C287" s="15" t="s">
        <v>5609</v>
      </c>
      <c r="D287" s="15">
        <f t="shared" si="2"/>
        <v>0</v>
      </c>
    </row>
    <row r="288">
      <c r="A288" s="8"/>
      <c r="B288" s="15" t="str">
        <f t="shared" si="1"/>
        <v/>
      </c>
      <c r="C288" s="15" t="s">
        <v>5609</v>
      </c>
      <c r="D288" s="15">
        <f t="shared" si="2"/>
        <v>0</v>
      </c>
    </row>
    <row r="289">
      <c r="A289" s="8"/>
      <c r="B289" s="15" t="str">
        <f t="shared" si="1"/>
        <v/>
      </c>
      <c r="C289" s="15" t="s">
        <v>5609</v>
      </c>
      <c r="D289" s="15">
        <f t="shared" si="2"/>
        <v>0</v>
      </c>
    </row>
    <row r="290">
      <c r="A290" s="8"/>
      <c r="B290" s="15" t="str">
        <f t="shared" si="1"/>
        <v/>
      </c>
      <c r="C290" s="15" t="s">
        <v>5609</v>
      </c>
      <c r="D290" s="15">
        <f t="shared" si="2"/>
        <v>0</v>
      </c>
    </row>
    <row r="291">
      <c r="A291" s="8"/>
      <c r="B291" s="15" t="str">
        <f t="shared" si="1"/>
        <v/>
      </c>
      <c r="C291" s="15" t="s">
        <v>5609</v>
      </c>
      <c r="D291" s="15">
        <f t="shared" si="2"/>
        <v>0</v>
      </c>
    </row>
    <row r="292">
      <c r="A292" s="8"/>
      <c r="B292" s="15" t="str">
        <f t="shared" si="1"/>
        <v/>
      </c>
      <c r="C292" s="15" t="s">
        <v>5609</v>
      </c>
      <c r="D292" s="15">
        <f t="shared" si="2"/>
        <v>0</v>
      </c>
    </row>
    <row r="293">
      <c r="A293" s="8"/>
      <c r="B293" s="15" t="str">
        <f t="shared" si="1"/>
        <v/>
      </c>
      <c r="C293" s="15" t="s">
        <v>5609</v>
      </c>
      <c r="D293" s="15">
        <f t="shared" si="2"/>
        <v>0</v>
      </c>
    </row>
    <row r="294">
      <c r="A294" s="8"/>
      <c r="B294" s="15" t="str">
        <f t="shared" si="1"/>
        <v/>
      </c>
      <c r="C294" s="15" t="s">
        <v>5609</v>
      </c>
      <c r="D294" s="15">
        <f t="shared" si="2"/>
        <v>0</v>
      </c>
    </row>
    <row r="295">
      <c r="A295" s="8"/>
      <c r="B295" s="15" t="str">
        <f t="shared" si="1"/>
        <v/>
      </c>
      <c r="C295" s="15" t="s">
        <v>5609</v>
      </c>
      <c r="D295" s="15">
        <f t="shared" si="2"/>
        <v>0</v>
      </c>
    </row>
    <row r="296">
      <c r="A296" s="8"/>
      <c r="B296" s="15" t="str">
        <f t="shared" si="1"/>
        <v/>
      </c>
      <c r="C296" s="15" t="s">
        <v>5609</v>
      </c>
      <c r="D296" s="15">
        <f t="shared" si="2"/>
        <v>0</v>
      </c>
    </row>
    <row r="297">
      <c r="A297" s="8"/>
      <c r="B297" s="15" t="str">
        <f t="shared" si="1"/>
        <v/>
      </c>
      <c r="C297" s="15" t="s">
        <v>5609</v>
      </c>
      <c r="D297" s="15">
        <f t="shared" si="2"/>
        <v>0</v>
      </c>
    </row>
    <row r="298">
      <c r="A298" s="8"/>
      <c r="B298" s="15" t="str">
        <f t="shared" si="1"/>
        <v/>
      </c>
      <c r="C298" s="15" t="s">
        <v>5609</v>
      </c>
      <c r="D298" s="15">
        <f t="shared" si="2"/>
        <v>0</v>
      </c>
    </row>
    <row r="299">
      <c r="A299" s="8"/>
      <c r="B299" s="15" t="str">
        <f t="shared" si="1"/>
        <v/>
      </c>
      <c r="C299" s="15" t="s">
        <v>5609</v>
      </c>
      <c r="D299" s="15">
        <f t="shared" si="2"/>
        <v>0</v>
      </c>
    </row>
    <row r="300">
      <c r="A300" s="8"/>
      <c r="B300" s="15" t="str">
        <f t="shared" si="1"/>
        <v/>
      </c>
      <c r="C300" s="15" t="s">
        <v>5609</v>
      </c>
      <c r="D300" s="15">
        <f t="shared" si="2"/>
        <v>0</v>
      </c>
    </row>
    <row r="301">
      <c r="A301" s="8"/>
      <c r="B301" s="15" t="str">
        <f t="shared" si="1"/>
        <v/>
      </c>
      <c r="C301" s="15" t="s">
        <v>5609</v>
      </c>
      <c r="D301" s="15">
        <f t="shared" si="2"/>
        <v>0</v>
      </c>
    </row>
    <row r="302">
      <c r="A302" s="5" t="s">
        <v>97</v>
      </c>
      <c r="B302" s="15" t="str">
        <f t="shared" si="1"/>
        <v>1</v>
      </c>
      <c r="C302" s="15" t="s">
        <v>115</v>
      </c>
      <c r="D302" s="15">
        <f t="shared" si="2"/>
        <v>1</v>
      </c>
    </row>
    <row r="303">
      <c r="A303" s="8"/>
      <c r="B303" s="15" t="str">
        <f t="shared" si="1"/>
        <v/>
      </c>
      <c r="C303" s="15" t="s">
        <v>5609</v>
      </c>
      <c r="D303" s="15">
        <f t="shared" si="2"/>
        <v>0</v>
      </c>
    </row>
    <row r="304">
      <c r="A304" s="8"/>
      <c r="B304" s="15" t="str">
        <f t="shared" si="1"/>
        <v/>
      </c>
      <c r="C304" s="15" t="s">
        <v>5609</v>
      </c>
      <c r="D304" s="15">
        <f t="shared" si="2"/>
        <v>0</v>
      </c>
    </row>
    <row r="305">
      <c r="A305" s="8"/>
      <c r="B305" s="15" t="str">
        <f t="shared" si="1"/>
        <v/>
      </c>
      <c r="C305" s="15" t="s">
        <v>5609</v>
      </c>
      <c r="D305" s="15">
        <f t="shared" si="2"/>
        <v>0</v>
      </c>
    </row>
    <row r="306">
      <c r="A306" s="8"/>
      <c r="B306" s="15" t="str">
        <f t="shared" si="1"/>
        <v/>
      </c>
      <c r="C306" s="15" t="s">
        <v>5609</v>
      </c>
      <c r="D306" s="15">
        <f t="shared" si="2"/>
        <v>0</v>
      </c>
    </row>
    <row r="307">
      <c r="A307" s="8"/>
      <c r="B307" s="15" t="str">
        <f t="shared" si="1"/>
        <v/>
      </c>
      <c r="C307" s="15" t="s">
        <v>5609</v>
      </c>
      <c r="D307" s="15">
        <f t="shared" si="2"/>
        <v>0</v>
      </c>
    </row>
    <row r="308">
      <c r="A308" s="8"/>
      <c r="B308" s="15" t="str">
        <f t="shared" si="1"/>
        <v/>
      </c>
      <c r="C308" s="15" t="s">
        <v>5609</v>
      </c>
      <c r="D308" s="15">
        <f t="shared" si="2"/>
        <v>0</v>
      </c>
    </row>
    <row r="309">
      <c r="A309" s="8"/>
      <c r="B309" s="15" t="str">
        <f t="shared" si="1"/>
        <v/>
      </c>
      <c r="C309" s="15" t="s">
        <v>5609</v>
      </c>
      <c r="D309" s="15">
        <f t="shared" si="2"/>
        <v>0</v>
      </c>
    </row>
    <row r="310">
      <c r="A310" s="8"/>
      <c r="B310" s="15" t="str">
        <f t="shared" si="1"/>
        <v/>
      </c>
      <c r="C310" s="15" t="s">
        <v>5609</v>
      </c>
      <c r="D310" s="15">
        <f t="shared" si="2"/>
        <v>0</v>
      </c>
    </row>
    <row r="311">
      <c r="A311" s="8"/>
      <c r="B311" s="15" t="str">
        <f t="shared" si="1"/>
        <v/>
      </c>
      <c r="C311" s="15" t="s">
        <v>5609</v>
      </c>
      <c r="D311" s="15">
        <f t="shared" si="2"/>
        <v>0</v>
      </c>
    </row>
    <row r="312">
      <c r="A312" s="8"/>
      <c r="B312" s="15" t="str">
        <f t="shared" si="1"/>
        <v/>
      </c>
      <c r="C312" s="15" t="s">
        <v>5609</v>
      </c>
      <c r="D312" s="15">
        <f t="shared" si="2"/>
        <v>0</v>
      </c>
    </row>
    <row r="313">
      <c r="A313" s="8"/>
      <c r="B313" s="15" t="str">
        <f t="shared" si="1"/>
        <v/>
      </c>
      <c r="C313" s="15" t="s">
        <v>5609</v>
      </c>
      <c r="D313" s="15">
        <f t="shared" si="2"/>
        <v>0</v>
      </c>
    </row>
    <row r="314">
      <c r="A314" s="8"/>
      <c r="B314" s="15" t="str">
        <f t="shared" si="1"/>
        <v/>
      </c>
      <c r="C314" s="15" t="s">
        <v>5609</v>
      </c>
      <c r="D314" s="15">
        <f t="shared" si="2"/>
        <v>0</v>
      </c>
    </row>
    <row r="315">
      <c r="A315" s="8"/>
      <c r="B315" s="15" t="str">
        <f t="shared" si="1"/>
        <v/>
      </c>
      <c r="C315" s="15" t="s">
        <v>5609</v>
      </c>
      <c r="D315" s="15">
        <f t="shared" si="2"/>
        <v>0</v>
      </c>
    </row>
    <row r="316">
      <c r="A316" s="8"/>
      <c r="B316" s="15" t="str">
        <f t="shared" si="1"/>
        <v/>
      </c>
      <c r="C316" s="15" t="s">
        <v>5609</v>
      </c>
      <c r="D316" s="15">
        <f t="shared" si="2"/>
        <v>0</v>
      </c>
    </row>
    <row r="317">
      <c r="A317" s="8"/>
      <c r="B317" s="15" t="str">
        <f t="shared" si="1"/>
        <v/>
      </c>
      <c r="C317" s="15" t="s">
        <v>5609</v>
      </c>
      <c r="D317" s="15">
        <f t="shared" si="2"/>
        <v>0</v>
      </c>
    </row>
    <row r="318">
      <c r="A318" s="5" t="s">
        <v>97</v>
      </c>
      <c r="B318" s="15" t="str">
        <f t="shared" si="1"/>
        <v>1</v>
      </c>
      <c r="C318" s="15" t="s">
        <v>115</v>
      </c>
      <c r="D318" s="15">
        <f t="shared" si="2"/>
        <v>1</v>
      </c>
    </row>
    <row r="319">
      <c r="A319" s="8"/>
      <c r="B319" s="15" t="str">
        <f t="shared" si="1"/>
        <v/>
      </c>
      <c r="C319" s="15" t="s">
        <v>5609</v>
      </c>
      <c r="D319" s="15">
        <f t="shared" si="2"/>
        <v>0</v>
      </c>
    </row>
    <row r="320">
      <c r="A320" s="8"/>
      <c r="B320" s="15" t="str">
        <f t="shared" si="1"/>
        <v/>
      </c>
      <c r="C320" s="15" t="s">
        <v>5609</v>
      </c>
      <c r="D320" s="15">
        <f t="shared" si="2"/>
        <v>0</v>
      </c>
    </row>
    <row r="321">
      <c r="A321" s="8"/>
      <c r="B321" s="15" t="str">
        <f t="shared" si="1"/>
        <v/>
      </c>
      <c r="C321" s="15" t="s">
        <v>5609</v>
      </c>
      <c r="D321" s="15">
        <f t="shared" si="2"/>
        <v>0</v>
      </c>
    </row>
    <row r="322">
      <c r="A322" s="8"/>
      <c r="B322" s="15" t="str">
        <f t="shared" si="1"/>
        <v/>
      </c>
      <c r="C322" s="15" t="s">
        <v>5609</v>
      </c>
      <c r="D322" s="15">
        <f t="shared" si="2"/>
        <v>0</v>
      </c>
    </row>
    <row r="323">
      <c r="A323" s="8"/>
      <c r="B323" s="15" t="str">
        <f t="shared" si="1"/>
        <v/>
      </c>
      <c r="C323" s="15" t="s">
        <v>5609</v>
      </c>
      <c r="D323" s="15">
        <f t="shared" si="2"/>
        <v>0</v>
      </c>
    </row>
    <row r="324">
      <c r="A324" s="8"/>
      <c r="B324" s="15" t="str">
        <f t="shared" si="1"/>
        <v/>
      </c>
      <c r="C324" s="15" t="s">
        <v>5609</v>
      </c>
      <c r="D324" s="15">
        <f t="shared" si="2"/>
        <v>0</v>
      </c>
    </row>
    <row r="325">
      <c r="A325" s="8"/>
      <c r="B325" s="15" t="str">
        <f t="shared" si="1"/>
        <v/>
      </c>
      <c r="C325" s="15" t="s">
        <v>5609</v>
      </c>
      <c r="D325" s="15">
        <f t="shared" si="2"/>
        <v>0</v>
      </c>
    </row>
    <row r="326">
      <c r="A326" s="8"/>
      <c r="B326" s="15" t="str">
        <f t="shared" si="1"/>
        <v/>
      </c>
      <c r="C326" s="15" t="s">
        <v>5609</v>
      </c>
      <c r="D326" s="15">
        <f t="shared" si="2"/>
        <v>0</v>
      </c>
    </row>
    <row r="327">
      <c r="A327" s="8"/>
      <c r="B327" s="15" t="str">
        <f t="shared" si="1"/>
        <v/>
      </c>
      <c r="C327" s="15" t="s">
        <v>5609</v>
      </c>
      <c r="D327" s="15">
        <f t="shared" si="2"/>
        <v>0</v>
      </c>
    </row>
    <row r="328">
      <c r="A328" s="8"/>
      <c r="B328" s="15" t="str">
        <f t="shared" si="1"/>
        <v/>
      </c>
      <c r="C328" s="15" t="s">
        <v>5609</v>
      </c>
      <c r="D328" s="15">
        <f t="shared" si="2"/>
        <v>0</v>
      </c>
    </row>
    <row r="329">
      <c r="A329" s="8"/>
      <c r="B329" s="15" t="str">
        <f t="shared" si="1"/>
        <v/>
      </c>
      <c r="C329" s="15" t="s">
        <v>5609</v>
      </c>
      <c r="D329" s="15">
        <f t="shared" si="2"/>
        <v>0</v>
      </c>
    </row>
    <row r="330">
      <c r="A330" s="8"/>
      <c r="B330" s="15" t="str">
        <f t="shared" si="1"/>
        <v/>
      </c>
      <c r="C330" s="15" t="s">
        <v>5609</v>
      </c>
      <c r="D330" s="15">
        <f t="shared" si="2"/>
        <v>0</v>
      </c>
    </row>
    <row r="331">
      <c r="A331" s="8"/>
      <c r="B331" s="15" t="str">
        <f t="shared" si="1"/>
        <v/>
      </c>
      <c r="C331" s="15" t="s">
        <v>5609</v>
      </c>
      <c r="D331" s="15">
        <f t="shared" si="2"/>
        <v>0</v>
      </c>
    </row>
    <row r="332">
      <c r="A332" s="8"/>
      <c r="B332" s="15" t="str">
        <f t="shared" si="1"/>
        <v/>
      </c>
      <c r="C332" s="15" t="s">
        <v>5609</v>
      </c>
      <c r="D332" s="15">
        <f t="shared" si="2"/>
        <v>0</v>
      </c>
    </row>
    <row r="333">
      <c r="A333" s="8"/>
      <c r="B333" s="15" t="str">
        <f t="shared" si="1"/>
        <v/>
      </c>
      <c r="C333" s="15" t="s">
        <v>5609</v>
      </c>
      <c r="D333" s="15">
        <f t="shared" si="2"/>
        <v>0</v>
      </c>
    </row>
    <row r="334">
      <c r="A334" s="5" t="s">
        <v>97</v>
      </c>
      <c r="B334" s="15" t="str">
        <f t="shared" si="1"/>
        <v>1</v>
      </c>
      <c r="C334" s="15" t="s">
        <v>115</v>
      </c>
      <c r="D334" s="15">
        <f t="shared" si="2"/>
        <v>1</v>
      </c>
    </row>
    <row r="335">
      <c r="A335" s="5" t="s">
        <v>97</v>
      </c>
      <c r="B335" s="15" t="str">
        <f t="shared" si="1"/>
        <v>1</v>
      </c>
      <c r="C335" s="15" t="s">
        <v>115</v>
      </c>
      <c r="D335" s="15">
        <f t="shared" si="2"/>
        <v>1</v>
      </c>
    </row>
    <row r="336">
      <c r="A336" s="5" t="s">
        <v>97</v>
      </c>
      <c r="B336" s="15" t="str">
        <f t="shared" si="1"/>
        <v>1</v>
      </c>
      <c r="C336" s="15" t="s">
        <v>115</v>
      </c>
      <c r="D336" s="15">
        <f t="shared" si="2"/>
        <v>1</v>
      </c>
    </row>
    <row r="337">
      <c r="A337" s="5" t="s">
        <v>97</v>
      </c>
      <c r="B337" s="15" t="str">
        <f t="shared" si="1"/>
        <v>1</v>
      </c>
      <c r="C337" s="15" t="s">
        <v>115</v>
      </c>
      <c r="D337" s="15">
        <f t="shared" si="2"/>
        <v>1</v>
      </c>
    </row>
    <row r="338">
      <c r="A338" s="5" t="s">
        <v>97</v>
      </c>
      <c r="B338" s="15" t="str">
        <f t="shared" si="1"/>
        <v>1</v>
      </c>
      <c r="C338" s="15" t="s">
        <v>115</v>
      </c>
      <c r="D338" s="15">
        <f t="shared" si="2"/>
        <v>1</v>
      </c>
    </row>
    <row r="339">
      <c r="A339" s="5" t="s">
        <v>97</v>
      </c>
      <c r="B339" s="15" t="str">
        <f t="shared" si="1"/>
        <v>1</v>
      </c>
      <c r="C339" s="15" t="s">
        <v>115</v>
      </c>
      <c r="D339" s="15">
        <f t="shared" si="2"/>
        <v>1</v>
      </c>
    </row>
    <row r="340">
      <c r="A340" s="8"/>
      <c r="B340" s="15" t="str">
        <f t="shared" si="1"/>
        <v/>
      </c>
      <c r="C340" s="15" t="s">
        <v>5609</v>
      </c>
      <c r="D340" s="15">
        <f t="shared" si="2"/>
        <v>0</v>
      </c>
    </row>
    <row r="341">
      <c r="A341" s="8"/>
      <c r="B341" s="15" t="str">
        <f t="shared" si="1"/>
        <v/>
      </c>
      <c r="C341" s="15" t="s">
        <v>5609</v>
      </c>
      <c r="D341" s="15">
        <f t="shared" si="2"/>
        <v>0</v>
      </c>
    </row>
    <row r="342">
      <c r="A342" s="8"/>
      <c r="B342" s="15" t="str">
        <f t="shared" si="1"/>
        <v/>
      </c>
      <c r="C342" s="15" t="s">
        <v>5609</v>
      </c>
      <c r="D342" s="15">
        <f t="shared" si="2"/>
        <v>0</v>
      </c>
    </row>
    <row r="343">
      <c r="A343" s="8"/>
      <c r="B343" s="15" t="str">
        <f t="shared" si="1"/>
        <v/>
      </c>
      <c r="C343" s="15" t="s">
        <v>5609</v>
      </c>
      <c r="D343" s="15">
        <f t="shared" si="2"/>
        <v>0</v>
      </c>
    </row>
    <row r="344">
      <c r="A344" s="8"/>
      <c r="B344" s="15" t="str">
        <f t="shared" si="1"/>
        <v/>
      </c>
      <c r="C344" s="15" t="s">
        <v>5609</v>
      </c>
      <c r="D344" s="15">
        <f t="shared" si="2"/>
        <v>0</v>
      </c>
    </row>
    <row r="345">
      <c r="A345" s="8"/>
      <c r="B345" s="15" t="str">
        <f t="shared" si="1"/>
        <v/>
      </c>
      <c r="C345" s="15" t="s">
        <v>5609</v>
      </c>
      <c r="D345" s="15">
        <f t="shared" si="2"/>
        <v>0</v>
      </c>
    </row>
    <row r="346">
      <c r="A346" s="8"/>
      <c r="B346" s="15" t="str">
        <f t="shared" si="1"/>
        <v/>
      </c>
      <c r="C346" s="15" t="s">
        <v>5609</v>
      </c>
      <c r="D346" s="15">
        <f t="shared" si="2"/>
        <v>0</v>
      </c>
    </row>
    <row r="347">
      <c r="A347" s="8"/>
      <c r="B347" s="15" t="str">
        <f t="shared" si="1"/>
        <v/>
      </c>
      <c r="C347" s="15" t="s">
        <v>5609</v>
      </c>
      <c r="D347" s="15">
        <f t="shared" si="2"/>
        <v>0</v>
      </c>
    </row>
    <row r="348">
      <c r="A348" s="8"/>
      <c r="B348" s="15" t="str">
        <f t="shared" si="1"/>
        <v/>
      </c>
      <c r="C348" s="15" t="s">
        <v>5609</v>
      </c>
      <c r="D348" s="15">
        <f t="shared" si="2"/>
        <v>0</v>
      </c>
    </row>
    <row r="349">
      <c r="A349" s="8"/>
      <c r="B349" s="15" t="str">
        <f t="shared" si="1"/>
        <v/>
      </c>
      <c r="C349" s="15" t="s">
        <v>5609</v>
      </c>
      <c r="D349" s="15">
        <f t="shared" si="2"/>
        <v>0</v>
      </c>
    </row>
    <row r="350">
      <c r="A350" s="8"/>
      <c r="B350" s="15" t="str">
        <f t="shared" si="1"/>
        <v/>
      </c>
      <c r="C350" s="15" t="s">
        <v>5609</v>
      </c>
      <c r="D350" s="15">
        <f t="shared" si="2"/>
        <v>0</v>
      </c>
    </row>
    <row r="351">
      <c r="A351" s="8"/>
      <c r="B351" s="15" t="str">
        <f t="shared" si="1"/>
        <v/>
      </c>
      <c r="C351" s="15" t="s">
        <v>5609</v>
      </c>
      <c r="D351" s="15">
        <f t="shared" si="2"/>
        <v>0</v>
      </c>
    </row>
    <row r="352">
      <c r="A352" s="8"/>
      <c r="B352" s="15" t="str">
        <f t="shared" si="1"/>
        <v/>
      </c>
      <c r="C352" s="15" t="s">
        <v>5609</v>
      </c>
      <c r="D352" s="15">
        <f t="shared" si="2"/>
        <v>0</v>
      </c>
    </row>
    <row r="353">
      <c r="A353" s="8"/>
      <c r="B353" s="15" t="str">
        <f t="shared" si="1"/>
        <v/>
      </c>
      <c r="C353" s="15" t="s">
        <v>5609</v>
      </c>
      <c r="D353" s="15">
        <f t="shared" si="2"/>
        <v>0</v>
      </c>
    </row>
    <row r="354">
      <c r="A354" s="8"/>
      <c r="B354" s="15" t="str">
        <f t="shared" si="1"/>
        <v/>
      </c>
      <c r="C354" s="15" t="s">
        <v>5609</v>
      </c>
      <c r="D354" s="15">
        <f t="shared" si="2"/>
        <v>0</v>
      </c>
    </row>
    <row r="355">
      <c r="A355" s="5" t="s">
        <v>97</v>
      </c>
      <c r="B355" s="15" t="str">
        <f t="shared" si="1"/>
        <v>1</v>
      </c>
      <c r="C355" s="15" t="s">
        <v>115</v>
      </c>
      <c r="D355" s="15">
        <f t="shared" si="2"/>
        <v>1</v>
      </c>
    </row>
    <row r="356">
      <c r="A356" s="5" t="s">
        <v>97</v>
      </c>
      <c r="B356" s="15" t="str">
        <f t="shared" si="1"/>
        <v>1</v>
      </c>
      <c r="C356" s="15" t="s">
        <v>115</v>
      </c>
      <c r="D356" s="15">
        <f t="shared" si="2"/>
        <v>1</v>
      </c>
    </row>
    <row r="357">
      <c r="A357" s="5" t="s">
        <v>97</v>
      </c>
      <c r="B357" s="15" t="str">
        <f t="shared" si="1"/>
        <v>1</v>
      </c>
      <c r="C357" s="15" t="s">
        <v>115</v>
      </c>
      <c r="D357" s="15">
        <f t="shared" si="2"/>
        <v>1</v>
      </c>
    </row>
    <row r="358">
      <c r="A358" s="8"/>
      <c r="B358" s="15" t="str">
        <f t="shared" si="1"/>
        <v/>
      </c>
      <c r="C358" s="15" t="s">
        <v>5609</v>
      </c>
      <c r="D358" s="15">
        <f t="shared" si="2"/>
        <v>0</v>
      </c>
    </row>
    <row r="359">
      <c r="A359" s="8"/>
      <c r="B359" s="15" t="str">
        <f t="shared" si="1"/>
        <v/>
      </c>
      <c r="C359" s="15" t="s">
        <v>5609</v>
      </c>
      <c r="D359" s="15">
        <f t="shared" si="2"/>
        <v>0</v>
      </c>
    </row>
    <row r="360">
      <c r="A360" s="8"/>
      <c r="B360" s="15" t="str">
        <f t="shared" si="1"/>
        <v/>
      </c>
      <c r="C360" s="15" t="s">
        <v>5609</v>
      </c>
      <c r="D360" s="15">
        <f t="shared" si="2"/>
        <v>0</v>
      </c>
    </row>
    <row r="361">
      <c r="A361" s="8"/>
      <c r="B361" s="15" t="str">
        <f t="shared" si="1"/>
        <v/>
      </c>
      <c r="C361" s="15" t="s">
        <v>5609</v>
      </c>
      <c r="D361" s="15">
        <f t="shared" si="2"/>
        <v>0</v>
      </c>
    </row>
    <row r="362">
      <c r="A362" s="8"/>
      <c r="B362" s="15" t="str">
        <f t="shared" si="1"/>
        <v/>
      </c>
      <c r="C362" s="15" t="s">
        <v>5609</v>
      </c>
      <c r="D362" s="15">
        <f t="shared" si="2"/>
        <v>0</v>
      </c>
    </row>
    <row r="363">
      <c r="A363" s="8"/>
      <c r="B363" s="15" t="str">
        <f t="shared" si="1"/>
        <v/>
      </c>
      <c r="C363" s="15" t="s">
        <v>5609</v>
      </c>
      <c r="D363" s="15">
        <f t="shared" si="2"/>
        <v>0</v>
      </c>
    </row>
    <row r="364">
      <c r="A364" s="8"/>
      <c r="B364" s="15" t="str">
        <f t="shared" si="1"/>
        <v/>
      </c>
      <c r="C364" s="15" t="s">
        <v>5609</v>
      </c>
      <c r="D364" s="15">
        <f t="shared" si="2"/>
        <v>0</v>
      </c>
    </row>
    <row r="365">
      <c r="A365" s="8"/>
      <c r="B365" s="15" t="str">
        <f t="shared" si="1"/>
        <v/>
      </c>
      <c r="C365" s="15" t="s">
        <v>5609</v>
      </c>
      <c r="D365" s="15">
        <f t="shared" si="2"/>
        <v>0</v>
      </c>
    </row>
    <row r="366">
      <c r="A366" s="8"/>
      <c r="B366" s="15" t="str">
        <f t="shared" si="1"/>
        <v/>
      </c>
      <c r="C366" s="15" t="s">
        <v>5609</v>
      </c>
      <c r="D366" s="15">
        <f t="shared" si="2"/>
        <v>0</v>
      </c>
    </row>
    <row r="367">
      <c r="A367" s="8"/>
      <c r="B367" s="15" t="str">
        <f t="shared" si="1"/>
        <v/>
      </c>
      <c r="C367" s="15" t="s">
        <v>5609</v>
      </c>
      <c r="D367" s="15">
        <f t="shared" si="2"/>
        <v>0</v>
      </c>
    </row>
    <row r="368">
      <c r="A368" s="8"/>
      <c r="B368" s="15" t="str">
        <f t="shared" si="1"/>
        <v/>
      </c>
      <c r="C368" s="15" t="s">
        <v>5609</v>
      </c>
      <c r="D368" s="15">
        <f t="shared" si="2"/>
        <v>0</v>
      </c>
    </row>
    <row r="369">
      <c r="A369" s="8"/>
      <c r="B369" s="15" t="str">
        <f t="shared" si="1"/>
        <v/>
      </c>
      <c r="C369" s="15" t="s">
        <v>5609</v>
      </c>
      <c r="D369" s="15">
        <f t="shared" si="2"/>
        <v>0</v>
      </c>
    </row>
    <row r="370">
      <c r="A370" s="8"/>
      <c r="B370" s="15" t="str">
        <f t="shared" si="1"/>
        <v/>
      </c>
      <c r="C370" s="15" t="s">
        <v>5609</v>
      </c>
      <c r="D370" s="15">
        <f t="shared" si="2"/>
        <v>0</v>
      </c>
    </row>
    <row r="371">
      <c r="A371" s="8"/>
      <c r="B371" s="15" t="str">
        <f t="shared" si="1"/>
        <v/>
      </c>
      <c r="C371" s="15" t="s">
        <v>5609</v>
      </c>
      <c r="D371" s="15">
        <f t="shared" si="2"/>
        <v>0</v>
      </c>
    </row>
    <row r="372">
      <c r="A372" s="8"/>
      <c r="B372" s="15" t="str">
        <f t="shared" si="1"/>
        <v/>
      </c>
      <c r="C372" s="15" t="s">
        <v>5609</v>
      </c>
      <c r="D372" s="15">
        <f t="shared" si="2"/>
        <v>0</v>
      </c>
    </row>
    <row r="373">
      <c r="A373" s="8"/>
      <c r="B373" s="15" t="str">
        <f t="shared" si="1"/>
        <v/>
      </c>
      <c r="C373" s="15" t="s">
        <v>5609</v>
      </c>
      <c r="D373" s="15">
        <f t="shared" si="2"/>
        <v>0</v>
      </c>
    </row>
    <row r="374">
      <c r="A374" s="8"/>
      <c r="B374" s="15" t="str">
        <f t="shared" si="1"/>
        <v/>
      </c>
      <c r="C374" s="15" t="s">
        <v>5609</v>
      </c>
      <c r="D374" s="15">
        <f t="shared" si="2"/>
        <v>0</v>
      </c>
    </row>
    <row r="375">
      <c r="A375" s="8"/>
      <c r="B375" s="15" t="str">
        <f t="shared" si="1"/>
        <v/>
      </c>
      <c r="C375" s="15" t="s">
        <v>5609</v>
      </c>
      <c r="D375" s="15">
        <f t="shared" si="2"/>
        <v>0</v>
      </c>
    </row>
    <row r="376">
      <c r="A376" s="8"/>
      <c r="B376" s="15" t="str">
        <f t="shared" si="1"/>
        <v/>
      </c>
      <c r="C376" s="15" t="s">
        <v>5609</v>
      </c>
      <c r="D376" s="15">
        <f t="shared" si="2"/>
        <v>0</v>
      </c>
    </row>
    <row r="377">
      <c r="A377" s="8"/>
      <c r="B377" s="15" t="str">
        <f t="shared" si="1"/>
        <v/>
      </c>
      <c r="C377" s="15" t="s">
        <v>5609</v>
      </c>
      <c r="D377" s="15">
        <f t="shared" si="2"/>
        <v>0</v>
      </c>
    </row>
    <row r="378">
      <c r="A378" s="8"/>
      <c r="B378" s="15" t="str">
        <f t="shared" si="1"/>
        <v/>
      </c>
      <c r="C378" s="15" t="s">
        <v>5609</v>
      </c>
      <c r="D378" s="15">
        <f t="shared" si="2"/>
        <v>0</v>
      </c>
    </row>
    <row r="379">
      <c r="A379" s="5" t="s">
        <v>97</v>
      </c>
      <c r="B379" s="15" t="str">
        <f t="shared" si="1"/>
        <v>1</v>
      </c>
      <c r="C379" s="15" t="s">
        <v>115</v>
      </c>
      <c r="D379" s="15">
        <f t="shared" si="2"/>
        <v>1</v>
      </c>
    </row>
    <row r="380">
      <c r="A380" s="5" t="s">
        <v>97</v>
      </c>
      <c r="B380" s="15" t="str">
        <f t="shared" si="1"/>
        <v>1</v>
      </c>
      <c r="C380" s="15" t="s">
        <v>115</v>
      </c>
      <c r="D380" s="15">
        <f t="shared" si="2"/>
        <v>1</v>
      </c>
    </row>
    <row r="381">
      <c r="A381" s="8"/>
    </row>
    <row r="382">
      <c r="A382" s="8"/>
      <c r="D382" s="15">
        <f>SUM(D2:D380)</f>
        <v>87</v>
      </c>
    </row>
    <row r="383">
      <c r="A383" s="8"/>
    </row>
    <row r="384">
      <c r="A384" s="8"/>
    </row>
    <row r="385">
      <c r="A385" s="8"/>
    </row>
    <row r="386">
      <c r="A386" s="8"/>
    </row>
    <row r="387">
      <c r="A387" s="8"/>
    </row>
    <row r="388">
      <c r="A388" s="8"/>
    </row>
    <row r="389">
      <c r="A389" s="8"/>
    </row>
    <row r="390">
      <c r="A390" s="8"/>
    </row>
    <row r="391">
      <c r="A391" s="8"/>
    </row>
    <row r="392">
      <c r="A392" s="8"/>
    </row>
    <row r="393">
      <c r="A393" s="8"/>
    </row>
    <row r="394">
      <c r="A394" s="8"/>
    </row>
    <row r="395">
      <c r="A395" s="8"/>
    </row>
    <row r="396">
      <c r="A396" s="8"/>
    </row>
    <row r="397">
      <c r="A397" s="8"/>
    </row>
    <row r="398">
      <c r="A398" s="8"/>
    </row>
    <row r="399">
      <c r="A399" s="8"/>
    </row>
    <row r="400">
      <c r="A400" s="8"/>
    </row>
    <row r="401">
      <c r="A401" s="8"/>
    </row>
    <row r="402">
      <c r="A402" s="8"/>
    </row>
    <row r="403">
      <c r="A403" s="8"/>
    </row>
    <row r="404">
      <c r="A404" s="8"/>
    </row>
    <row r="405">
      <c r="A405" s="8"/>
    </row>
    <row r="406">
      <c r="A406" s="8"/>
    </row>
    <row r="407">
      <c r="A407" s="8"/>
    </row>
    <row r="408">
      <c r="A408" s="8"/>
    </row>
    <row r="409">
      <c r="A409" s="8"/>
    </row>
    <row r="410">
      <c r="A410" s="8"/>
    </row>
    <row r="411">
      <c r="A411" s="8"/>
    </row>
    <row r="412">
      <c r="A412" s="8"/>
    </row>
    <row r="413">
      <c r="A413" s="8"/>
    </row>
    <row r="414">
      <c r="A414" s="8"/>
    </row>
    <row r="415">
      <c r="A415" s="8"/>
    </row>
    <row r="416">
      <c r="A416" s="8"/>
    </row>
    <row r="417">
      <c r="A417" s="8"/>
    </row>
    <row r="418">
      <c r="A418" s="8"/>
    </row>
    <row r="419">
      <c r="A419" s="8"/>
    </row>
    <row r="420">
      <c r="A420" s="8"/>
    </row>
    <row r="421">
      <c r="A421" s="8"/>
    </row>
    <row r="422">
      <c r="A422" s="8"/>
    </row>
    <row r="423">
      <c r="A423" s="8"/>
    </row>
    <row r="424">
      <c r="A424" s="8"/>
    </row>
    <row r="425">
      <c r="A425" s="8"/>
    </row>
    <row r="426">
      <c r="A426" s="8"/>
    </row>
    <row r="427">
      <c r="A427" s="8"/>
    </row>
    <row r="428">
      <c r="A428" s="8"/>
    </row>
    <row r="429">
      <c r="A429" s="8"/>
    </row>
    <row r="430">
      <c r="A430" s="8"/>
    </row>
    <row r="431">
      <c r="A431" s="8"/>
    </row>
    <row r="432">
      <c r="A432" s="8"/>
    </row>
    <row r="433">
      <c r="A433" s="8"/>
    </row>
    <row r="434">
      <c r="A434" s="8"/>
    </row>
    <row r="435">
      <c r="A435" s="8"/>
    </row>
    <row r="436">
      <c r="A436" s="8"/>
    </row>
    <row r="437">
      <c r="A437" s="8"/>
    </row>
    <row r="438">
      <c r="A438" s="8"/>
    </row>
    <row r="439">
      <c r="A439" s="8"/>
    </row>
    <row r="440">
      <c r="A440" s="8"/>
    </row>
    <row r="441">
      <c r="A441" s="8"/>
    </row>
    <row r="442">
      <c r="A442" s="8"/>
    </row>
    <row r="443">
      <c r="A443" s="8"/>
    </row>
    <row r="444">
      <c r="A444" s="8"/>
    </row>
    <row r="445">
      <c r="A445" s="8"/>
    </row>
    <row r="446">
      <c r="A446" s="8"/>
    </row>
    <row r="447">
      <c r="A447" s="8"/>
    </row>
    <row r="448">
      <c r="A448" s="8"/>
    </row>
    <row r="449">
      <c r="A449" s="8"/>
    </row>
    <row r="450">
      <c r="A450" s="8"/>
    </row>
    <row r="451">
      <c r="A451" s="5" t="s">
        <v>100</v>
      </c>
    </row>
    <row r="452">
      <c r="A452" s="8"/>
    </row>
    <row r="453">
      <c r="A453" s="5" t="s">
        <v>100</v>
      </c>
    </row>
    <row r="454">
      <c r="A454" s="8"/>
    </row>
    <row r="455">
      <c r="A455" s="8"/>
    </row>
    <row r="456">
      <c r="A456" s="8"/>
    </row>
    <row r="457">
      <c r="A457" s="8"/>
    </row>
    <row r="458">
      <c r="A458" s="8"/>
    </row>
    <row r="459">
      <c r="A459" s="8"/>
    </row>
    <row r="460">
      <c r="A460" s="8"/>
    </row>
    <row r="461">
      <c r="A461" s="8"/>
    </row>
    <row r="462">
      <c r="A462" s="8"/>
    </row>
    <row r="463">
      <c r="A463" s="8"/>
    </row>
    <row r="464">
      <c r="A464" s="8"/>
    </row>
    <row r="465">
      <c r="A465" s="8"/>
    </row>
    <row r="466">
      <c r="A466" s="8"/>
    </row>
    <row r="467">
      <c r="A467" s="8"/>
    </row>
    <row r="468">
      <c r="A468" s="8"/>
    </row>
    <row r="469">
      <c r="A469" s="8"/>
    </row>
    <row r="470">
      <c r="A470" s="8"/>
    </row>
    <row r="471">
      <c r="A471" s="8"/>
    </row>
    <row r="472">
      <c r="A472" s="8"/>
    </row>
    <row r="473">
      <c r="A473" s="8"/>
    </row>
    <row r="474">
      <c r="A474" s="8"/>
    </row>
    <row r="475">
      <c r="A475" s="8"/>
    </row>
    <row r="476">
      <c r="A476" s="8"/>
    </row>
    <row r="477">
      <c r="A477" s="8"/>
    </row>
    <row r="478">
      <c r="A478" s="8"/>
    </row>
    <row r="479">
      <c r="A479" s="8"/>
    </row>
    <row r="480">
      <c r="A480" s="8"/>
    </row>
    <row r="481">
      <c r="A481" s="8"/>
    </row>
    <row r="482">
      <c r="A482" s="8"/>
    </row>
    <row r="483">
      <c r="A483" s="8"/>
    </row>
    <row r="484">
      <c r="A484" s="5" t="s">
        <v>100</v>
      </c>
    </row>
    <row r="485">
      <c r="A485" s="5" t="s">
        <v>100</v>
      </c>
    </row>
    <row r="486">
      <c r="A486" s="8"/>
    </row>
    <row r="487">
      <c r="A487" s="8"/>
    </row>
    <row r="488">
      <c r="A488" s="8"/>
    </row>
    <row r="489">
      <c r="A489" s="8"/>
    </row>
    <row r="490">
      <c r="A490" s="8"/>
    </row>
    <row r="491">
      <c r="A491" s="8"/>
    </row>
    <row r="492">
      <c r="A492" s="9"/>
    </row>
    <row r="493">
      <c r="A493" s="5" t="s">
        <v>97</v>
      </c>
    </row>
    <row r="494">
      <c r="A494" s="5" t="s">
        <v>97</v>
      </c>
    </row>
    <row r="495">
      <c r="A495" s="5" t="s">
        <v>97</v>
      </c>
    </row>
    <row r="496">
      <c r="A496" s="8"/>
    </row>
    <row r="497">
      <c r="A497" s="8"/>
    </row>
    <row r="498">
      <c r="A498" s="8"/>
    </row>
    <row r="499">
      <c r="A499" s="8"/>
    </row>
    <row r="500">
      <c r="A500" s="8"/>
    </row>
    <row r="501">
      <c r="A501" s="8"/>
    </row>
    <row r="502">
      <c r="A502" s="8"/>
    </row>
    <row r="503">
      <c r="A503" s="8"/>
    </row>
    <row r="504">
      <c r="A504" s="8"/>
    </row>
    <row r="505">
      <c r="A505" s="8"/>
    </row>
    <row r="506">
      <c r="A506" s="8"/>
    </row>
    <row r="507">
      <c r="A507" s="8"/>
    </row>
    <row r="508">
      <c r="A508" s="8"/>
    </row>
    <row r="509">
      <c r="A509" s="8"/>
    </row>
    <row r="510">
      <c r="A510" s="8"/>
    </row>
    <row r="511">
      <c r="A511" s="8"/>
    </row>
    <row r="512">
      <c r="A512" s="8"/>
    </row>
    <row r="513">
      <c r="A513" s="8"/>
    </row>
    <row r="514">
      <c r="A514" s="8"/>
    </row>
    <row r="515">
      <c r="A515" s="8"/>
    </row>
    <row r="516">
      <c r="A516" s="8"/>
    </row>
    <row r="517">
      <c r="A517" s="8"/>
    </row>
    <row r="518">
      <c r="A518" s="8"/>
    </row>
    <row r="519">
      <c r="A519" s="8"/>
    </row>
    <row r="520">
      <c r="A520" s="8"/>
    </row>
    <row r="521">
      <c r="A521" s="8"/>
    </row>
    <row r="522">
      <c r="A522" s="5" t="s">
        <v>97</v>
      </c>
    </row>
    <row r="523">
      <c r="A523" s="8"/>
    </row>
    <row r="524">
      <c r="A524" s="8"/>
    </row>
    <row r="525">
      <c r="A525" s="8"/>
    </row>
    <row r="526">
      <c r="A526" s="8"/>
    </row>
    <row r="527">
      <c r="A527" s="8"/>
    </row>
    <row r="528">
      <c r="A528" s="8"/>
    </row>
    <row r="529">
      <c r="A529" s="8"/>
    </row>
    <row r="530">
      <c r="A530" s="8"/>
    </row>
    <row r="531">
      <c r="A531" s="8"/>
    </row>
    <row r="532">
      <c r="A532" s="8"/>
    </row>
    <row r="533">
      <c r="A533" s="8"/>
    </row>
    <row r="534">
      <c r="A534" s="8"/>
    </row>
    <row r="535">
      <c r="A535" s="8"/>
    </row>
    <row r="536">
      <c r="A536" s="8"/>
    </row>
    <row r="537">
      <c r="A537" s="8"/>
    </row>
    <row r="538">
      <c r="A538" s="8"/>
    </row>
    <row r="539">
      <c r="A539" s="8"/>
    </row>
    <row r="540">
      <c r="A540" s="8"/>
    </row>
    <row r="541">
      <c r="A541" s="8"/>
    </row>
    <row r="542">
      <c r="A542" s="8"/>
    </row>
    <row r="543">
      <c r="A543" s="8"/>
    </row>
    <row r="544">
      <c r="A544" s="8"/>
    </row>
    <row r="545">
      <c r="A545" s="8"/>
    </row>
    <row r="546">
      <c r="A546" s="8"/>
    </row>
    <row r="547">
      <c r="A547" s="8"/>
    </row>
    <row r="548">
      <c r="A548" s="8"/>
    </row>
    <row r="549">
      <c r="A549" s="8"/>
    </row>
    <row r="550">
      <c r="A550" s="8"/>
    </row>
    <row r="551">
      <c r="A551" s="8"/>
    </row>
  </sheetData>
  <drawing r:id="rId1"/>
</worksheet>
</file>