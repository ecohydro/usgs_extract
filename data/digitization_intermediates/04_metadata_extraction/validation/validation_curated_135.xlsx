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definedName hidden="1" localSheetId="0" name="_xlnm._FilterDatabase">Sheet1!$A$1:$Q$891</definedName>
  </definedNames>
  <calcPr/>
</workbook>
</file>

<file path=xl/sharedStrings.xml><?xml version="1.0" encoding="utf-8"?>
<sst xmlns="http://schemas.openxmlformats.org/spreadsheetml/2006/main" count="4095" uniqueCount="2026">
  <si>
    <t>ID</t>
  </si>
  <si>
    <t>PAGE_NUMBER</t>
  </si>
  <si>
    <t>Inferred_Latitude</t>
  </si>
  <si>
    <t>Inferred_Longitude</t>
  </si>
  <si>
    <t>Actual_Latitude</t>
  </si>
  <si>
    <t>Actual_Longitude</t>
  </si>
  <si>
    <t>Location</t>
  </si>
  <si>
    <t>Townships_Ranges_Sections</t>
  </si>
  <si>
    <t>Watersource_Name</t>
  </si>
  <si>
    <t>Actual_County</t>
  </si>
  <si>
    <t>Inferred_County</t>
  </si>
  <si>
    <t>Dates_of_Recording</t>
  </si>
  <si>
    <t>Temporal_Resolution</t>
  </si>
  <si>
    <t>Units_Of_Measurement</t>
  </si>
  <si>
    <t>Water_Type</t>
  </si>
  <si>
    <t>KeyTerms</t>
  </si>
  <si>
    <t>Page Grade</t>
  </si>
  <si>
    <t>Exchequer, Calif.</t>
  </si>
  <si>
    <t>[]</t>
  </si>
  <si>
    <t>Merced River at Exchequer</t>
  </si>
  <si>
    <t>Merced County</t>
  </si>
  <si>
    <t>{'Start_Date': '10/01/1901', 'End_Date': '09/30/1950'}</t>
  </si>
  <si>
    <t>Monthly and yearly</t>
  </si>
  <si>
    <t>{'Discharge': 'cubic feet per second', 'Runoff': 'thousands of acre-feet'}</t>
  </si>
  <si>
    <t>Stream Discharge</t>
  </si>
  <si>
    <t>['discharge', 'runoff', 'cubic feet per second', 'acre-feet']</t>
  </si>
  <si>
    <t>HV_385</t>
  </si>
  <si>
    <t xml:space="preserve"># Graded </t>
  </si>
  <si>
    <t>Modesto, Calif.</t>
  </si>
  <si>
    <t>['SW1 sec. 33, T. 3 S., R. 9 E.']</t>
  </si>
  <si>
    <t>Tuolumne River</t>
  </si>
  <si>
    <t>Stanislaus County</t>
  </si>
  <si>
    <t>1891-94, 1897 (gage heights only); Jan. 1, 1895, to Dec. 31, 1896; Mar. 27, 1940, to July 10, 1947</t>
  </si>
  <si>
    <t>Monthly and yearly measurements</t>
  </si>
  <si>
    <t>{'Discharge': 'cubic feet per second (cfs)', 'Runoff': 'acre-feet'}</t>
  </si>
  <si>
    <t>['Stream Discharge', 'Flow regulated by reservoirs and powerplants', 'Diversions into Modesto and Turlock Canals']</t>
  </si>
  <si>
    <t>Overall accuracy</t>
  </si>
  <si>
    <t>HV_317</t>
  </si>
  <si>
    <t>NE+ sec. 14, T. 3 N., R. 7 E.</t>
  </si>
  <si>
    <t>['[T. 3 N., R. 7 E., Sec. 14]']</t>
  </si>
  <si>
    <t>Bear Creek near Lockeford</t>
  </si>
  <si>
    <t>San Joaquin County</t>
  </si>
  <si>
    <t>{'Start_Date': '1927-10-01', 'End_Date': '1950-09-30'}</t>
  </si>
  <si>
    <t>Monthly</t>
  </si>
  <si>
    <t>{'Runoff': 'acre-feet', 'Discharge': 'cubic feet per second'}</t>
  </si>
  <si>
    <t>['Runoff', 'Discharge', 'Cubic Feet per Second']</t>
  </si>
  <si>
    <t>Accuracy by category</t>
  </si>
  <si>
    <t>HV_191</t>
  </si>
  <si>
    <t>Lat</t>
  </si>
  <si>
    <t>Lat 39Â°08' long 120Â°57', SE1 sec. 22, T. 15 N., R. 9 E.</t>
  </si>
  <si>
    <t>['T. 15 N., R. 9 E., sec. 22']</t>
  </si>
  <si>
    <t>Bear River Canal near Colfax</t>
  </si>
  <si>
    <t>Plumas County</t>
  </si>
  <si>
    <t>01/01/1912-12/31/1950</t>
  </si>
  <si>
    <t>Daily</t>
  </si>
  <si>
    <t>{'Water-stage recorder': 'cfs', 'Diversions': 'acre-feet'}</t>
  </si>
  <si>
    <t>Irrigation</t>
  </si>
  <si>
    <t>['Canal', 'diversion dam', 'irrigation', 'gage', 'discharge', 'precipitation']</t>
  </si>
  <si>
    <t>Long</t>
  </si>
  <si>
    <t>HV_5</t>
  </si>
  <si>
    <t>Locaction</t>
  </si>
  <si>
    <t>South San Francisco Bay region, California</t>
  </si>
  <si>
    <t>Searsville</t>
  </si>
  <si>
    <t>Santa Clara County</t>
  </si>
  <si>
    <t>acre-ft</t>
  </si>
  <si>
    <t>Reservoir</t>
  </si>
  <si>
    <t>['Capacity', 'acre-ft']</t>
  </si>
  <si>
    <t>TRS</t>
  </si>
  <si>
    <t>HV_307</t>
  </si>
  <si>
    <t>Watersource</t>
  </si>
  <si>
    <t>Stevens Creek</t>
  </si>
  <si>
    <t>Stream</t>
  </si>
  <si>
    <t>['Drainage', 'gaging']</t>
  </si>
  <si>
    <t>County</t>
  </si>
  <si>
    <t>HV_308</t>
  </si>
  <si>
    <t>Date of Recording</t>
  </si>
  <si>
    <t>Almaden Reservoir</t>
  </si>
  <si>
    <t>Resolution</t>
  </si>
  <si>
    <t>HV_309</t>
  </si>
  <si>
    <t>Units</t>
  </si>
  <si>
    <t>Calero Reservoir</t>
  </si>
  <si>
    <t>Water Type</t>
  </si>
  <si>
    <t>HV_310</t>
  </si>
  <si>
    <t>Guadalupe Reservoir</t>
  </si>
  <si>
    <t>HV_311</t>
  </si>
  <si>
    <t>Austrian Reservoir</t>
  </si>
  <si>
    <t>HV_312</t>
  </si>
  <si>
    <t>Vasona Reservoir</t>
  </si>
  <si>
    <t>HV_313</t>
  </si>
  <si>
    <t>Coyote Creek</t>
  </si>
  <si>
    <t>HV_314</t>
  </si>
  <si>
    <t>Anderson Creek</t>
  </si>
  <si>
    <t>HV_315</t>
  </si>
  <si>
    <t>Calaveras Reservoir</t>
  </si>
  <si>
    <t>HV_316</t>
  </si>
  <si>
    <t>Right bank at highway bridge on B Street, in San Lorenzo Grant, just outside city limits of Hayward, Alameda County</t>
  </si>
  <si>
    <t>San Lorenzo Creek at Hayward</t>
  </si>
  <si>
    <t>Alameda County</t>
  </si>
  <si>
    <t>01/11/1952-01/13/1952</t>
  </si>
  <si>
    <t>Hourly</t>
  </si>
  <si>
    <t>{'Gage_Height': 'feet', 'Discharge': 'cubic feet per second (cfs)', 'Runoff_Acre_Feet': 'acre-feet', 'Runoff_Inches': 'inches'}</t>
  </si>
  <si>
    <t>['discharge', 'runoff', 'gage height']</t>
  </si>
  <si>
    <t>HV_246</t>
  </si>
  <si>
    <t>near Bakersfield</t>
  </si>
  <si>
    <t>Kern River</t>
  </si>
  <si>
    <t>Bakersfield, Kern County</t>
  </si>
  <si>
    <t>Kern County</t>
  </si>
  <si>
    <t>April 1-July 31, for years including 1952 and 1938</t>
  </si>
  <si>
    <t>Daily measurements recorded during April 1-July 31 in various years</t>
  </si>
  <si>
    <t>['Cfs', 'acre-ft']</t>
  </si>
  <si>
    <t>['Maximum daily discharge', 'Snowmelt runoff']</t>
  </si>
  <si>
    <t>HV_329</t>
  </si>
  <si>
    <t>near Success, Porterville; near Tule River Fork; South of Tule River</t>
  </si>
  <si>
    <t>Tulare Lake Basin</t>
  </si>
  <si>
    <t>Tulare County</t>
  </si>
  <si>
    <t>HV_330</t>
  </si>
  <si>
    <t>['near Bakersfield, at Kern County Land Co.', 'below Kerckhoff powerhouse', 'below Friant powerhouse', 'near Vernalis', 'at Bagby', 'above Grange Exchequer La', 'below Melones Dam', 'near Mokelumne Hill']</t>
  </si>
  <si>
    <t>San Joaquin River Basin</t>
  </si>
  <si>
    <t>Multiple counties including Fresno and Madera</t>
  </si>
  <si>
    <t>HV_331</t>
  </si>
  <si>
    <t>Shiprock, N. Mex.</t>
  </si>
  <si>
    <t>San Juan River</t>
  </si>
  <si>
    <t>McKinley County, New Mexico</t>
  </si>
  <si>
    <t>10/01/1963-09/30/1964</t>
  </si>
  <si>
    <t>{'Discharge': 'cfs (cubic feet per second)', 'Suspended Sediment Concentration': 'ppm (parts per million)', 'Suspended Sediment': 'Tons per day'}</t>
  </si>
  <si>
    <t>['Suspended sediment', 'Mean discharge', 'cfs', 'ppm']</t>
  </si>
  <si>
    <t>HV_251</t>
  </si>
  <si>
    <t>3.9 miles downstream from Parker Dam, 10.4 miles upstream from Headgate Rock Dam, and 11 miles north of San Bernardino meridian</t>
  </si>
  <si>
    <t>Colorado River Below Parker Dam</t>
  </si>
  <si>
    <t>San Bernardino County</t>
  </si>
  <si>
    <t>10/1963-09/1964</t>
  </si>
  <si>
    <t>Monthly (from October to September)</t>
  </si>
  <si>
    <t>{'pH': '', 'Specific_Conductance': 'micro-mhos at 25Â°C', 'Sodium_Absorption_Ratio': '', 'Hardness_CaCO3': 'mg/L as CaCO3', 'Calcium_Magnesium': 'mg/L', 'Dissolved_Solids_TonsPerDay': 'tons per day', 'Boron': '', 'Nitrate': 'ppm as N', 'Fluoride': '', 'Chloride': 'ppm as Cl', 'Sulfate': 'ppm as SO4', 'Carbonate': '', 'Bicarbonate': 'ppm as HCO3', 'Potassium': '', 'Sodium': 'ppm as Na', 'Magnesium': 'ppm as Mg', 'Calcium': 'ppm as Ca', 'Iron': '', 'Silica': 'ppm as SiO2', 'Mean_Discharge': 'cfs (cubic feet per second)'}</t>
  </si>
  <si>
    <t>['pH', 'Specific Conductance', 'Sodium Absorption Ratio', 'Hardness', 'Dissolved Solids', 'Boron', 'Nitrate', 'Fluoride', 'Chloride', 'Sulfate', 'Carbonate', 'Bicarbonate', 'Potassium', 'Sodium', 'Magnesium', 'Calcium', 'Iron', 'Silica', 'Mean Discharge']</t>
  </si>
  <si>
    <t>HV_327</t>
  </si>
  <si>
    <t>Near Florence, Arizona</t>
  </si>
  <si>
    <t>Gila River at Ashurst-Hayden Dam</t>
  </si>
  <si>
    <t>Pinal County, Arizona</t>
  </si>
  <si>
    <t>01/01/1923-12/31/1938</t>
  </si>
  <si>
    <t>Annual</t>
  </si>
  <si>
    <t>Discharge (cubic feet per second)</t>
  </si>
  <si>
    <t>['Gaging station', 'Discharge', 'Florence, Ariz.', 'Ashurst-Hayden Dam']</t>
  </si>
  <si>
    <t>HV_394</t>
  </si>
  <si>
    <t>Near York, Arizona</t>
  </si>
  <si>
    <t>Gila River at York</t>
  </si>
  <si>
    <t>Yuma County, Arizona</t>
  </si>
  <si>
    <t>01/01/1922-12/31/1931</t>
  </si>
  <si>
    <t>['Gaging station', 'Discharge', 'York, Ariz.']</t>
  </si>
  <si>
    <t>HV_395</t>
  </si>
  <si>
    <t>Below Duncan, Arizona</t>
  </si>
  <si>
    <t>Gila River below Duncan</t>
  </si>
  <si>
    <t>01/01/1926-12/31/1931</t>
  </si>
  <si>
    <t>['Gaging station', 'Discharge', 'Duncan, Ariz.']</t>
  </si>
  <si>
    <t>HV_396</t>
  </si>
  <si>
    <t>Near Ashurst, Arizona</t>
  </si>
  <si>
    <t>Gila River near Ashurst</t>
  </si>
  <si>
    <t>01/01/1921-12/31/1933</t>
  </si>
  <si>
    <t>['Gaging station', 'Discharge', 'Ashurst, Ariz.']</t>
  </si>
  <si>
    <t>HV_397</t>
  </si>
  <si>
    <t>Gila River near Florence</t>
  </si>
  <si>
    <t>01/01/1914-12/31/1914</t>
  </si>
  <si>
    <t>['Gaging station', 'Discharge', 'Florence, Ariz.']</t>
  </si>
  <si>
    <t>HV_398</t>
  </si>
  <si>
    <t>At Wickenburg, Arizona</t>
  </si>
  <si>
    <t>Hassayampa River at Wickenburg</t>
  </si>
  <si>
    <t>Maricopa County, Arizona</t>
  </si>
  <si>
    <t>01/01/1912-12/31/1912</t>
  </si>
  <si>
    <t>['Gaging station', 'Discharge', 'Wickenburg, Ariz.']</t>
  </si>
  <si>
    <t>HV_399</t>
  </si>
  <si>
    <t>Near Wickenburg, Arizona</t>
  </si>
  <si>
    <t>Hassayampa River near Wickenburg</t>
  </si>
  <si>
    <t>01/01/1911-12/31/1911</t>
  </si>
  <si>
    <t>HV_400</t>
  </si>
  <si>
    <t>Price and Powell ditch near Florence</t>
  </si>
  <si>
    <t>01/01/1914-12/31/1915</t>
  </si>
  <si>
    <t>['Gaging station', 'Ditch', 'Florence, Ariz.']</t>
  </si>
  <si>
    <t>HV_401</t>
  </si>
  <si>
    <t>Near Snowflake, Arizona</t>
  </si>
  <si>
    <t>Silver Creek near Snowflake</t>
  </si>
  <si>
    <t>Navajo County, Arizona</t>
  </si>
  <si>
    <t>01/01/1906-12/31/1916</t>
  </si>
  <si>
    <t>['Gaging station', 'Discharge', 'Snowflake, Ariz.']</t>
  </si>
  <si>
    <t>HV_402</t>
  </si>
  <si>
    <t>At Santa Clara, Utah</t>
  </si>
  <si>
    <t>St. George and Santa Clara North Canal at Santa Clara</t>
  </si>
  <si>
    <t>Washington County, Utah</t>
  </si>
  <si>
    <t>01/01/1915-12/31/1915</t>
  </si>
  <si>
    <t>['Gaging station', 'Canal', 'Santa Clara, Utah']</t>
  </si>
  <si>
    <t>HV_403</t>
  </si>
  <si>
    <t>St. George and Santa Clara South Canal at Santa Clara</t>
  </si>
  <si>
    <t>HV_404</t>
  </si>
  <si>
    <t>Town Canal at Santa Clara</t>
  </si>
  <si>
    <t>HV_405</t>
  </si>
  <si>
    <t>Near Woodruff, Arizona</t>
  </si>
  <si>
    <t>Woodruff ditch near Woodruff</t>
  </si>
  <si>
    <t>01/01/1906-12/31/1906</t>
  </si>
  <si>
    <t>['Gaging station', 'Ditch', 'Woodruff, Ariz.']</t>
  </si>
  <si>
    <t>HV_406</t>
  </si>
  <si>
    <t>At York, Arizona</t>
  </si>
  <si>
    <t>York Canal at York</t>
  </si>
  <si>
    <t>01/01/1914-12/31/1931</t>
  </si>
  <si>
    <t>['Gaging station', 'Canal', 'York, Ariz.']</t>
  </si>
  <si>
    <t>HV_407</t>
  </si>
  <si>
    <t>Calva, Arizona</t>
  </si>
  <si>
    <t>Gila River</t>
  </si>
  <si>
    <t>Greenlee County</t>
  </si>
  <si>
    <t>{'Start_Date': '10/01/1936', 'End_Date': '09/30/1938'}</t>
  </si>
  <si>
    <t>{'Discharge': 'second-feet', 'Runoff': ['Second-foot-days', 'Acre-feet']}</t>
  </si>
  <si>
    <t>['Discharge', 'Runoff', 'Second-feet', 'Acre-feet']</t>
  </si>
  <si>
    <t>HV_166</t>
  </si>
  <si>
    <t>Coolidge Dam on Gila River, NW2 sec. 17, T. 3 S., F. 18 E.</t>
  </si>
  <si>
    <t>['T. 3 S., F. 18 E., NW2 sec. 17']</t>
  </si>
  <si>
    <t>San Carlos Reservoir at Coolidge Dam</t>
  </si>
  <si>
    <t>Pima County, Arizona</t>
  </si>
  <si>
    <t>11/1928-09/1938</t>
  </si>
  <si>
    <t>{'Elevation': 'feet', 'Contents': 'acre-feet'}</t>
  </si>
  <si>
    <t>['San Carlos Reservoir', 'Coolidge Dam', 'Gila River', 'reservoir capacity', 'usable contents']</t>
  </si>
  <si>
    <t>HV_26</t>
  </si>
  <si>
    <t>In T. 3 N., R. 8 or 9 E., in the canyon, probably between sites of Etewart Mountain and Mormon Flat Dams, and about 15 miles upstream from Verde River.</t>
  </si>
  <si>
    <t>['T. 3 N., R. 8 or 9 E.']</t>
  </si>
  <si>
    <t>Salt River</t>
  </si>
  <si>
    <t>Gila County, Arizona</t>
  </si>
  <si>
    <t>{'Reservoir': '1910-10/01/1938', 'Discharge': '1890-05-28/1890-08-28'}</t>
  </si>
  <si>
    <t>{'Reservoir_Contents': 'thousands of acre-feet', 'Discharge': 'second-feet'}</t>
  </si>
  <si>
    <t>['stream gaging', 'current-meter discharge measurements', 'irrigation']</t>
  </si>
  <si>
    <t>HV_414</t>
  </si>
  <si>
    <t>near Baker Station, in the NW. 1/4 sec. 13, T. 5 N., R. 20 E.</t>
  </si>
  <si>
    <t>['NW. 1/4 sec. 13, T. 5 N., R. 20 E.']</t>
  </si>
  <si>
    <t>Relief Reservoir</t>
  </si>
  <si>
    <t>Tuolumne County</t>
  </si>
  <si>
    <t>10/01/1910-09/30/1915</t>
  </si>
  <si>
    <t>acre-feet</t>
  </si>
  <si>
    <t>['storage', 'power', 'reservoir']</t>
  </si>
  <si>
    <t>HV_203</t>
  </si>
  <si>
    <t>near Baker Station, one-fourth mile below Relief reservoir of the Sierra &amp; San Francisco Power Co.</t>
  </si>
  <si>
    <t>Relief Creek</t>
  </si>
  <si>
    <t>second-feet</t>
  </si>
  <si>
    <t>['discharge', 'flow', 'weir']</t>
  </si>
  <si>
    <t>HV_204</t>
  </si>
  <si>
    <t>Sacramento River drainage basin</t>
  </si>
  <si>
    <t>Sacramento River</t>
  </si>
  <si>
    <t>Sacramento County, California</t>
  </si>
  <si>
    <t>inches</t>
  </si>
  <si>
    <t>Precipitation</t>
  </si>
  <si>
    <t>['average precipitation', 'Sacramento River basin']</t>
  </si>
  <si>
    <t>HV_165</t>
  </si>
  <si>
    <t>Salton Sea region</t>
  </si>
  <si>
    <t>Desert Watering Places</t>
  </si>
  <si>
    <t>Imperial County, California</t>
  </si>
  <si>
    <t>Unknown</t>
  </si>
  <si>
    <t>{'Alkali_coefficient': 'inches', 'Foaming_ingredients': '', 'Scale_forming_ingredients': '', 'Total_hardness': 'CaCO3'}</t>
  </si>
  <si>
    <t>Groundwater</t>
  </si>
  <si>
    <t>['Desert watering places', 'Quality for irrigation', 'Quality for domestic use', 'Quality for boiler use']</t>
  </si>
  <si>
    <t>HV_247</t>
  </si>
  <si>
    <t>Sacramento Valley, California</t>
  </si>
  <si>
    <t>Groundwater in Sacramento Valley</t>
  </si>
  <si>
    <t>MM/DD/YYYY-1911</t>
  </si>
  <si>
    <t>['calcium', 'magnesium', 'bicarbonate', 'sodium salts', 'chloride']</t>
  </si>
  <si>
    <t>['alkali coefficient', 'irrigation waters', 'hard water', 'calcium', 'magnesium', 'bicarbonate', 'sodium salts', 'chloride']</t>
  </si>
  <si>
    <t>HV_123</t>
  </si>
  <si>
    <t>Near Arbuckle, western edge of Sacramento Valley</t>
  </si>
  <si>
    <t>Well near Arbuckle</t>
  </si>
  <si>
    <t>['calcium', 'magnesium', 'chloride']</t>
  </si>
  <si>
    <t>Bad Irrigation Water</t>
  </si>
  <si>
    <t>['exceptionally bad waters', 'calcium', 'magnesium', 'chloride']</t>
  </si>
  <si>
    <t>HV_124</t>
  </si>
  <si>
    <t>Eastern part of Sacramento Valley</t>
  </si>
  <si>
    <t>Deep wells in eastern Sacramento Valley</t>
  </si>
  <si>
    <t>['calcium', 'sulphate', 'sodium chloride']</t>
  </si>
  <si>
    <t>['brines', 'calcium', 'sulphate', 'sodium chloride']</t>
  </si>
  <si>
    <t>HV_125</t>
  </si>
  <si>
    <t>Sacramento Valley, Northern part east of Germantown and Marysville Buttes</t>
  </si>
  <si>
    <t>Groundwaters in Sacramento Valley</t>
  </si>
  <si>
    <t>Sacramento County</t>
  </si>
  <si>
    <t>Unknown (only averages provided)</t>
  </si>
  <si>
    <t>Parts per million</t>
  </si>
  <si>
    <t>['Silica', 'Iron', 'Calcium', 'Magnesium', 'Sodium and potassium', 'Bicarbonate radicle', 'Sulphate radicle', 'Chloride radicle', 'Nitrate radicle', 'Total dissolved solids']</t>
  </si>
  <si>
    <t>HV_77</t>
  </si>
  <si>
    <t>Yuba City, Outskirts of Yuba City</t>
  </si>
  <si>
    <t>['T. 13 N., R. 2 E.', 'SE. 1/2 sec. 7', 'SW. 1/2 sec. 10']</t>
  </si>
  <si>
    <t>East Sutter Basin Ground Water</t>
  </si>
  <si>
    <t>Sutter County</t>
  </si>
  <si>
    <t>07/02/1913-08/18/1913</t>
  </si>
  <si>
    <t>['Silica', 'Iron', 'Calcium', 'Magnesium', 'Sodium', 'Potassium', 'Carbonate', 'Bicarbonate', 'Sulphate', 'Chloride', 'Nitrate']</t>
  </si>
  <si>
    <t>HV_350</t>
  </si>
  <si>
    <t>Yuba City</t>
  </si>
  <si>
    <t>Pumping Plant - W.F. Sperry</t>
  </si>
  <si>
    <t>['Feet', 'Acres']</t>
  </si>
  <si>
    <t>['Diameter of well', 'Depth to water', 'Horsepower', 'Area irrigated']</t>
  </si>
  <si>
    <t>HV_351</t>
  </si>
  <si>
    <t>Outskirts of Yuba City</t>
  </si>
  <si>
    <t>Pumping Plant - Giblin Bros. No. 1 and No. 2</t>
  </si>
  <si>
    <t>HV_352</t>
  </si>
  <si>
    <t>SE. 1/2 sec. 12, T. 15 N., R. 2 E.</t>
  </si>
  <si>
    <t>['SE. 1/2 sec. 12', 'T. 15 N.', 'R. 2 E.']</t>
  </si>
  <si>
    <t>Pumping Plant - J. G. Sternes</t>
  </si>
  <si>
    <t>HV_353</t>
  </si>
  <si>
    <t>Willows area, California</t>
  </si>
  <si>
    <t>['NE. sec. 17, T. 21 N. R. 3 W.']</t>
  </si>
  <si>
    <t>Municipal supply at Willows</t>
  </si>
  <si>
    <t>Glenn County</t>
  </si>
  <si>
    <t>Nov., 1912-Nov., 1913</t>
  </si>
  <si>
    <t>1 year</t>
  </si>
  <si>
    <t>parts per million</t>
  </si>
  <si>
    <t>['Silica', 'Iron', 'Calcium', 'Magnesium', 'Sodium and potassium', 'Carbonate radicle', 'Bicarbonate radicle', 'Sulphate radicle', 'Chloride radicle', 'Nitrate radicle', 'Total dissolved solids', 'Total hardness as CaCO3']</t>
  </si>
  <si>
    <t>HV_367</t>
  </si>
  <si>
    <t>Near Willows area, California</t>
  </si>
  <si>
    <t>No. 8 well, Central Forest Co.</t>
  </si>
  <si>
    <t>Nov., 1913-Dec., 1913</t>
  </si>
  <si>
    <t>HV_368</t>
  </si>
  <si>
    <t>['NE. 1/4 sec. 36, T. 19 N., R. 3 W.']</t>
  </si>
  <si>
    <t>Dug well, Tweed Ranch &amp; Land Co.</t>
  </si>
  <si>
    <t>Dec., 1913-Dec., 1913</t>
  </si>
  <si>
    <t>HV_369</t>
  </si>
  <si>
    <t>['W. 1/2 sec. 10, T. 18 N., R. 3 W.']</t>
  </si>
  <si>
    <t>Shallow well, near artesian well of Z. S. Spaulding</t>
  </si>
  <si>
    <t>HV_370</t>
  </si>
  <si>
    <t>Colusa, California</t>
  </si>
  <si>
    <t>['NW 1 sec. 4, T. 4 N., R. 1 W.']</t>
  </si>
  <si>
    <t>Municipal Supply from Two Wells</t>
  </si>
  <si>
    <t>Colusa County</t>
  </si>
  <si>
    <t>10/22/1913-10/23/1913</t>
  </si>
  <si>
    <t>['well', 'ground water', 'municipal supply']</t>
  </si>
  <si>
    <t>HV_336</t>
  </si>
  <si>
    <t>Sycamore, California</t>
  </si>
  <si>
    <t>Well of W. H. Buster, Sycamore</t>
  </si>
  <si>
    <t>['well', 'ground water']</t>
  </si>
  <si>
    <t>HV_337</t>
  </si>
  <si>
    <t>Near Sycamore, California</t>
  </si>
  <si>
    <t>Artesian Well of J. E. Sachreiter, near Sycamore</t>
  </si>
  <si>
    <t>['artesian well', 'ground water']</t>
  </si>
  <si>
    <t>HV_338</t>
  </si>
  <si>
    <t>Ukiah Valley, California</t>
  </si>
  <si>
    <t>Ukiah Valley Groundwater</t>
  </si>
  <si>
    <t>Mendocino County</t>
  </si>
  <si>
    <t>1944-1954</t>
  </si>
  <si>
    <t>['irrigation wells', 'river pumps', 'surface water', 'ground water', 'public-supply system', 'Mendocino State Hospital']</t>
  </si>
  <si>
    <t>HV_132</t>
  </si>
  <si>
    <t>Russian River Water Usage</t>
  </si>
  <si>
    <t>Post World War II to 1954</t>
  </si>
  <si>
    <t>gallons per day (gpd), acre-feet</t>
  </si>
  <si>
    <t>Industrial Use, Groundwater</t>
  </si>
  <si>
    <t>['saw-mills', 'wood products', 'Russian River']</t>
  </si>
  <si>
    <t>HV_133</t>
  </si>
  <si>
    <t>Ground-Water Storage Capacity</t>
  </si>
  <si>
    <t>Groundwater Storage</t>
  </si>
  <si>
    <t>['alluvium', 'terrace deposits']</t>
  </si>
  <si>
    <t>HV_134</t>
  </si>
  <si>
    <t>Santa Rosa, Calif.</t>
  </si>
  <si>
    <t>Santa Rosa</t>
  </si>
  <si>
    <t>Sonoma County</t>
  </si>
  <si>
    <t>1887-01-01 to 1929-12-31</t>
  </si>
  <si>
    <t>['Monthly', 'Yearly', 'Precipitation']</t>
  </si>
  <si>
    <t>HV_306</t>
  </si>
  <si>
    <t>California</t>
  </si>
  <si>
    <t>1929-06-01 to 1953-12-31</t>
  </si>
  <si>
    <t>Monthly and Yearly</t>
  </si>
  <si>
    <t>['Monthly', 'Yearly Precipitation']</t>
  </si>
  <si>
    <t>HV_349</t>
  </si>
  <si>
    <t>Santa Rosa and Petaluma Valley areas, California</t>
  </si>
  <si>
    <t>Healdsburg</t>
  </si>
  <si>
    <t>1914-06/1952-09</t>
  </si>
  <si>
    <t>1 year (water year from October 1 to September 30)</t>
  </si>
  <si>
    <t>['rainfall', 'water year', 'annual']</t>
  </si>
  <si>
    <t>HV_0</t>
  </si>
  <si>
    <t>Graton</t>
  </si>
  <si>
    <t>HV_1</t>
  </si>
  <si>
    <t>HV_2</t>
  </si>
  <si>
    <t>Petaluma</t>
  </si>
  <si>
    <t>HV_3</t>
  </si>
  <si>
    <t>Lakeville, Sleepy Hollow Dairy</t>
  </si>
  <si>
    <t>1939-06/1952-09</t>
  </si>
  <si>
    <t>HV_4</t>
  </si>
  <si>
    <t>Petaluma Valley, California</t>
  </si>
  <si>
    <t>Petaluma Valley Ground Water</t>
  </si>
  <si>
    <t>04/01/1945-12/31/1949</t>
  </si>
  <si>
    <t>['ground-water pumpage', 'acre-feet', 'Irrigation']</t>
  </si>
  <si>
    <t>HV_145</t>
  </si>
  <si>
    <t>Various points along Cache Creek</t>
  </si>
  <si>
    <t>Cache Creek</t>
  </si>
  <si>
    <t>Yolo</t>
  </si>
  <si>
    <t>06/25/1900-08/27/1900</t>
  </si>
  <si>
    <t>1-2 days</t>
  </si>
  <si>
    <t>{'Area': 'Sq. ft.', 'Velocity': 'Ft. per sec.', 'Discharge': 'Sec.-ft.'}</t>
  </si>
  <si>
    <t>['Discharge measurements', 'Hydrographer', 'Sec.-ft.', 'Velocity']</t>
  </si>
  <si>
    <t>HV_300</t>
  </si>
  <si>
    <t>Various points along North Fork</t>
  </si>
  <si>
    <t>North Fork of Cache Creek</t>
  </si>
  <si>
    <t>06/29/1900-07/08/1900</t>
  </si>
  <si>
    <t>HV_301</t>
  </si>
  <si>
    <t>At mouth</t>
  </si>
  <si>
    <t>Bear Creek</t>
  </si>
  <si>
    <t>06/27/1900-06/30/1900</t>
  </si>
  <si>
    <t>3 days</t>
  </si>
  <si>
    <t>HV_302</t>
  </si>
  <si>
    <t>Long Valley Creek</t>
  </si>
  <si>
    <t>06/30/1900-06/30/1900</t>
  </si>
  <si>
    <t>HV_303</t>
  </si>
  <si>
    <t>Irrigation works</t>
  </si>
  <si>
    <t>Moore ditch</t>
  </si>
  <si>
    <t>{'Discharge': 'Sec.-ft.'}</t>
  </si>
  <si>
    <t>['Irrigating ditches', 'Yolo County']</t>
  </si>
  <si>
    <t>HV_304</t>
  </si>
  <si>
    <t>Woodland district, California</t>
  </si>
  <si>
    <t>Groundwater Wells</t>
  </si>
  <si>
    <t>Yolo County</t>
  </si>
  <si>
    <t>['Feet', 'Gallons per minute']</t>
  </si>
  <si>
    <t>['wells', 'irrigation pumping plants', 'bore']</t>
  </si>
  <si>
    <t>HV_280</t>
  </si>
  <si>
    <t>Yuma, Ariz.</t>
  </si>
  <si>
    <t>Right Branch of Colorado Valley Pumping and Irrigation Company Canal</t>
  </si>
  <si>
    <t>Yuma County</t>
  </si>
  <si>
    <t>01/01/YYYY-12/31/YYYY</t>
  </si>
  <si>
    <t>{'Acre-feet_Total': 'acre-feet', 'Per_Acre': 'per acre'}</t>
  </si>
  <si>
    <t>['canals', 'irrigation', 'acre-feet', 'seepage losses']</t>
  </si>
  <si>
    <t>HV_421</t>
  </si>
  <si>
    <t>Left Branch of Colorado Valley Pumping and Irrigation Company Canal</t>
  </si>
  <si>
    <t>01/01/1904-12/31/1904</t>
  </si>
  <si>
    <t>['Acre-feet']</t>
  </si>
  <si>
    <t>['canal', 'irrigation', 'acre-feet', 'seepage losses']</t>
  </si>
  <si>
    <t>HV_284</t>
  </si>
  <si>
    <t>Laselle ranch, Yuma, Ariz.</t>
  </si>
  <si>
    <t>Laselle Ranch Water Measurements</t>
  </si>
  <si>
    <t>['alfalfa', 'irrigation', 'acre-feet']</t>
  </si>
  <si>
    <t>HV_285</t>
  </si>
  <si>
    <t>Arizona</t>
  </si>
  <si>
    <t>Briscoe Reservoir</t>
  </si>
  <si>
    <t>Maricopa County</t>
  </si>
  <si>
    <t>[{'Area': 'square miles, acres', 'Discharge': 'second-feet', 'Height': 'feet', 'Capacity': 'acre-feet'}]</t>
  </si>
  <si>
    <t>['reservoir', 'dam', 'spillway', 'discharge capacity', 'acre-feet']</t>
  </si>
  <si>
    <t>HV_25</t>
  </si>
  <si>
    <t>Mendota-Huron Area, CA</t>
  </si>
  <si>
    <t>Pleasant Valley</t>
  </si>
  <si>
    <t>1936-04-01 to 1953-03-31</t>
  </si>
  <si>
    <t>Annual (Agricultural year beginning April 1 and ending March 31)</t>
  </si>
  <si>
    <t>['Estimated agricultural pumpage', 'ground-water pumpage']</t>
  </si>
  <si>
    <t>HV_422</t>
  </si>
  <si>
    <t>Coalingo</t>
  </si>
  <si>
    <t>1945-04 to 1951-05</t>
  </si>
  <si>
    <t>Specific dates: April 1945, April 1948, May 1951</t>
  </si>
  <si>
    <t>Not Water Related</t>
  </si>
  <si>
    <t>['Profiles show nonpumping water level in wells', 'For location of profiles']</t>
  </si>
  <si>
    <t>HV_423</t>
  </si>
  <si>
    <t>Mendota-Huron area, California</t>
  </si>
  <si>
    <t>['18/16']</t>
  </si>
  <si>
    <t>Well 18/16 -24E1</t>
  </si>
  <si>
    <t>Madera County</t>
  </si>
  <si>
    <t>08/14/1951-08/15/1951</t>
  </si>
  <si>
    <t>{'Depth': 'feet', 'Temperature': 'Fahrenheit'}</t>
  </si>
  <si>
    <t>['wells', 'irrigation']</t>
  </si>
  <si>
    <t>HV_205</t>
  </si>
  <si>
    <t>['24']</t>
  </si>
  <si>
    <t>Well 24H1</t>
  </si>
  <si>
    <t>08/14/1951-08/16/1951</t>
  </si>
  <si>
    <t>HV_206</t>
  </si>
  <si>
    <t>Well 24P1</t>
  </si>
  <si>
    <t>HV_207</t>
  </si>
  <si>
    <t>['25']</t>
  </si>
  <si>
    <t>Well 25Q1</t>
  </si>
  <si>
    <t>HV_208</t>
  </si>
  <si>
    <t>['26']</t>
  </si>
  <si>
    <t>Well 26F2</t>
  </si>
  <si>
    <t>HV_209</t>
  </si>
  <si>
    <t>['30']</t>
  </si>
  <si>
    <t>Well 30R1</t>
  </si>
  <si>
    <t>HV_210</t>
  </si>
  <si>
    <t>['33']</t>
  </si>
  <si>
    <t>Well 33Q1</t>
  </si>
  <si>
    <t>HV_211</t>
  </si>
  <si>
    <t>['34']</t>
  </si>
  <si>
    <t>Well 34Q1</t>
  </si>
  <si>
    <t>HV_212</t>
  </si>
  <si>
    <t>Well 34R1</t>
  </si>
  <si>
    <t>HV_213</t>
  </si>
  <si>
    <t>['35']</t>
  </si>
  <si>
    <t>Well 35N1</t>
  </si>
  <si>
    <t>HV_214</t>
  </si>
  <si>
    <t>['18/17']</t>
  </si>
  <si>
    <t>Well 18/17 -3N1</t>
  </si>
  <si>
    <t>HV_215</t>
  </si>
  <si>
    <t>['3']</t>
  </si>
  <si>
    <t>Well 3Q1</t>
  </si>
  <si>
    <t>HV_216</t>
  </si>
  <si>
    <t>['4']</t>
  </si>
  <si>
    <t>Well 4N1</t>
  </si>
  <si>
    <t>HV_217</t>
  </si>
  <si>
    <t>['5']</t>
  </si>
  <si>
    <t>Well 5B1</t>
  </si>
  <si>
    <t>HV_218</t>
  </si>
  <si>
    <t>San Joaquin Valley, California</t>
  </si>
  <si>
    <t>East Side Canal</t>
  </si>
  <si>
    <t>Fresno County</t>
  </si>
  <si>
    <t>05/24/1955-06/18/1955</t>
  </si>
  <si>
    <t>Minutes to days</t>
  </si>
  <si>
    <t>{'Discharge': 'cubic feet per second (cfs)', 'Infiltration_per_unit_length_of_canal': 'cubic feet per second per mile (cfs/mile)', 'Infiltration_per_unit_area': 'feet per day'}</t>
  </si>
  <si>
    <t>['Infiltration', 'East Side Canal', 'Seepage loss', 'Discharge']</t>
  </si>
  <si>
    <t>HV_415</t>
  </si>
  <si>
    <t>Calflax ditch</t>
  </si>
  <si>
    <t>Kings County</t>
  </si>
  <si>
    <t>San Joaquin Valley, Kings County</t>
  </si>
  <si>
    <t>06/26/1970-08/02/1970</t>
  </si>
  <si>
    <t>Varies (not consistent daily intervals)</t>
  </si>
  <si>
    <t>feet per day</t>
  </si>
  <si>
    <t>['infiltration', 'ground-water reservoirs', 'ditch']</t>
  </si>
  <si>
    <t>HV_149</t>
  </si>
  <si>
    <t>Ground-Water Reservoirs</t>
  </si>
  <si>
    <t>1943-01-01 to 1952-12-31</t>
  </si>
  <si>
    <t>Annual (1943, 1945, 1952)</t>
  </si>
  <si>
    <t>{'Precipitation and Consumptive Use': 'feet'}</t>
  </si>
  <si>
    <t>['consumptive use', 'irrigated crops', 'effective precipitation', 'evaporation']</t>
  </si>
  <si>
    <t>HV_328</t>
  </si>
  <si>
    <t>Service area for Madera Canal in Fresno County, California</t>
  </si>
  <si>
    <t>Madera Canal service area</t>
  </si>
  <si>
    <t>Fresno County, California</t>
  </si>
  <si>
    <t>3 years interval (1943 to 1952)</t>
  </si>
  <si>
    <t>[{'Infiltration': 'acre-feet', 'Area_Irrigated': 'acres'}]</t>
  </si>
  <si>
    <t>['infiltration', 'ground-water pumpage']</t>
  </si>
  <si>
    <t>HV_192</t>
  </si>
  <si>
    <t>Area combining Fresno and Consolidated Irrigation Districts in Fresno County</t>
  </si>
  <si>
    <t>Fresno-Consolidated area</t>
  </si>
  <si>
    <t>[{'Gross_Area': 'acres'}]</t>
  </si>
  <si>
    <t>['Fresno-Consolidated area', 'ground-water storage units']</t>
  </si>
  <si>
    <t>HV_193</t>
  </si>
  <si>
    <t>Fresno Consolidated Area, California</t>
  </si>
  <si>
    <t>Kings River</t>
  </si>
  <si>
    <t>04/01/1948-04/01/1952</t>
  </si>
  <si>
    <t>4 years (1948 to 1952)</t>
  </si>
  <si>
    <t>['Kings River', 'stream seepage']</t>
  </si>
  <si>
    <t>HV_416</t>
  </si>
  <si>
    <t>Minor Streams</t>
  </si>
  <si>
    <t>['Minor Streams', 'stream seepage']</t>
  </si>
  <si>
    <t>HV_417</t>
  </si>
  <si>
    <t>Fresno Irrigation District</t>
  </si>
  <si>
    <t>1948-1952</t>
  </si>
  <si>
    <t>{'Water_Use': 'acre-feet', 'Infiltration': 'acre-feet per acre'}</t>
  </si>
  <si>
    <t>['ground water', 'infiltration', 'irrigation']</t>
  </si>
  <si>
    <t>HV_248</t>
  </si>
  <si>
    <t>Consolidated Irrigation District</t>
  </si>
  <si>
    <t>HV_249</t>
  </si>
  <si>
    <t>Kern River Area</t>
  </si>
  <si>
    <t>{'Area': 'acres'}</t>
  </si>
  <si>
    <t>['Kern River', 'area']</t>
  </si>
  <si>
    <t>HV_250</t>
  </si>
  <si>
    <t>North Kern Water Storage District area</t>
  </si>
  <si>
    <t>['TRS1', 'TRS2']</t>
  </si>
  <si>
    <t>01/01/1938-12/31/1952</t>
  </si>
  <si>
    <t>Yearly (1938, 1942, 1952)</t>
  </si>
  <si>
    <t>['specific-yield method', 'inventory method', 'ground-water storage', 'stream seepage']</t>
  </si>
  <si>
    <t>HV_371</t>
  </si>
  <si>
    <t>Kern River Basin, California</t>
  </si>
  <si>
    <t>Kern River System</t>
  </si>
  <si>
    <t>14 years</t>
  </si>
  <si>
    <t>['System losses', 'water supply', 'consumptive use']</t>
  </si>
  <si>
    <t>HV_293</t>
  </si>
  <si>
    <t>North Kern, California</t>
  </si>
  <si>
    <t>North Kern Water Storage District</t>
  </si>
  <si>
    <t>['Total water supply', 'system loss']</t>
  </si>
  <si>
    <t>HV_294</t>
  </si>
  <si>
    <t>South Kern, California</t>
  </si>
  <si>
    <t>South Side unit</t>
  </si>
  <si>
    <t>HV_295</t>
  </si>
  <si>
    <t>East Kern, California</t>
  </si>
  <si>
    <t>East Side unit</t>
  </si>
  <si>
    <t>HV_296</t>
  </si>
  <si>
    <t>West Kern, California</t>
  </si>
  <si>
    <t>West Side unit</t>
  </si>
  <si>
    <t>HV_297</t>
  </si>
  <si>
    <t>Shafter, California</t>
  </si>
  <si>
    <t>Shafter-Wasco Irrigation District</t>
  </si>
  <si>
    <t>HV_298</t>
  </si>
  <si>
    <t>1938-10/01/1938 to 1952-12/31/1952</t>
  </si>
  <si>
    <t>1938, 1942, and 1952</t>
  </si>
  <si>
    <t>['acres', 'feet', 'acre-feet']</t>
  </si>
  <si>
    <t>['irrigated crops', 'consumptive use', 'water storage district']</t>
  </si>
  <si>
    <t>HV_150</t>
  </si>
  <si>
    <t>['[TRS]', '[TRS]', '[TRS]']</t>
  </si>
  <si>
    <t>['ground-water reservoirs', 'infiltration', 'irrigation pumpage']</t>
  </si>
  <si>
    <t>HV_409</t>
  </si>
  <si>
    <t>HV_410</t>
  </si>
  <si>
    <t>HV_411</t>
  </si>
  <si>
    <t>HV_412</t>
  </si>
  <si>
    <t>HV_413</t>
  </si>
  <si>
    <t>San Bernardino, California</t>
  </si>
  <si>
    <t>['[Data not provided]']</t>
  </si>
  <si>
    <t>San Bernardino Rainfall</t>
  </si>
  <si>
    <t>Riverside County</t>
  </si>
  <si>
    <t>07/01/1870-06/30/1952</t>
  </si>
  <si>
    <t>1 Year</t>
  </si>
  <si>
    <t>['Yearly rainfall', 'San Bernardino', 'inches', '82-year period']</t>
  </si>
  <si>
    <t>HV_69</t>
  </si>
  <si>
    <t>California, USA</t>
  </si>
  <si>
    <t>La Mesa Reservoir</t>
  </si>
  <si>
    <t>San Diego County</t>
  </si>
  <si>
    <t>01/04/1913 - 31/10/1915</t>
  </si>
  <si>
    <t>three-year record (1913 to 1915)</t>
  </si>
  <si>
    <t>{'Evaporation': 'Feet', 'Area': 'Acres', 'Groundwater_Intake': 'Acre-feet'}</t>
  </si>
  <si>
    <t>['evaporation', 'floating pan', 'reservoir']</t>
  </si>
  <si>
    <t>HV_383</t>
  </si>
  <si>
    <t>Major Valleys of San Diego County (Ground Water Intake)</t>
  </si>
  <si>
    <t>unknown annual period</t>
  </si>
  <si>
    <t>Annual average data</t>
  </si>
  <si>
    <t>{'Area': 'Acres', 'Effective Porosity': 'Percent', 'Groundwater Intake': 'Acre-feet'}</t>
  </si>
  <si>
    <t>['ground-water intake', 'valley fill', 'evaporation', 'transpiration']</t>
  </si>
  <si>
    <t>HV_384</t>
  </si>
  <si>
    <t>Surf, Calif.</t>
  </si>
  <si>
    <t>Surf, California Precipitation</t>
  </si>
  <si>
    <t>Santa Barbara County</t>
  </si>
  <si>
    <t>01/01/1948-12/31/1957</t>
  </si>
  <si>
    <t>['rainfall', 'inches', 'monthly data']</t>
  </si>
  <si>
    <t>HV_126</t>
  </si>
  <si>
    <t>Vicinity of Lompoc, Calif.</t>
  </si>
  <si>
    <t>Lompoc, California Precipitation</t>
  </si>
  <si>
    <t>10/01/1913-09/30/1957</t>
  </si>
  <si>
    <t>['annual precipitation', 'frequency distribution']</t>
  </si>
  <si>
    <t>HV_127</t>
  </si>
  <si>
    <t>Upstream from the confluence, Eureka area</t>
  </si>
  <si>
    <t>Eel and Van Duzen River valleys</t>
  </si>
  <si>
    <t>Humboldt County</t>
  </si>
  <si>
    <t>1952-01/01/1952-12/31/1952</t>
  </si>
  <si>
    <t>Acre-feet</t>
  </si>
  <si>
    <t>['Estimated pumpage', 'acre-feet']</t>
  </si>
  <si>
    <t>HV_181</t>
  </si>
  <si>
    <t>Coastal plain, Eureka area</t>
  </si>
  <si>
    <t>Eel River valley coastal plain</t>
  </si>
  <si>
    <t>HV_182</t>
  </si>
  <si>
    <t>Mad River valley coastal plain (Arcata plain)</t>
  </si>
  <si>
    <t>HV_183</t>
  </si>
  <si>
    <t>Eureka area</t>
  </si>
  <si>
    <t>Other areas</t>
  </si>
  <si>
    <t>HV_184</t>
  </si>
  <si>
    <t>Loleta, Eureka area</t>
  </si>
  <si>
    <t>Golden State Co. at Loleta</t>
  </si>
  <si>
    <t>Industrial</t>
  </si>
  <si>
    <t>['ground-water consumption', 'acre-feet per year']</t>
  </si>
  <si>
    <t>HV_185</t>
  </si>
  <si>
    <t>Log pond at lumber mill</t>
  </si>
  <si>
    <t>Weekly</t>
  </si>
  <si>
    <t>['log pond', 'pump water']</t>
  </si>
  <si>
    <t>HV_186</t>
  </si>
  <si>
    <t>Arcata, Eureka area</t>
  </si>
  <si>
    <t>Arcata city water supply</t>
  </si>
  <si>
    <t>1946-07/01/1952-06/30</t>
  </si>
  <si>
    <t>Thousands of gallons</t>
  </si>
  <si>
    <t>Municipal</t>
  </si>
  <si>
    <t>['metered water consumption', 'ground and surface water']</t>
  </si>
  <si>
    <t>HV_187</t>
  </si>
  <si>
    <t>Fortuna, Eureka area</t>
  </si>
  <si>
    <t>Fortuna city water supply</t>
  </si>
  <si>
    <t>['metered water consumption', 'ground water']</t>
  </si>
  <si>
    <t>HV_188</t>
  </si>
  <si>
    <t>Loleta, Rio Dell, Eureka area</t>
  </si>
  <si>
    <t>Loleta and Rio Dell city water supply</t>
  </si>
  <si>
    <t>May to September (Annual)</t>
  </si>
  <si>
    <t>Seasonal</t>
  </si>
  <si>
    <t>['ground water', 'wells']</t>
  </si>
  <si>
    <t>HV_189</t>
  </si>
  <si>
    <t>Blue Lake, Fields Landing, Eureka area</t>
  </si>
  <si>
    <t>Blue Lake and Fields Landing city water supply</t>
  </si>
  <si>
    <t>Summer (Annual)</t>
  </si>
  <si>
    <t>HV_190</t>
  </si>
  <si>
    <t>['6N/2E -29', '30B1', '30H1', '30P1', '31C1', '32C1', '7N/1E -8M1', '20L1', '31D1']</t>
  </si>
  <si>
    <t>Water well</t>
  </si>
  <si>
    <t>1946-01-01-1950-12-31</t>
  </si>
  <si>
    <t>gpm, feet</t>
  </si>
  <si>
    <t>['Domestic', 'Irrigation', 'Pump']</t>
  </si>
  <si>
    <t>HV_21</t>
  </si>
  <si>
    <t>Ephemeral Springs</t>
  </si>
  <si>
    <t>Not specified</t>
  </si>
  <si>
    <t>parts per million (ppm) except pH, equivalents per milliequivalent (epm)</t>
  </si>
  <si>
    <t>Springs</t>
  </si>
  <si>
    <t>['Ephemeral springs', 'SiO2', 'Al', 'Fe', 'Ca', 'Mg', 'Na', 'K', 'HCO3', 'SO4', 'Cl', 'F', 'NO3', 'Dissolved Solids']</t>
  </si>
  <si>
    <t>HV_154</t>
  </si>
  <si>
    <t>Perennial Springs</t>
  </si>
  <si>
    <t>['Perennial springs', 'SiO2', 'Al', 'Fe', 'Ca', 'Mg', 'Na', 'K', 'HCO3', 'SO4', 'Cl', 'F', 'NO3', 'Dissolved Solids']</t>
  </si>
  <si>
    <t>HV_155</t>
  </si>
  <si>
    <t>Sierra Nevada, California</t>
  </si>
  <si>
    <t>Sierra Nevada Quartz Monzonite Related Springs</t>
  </si>
  <si>
    <t>Percent and Ratios</t>
  </si>
  <si>
    <t>['Quartz Monzonite', 'Rocks', 'Spring Water', 'Mineral Constituents']</t>
  </si>
  <si>
    <t>HV_419</t>
  </si>
  <si>
    <t>Sierra Nevada Granodiorite Related Springs</t>
  </si>
  <si>
    <t>['Granodiorite', 'Rocks', 'Spring Water', 'Mineral Constituents']</t>
  </si>
  <si>
    <t>HV_420</t>
  </si>
  <si>
    <t>Water from granitic rocks in Sierra Nevada</t>
  </si>
  <si>
    <t>Sierra County</t>
  </si>
  <si>
    <t>['kaolinite', 'granitic rocks', 'Sierra Nevada']</t>
  </si>
  <si>
    <t>HV_424</t>
  </si>
  <si>
    <t>Mojave Desert and California Coast, California</t>
  </si>
  <si>
    <t>Water from granitic rocks in Mojave Desert and California coast</t>
  </si>
  <si>
    <t>['San Bernardino County', 'Ventura County']</t>
  </si>
  <si>
    <t>['granitic rocks', 'Mojave Desert', 'California coast']</t>
  </si>
  <si>
    <t>HV_425</t>
  </si>
  <si>
    <t>South of Mecca, California near Figtree John Spring</t>
  </si>
  <si>
    <t>Salton Sea</t>
  </si>
  <si>
    <t>Imperial County</t>
  </si>
  <si>
    <t>08/01/1939-04/01/1940</t>
  </si>
  <si>
    <t>Monthly or more frequently</t>
  </si>
  <si>
    <t>{'Elevation': 'feet below mean sea level', 'Change_in_contents': 'acre-feet'}</t>
  </si>
  <si>
    <t>['Salton Sea', 'elevation', 'acre-feet', 'surface runoff', 'ground-water filtration']</t>
  </si>
  <si>
    <t>HV_281</t>
  </si>
  <si>
    <t>Near Yuma, California</t>
  </si>
  <si>
    <t>Yuma main canal wasteway</t>
  </si>
  <si>
    <t>{'Discharge': 'second-feet'}</t>
  </si>
  <si>
    <t>['diverted water', 'discharge tables']</t>
  </si>
  <si>
    <t>HV_282</t>
  </si>
  <si>
    <t>Pilot Knob wasteway</t>
  </si>
  <si>
    <t>HV_283</t>
  </si>
  <si>
    <t>SACRAMENTO RIVER BASIN near Lakeview, Oreg.</t>
  </si>
  <si>
    <t>['[T. 40 S., R. 18 E., sec. 5]', '[T. 40 S., R. 18 E., sec. 4]']</t>
  </si>
  <si>
    <t>DREWS CREEK RESERVOIR NEAR LAKEVIEW</t>
  </si>
  <si>
    <t>Lake County, California</t>
  </si>
  <si>
    <t>02/26/1913-09/30/1913</t>
  </si>
  <si>
    <t>{'Gage_Height': 'feet', 'Storage': 'acre-feet'}</t>
  </si>
  <si>
    <t>['Drews Creek Reservoir', 'Lakeview', 'T. 40 S., R. 18 E.', 'Gage readings', 'Storage measurements']</t>
  </si>
  <si>
    <t>HV_335</t>
  </si>
  <si>
    <t>Near Escondido, San Diego County</t>
  </si>
  <si>
    <t>['SE. 1/4 NW. 1/4 sec. 18, T. 13 S., R. 2 W.']</t>
  </si>
  <si>
    <t>San Dieguito River Basin</t>
  </si>
  <si>
    <t>01/17/1916-09/30/1925</t>
  </si>
  <si>
    <t>{'Stage': 'feet', 'Discharge': 'second-feet', 'Run-off': 'acre-feet'}</t>
  </si>
  <si>
    <t>['maximum stage', 'discharge', 'run-off']</t>
  </si>
  <si>
    <t>HV_146</t>
  </si>
  <si>
    <t>Near Mesa Grande, San Diego County</t>
  </si>
  <si>
    <t>Santa Ysabel Creek near Mesa Grande</t>
  </si>
  <si>
    <t>10/1925-09/30/1925</t>
  </si>
  <si>
    <t>{'Run-off': 'acre-feet'}</t>
  </si>
  <si>
    <t>['run-off', 'acre-feet']</t>
  </si>
  <si>
    <t>HV_147</t>
  </si>
  <si>
    <t>Near Lake Hodges Dam, San Diego County</t>
  </si>
  <si>
    <t>Lake Hodges Reservoir</t>
  </si>
  <si>
    <t>{'Storage': 'acre-feet', 'Inflow': 'acre-feet'}</t>
  </si>
  <si>
    <t>['storage', 'inflow', 'evaporation', 'leakage']</t>
  </si>
  <si>
    <t>HV_148</t>
  </si>
  <si>
    <t>Lake Hodges Dam, 5.5 miles southwest of Escondido</t>
  </si>
  <si>
    <t>['13S, R2W, Sec18, NW1/4']</t>
  </si>
  <si>
    <t>San Dieguito River</t>
  </si>
  <si>
    <t>01/01/1925-09/30/1927</t>
  </si>
  <si>
    <t>['inflow', 'storage', 'evaporation', 'leakage', 'gaging station']</t>
  </si>
  <si>
    <t>HV_299</t>
  </si>
  <si>
    <t>NW. 1/4 sec. 10, T. 11 S., R. 2 E., at Henshaw Dam, 5 miles north of Mesa Grande</t>
  </si>
  <si>
    <t>['T. 11 S., R. 2 E., sec. 10']</t>
  </si>
  <si>
    <t>San Luis Rey River at Lake Henshaw</t>
  </si>
  <si>
    <t>10/01/1911-09/30/1927</t>
  </si>
  <si>
    <t>{'Storage': 'acre-feet', 'Decrease': 'acre-feet', 'Draft': 'acre-feet', 'Evaporation': 'acre-feet', 'Inflow': 'acre-feet'}</t>
  </si>
  <si>
    <t>['Lake Henshaw', 'Henshaw Dam', 'San Luis Rey River', 'inflow']</t>
  </si>
  <si>
    <t>HV_426</t>
  </si>
  <si>
    <t>Potrero Grande northeast of Montebello</t>
  </si>
  <si>
    <t>Rio Hondo near Montebello, Calif.</t>
  </si>
  <si>
    <t>Los Angeles County</t>
  </si>
  <si>
    <t>10/01/1928-09/30/1938</t>
  </si>
  <si>
    <t>['Rio Hondo', 'Montebello', 'discharge']</t>
  </si>
  <si>
    <t>HV_219</t>
  </si>
  <si>
    <t>Bakersfield, California</t>
  </si>
  <si>
    <t>{'Start_Date': '10/01/1893', 'End_Date': '12/31/1897'}</t>
  </si>
  <si>
    <t>{'Discharge': 'Second-feet', 'Run-off Depth': 'Inches', 'Run-off Per Square Mile': 'Sec.-feet'}</t>
  </si>
  <si>
    <t>['Discharge', 'Maximum', 'Minimum', 'Mean', 'Run-off']</t>
  </si>
  <si>
    <t>HV_378</t>
  </si>
  <si>
    <t>Near Fresno, California</t>
  </si>
  <si>
    <t>Kings River &amp; Fresno Canal</t>
  </si>
  <si>
    <t>Varies based on measurement intervals provided in the table</t>
  </si>
  <si>
    <t>{'Discharge': 'second-feet', 'Loss': 'second-feet'}</t>
  </si>
  <si>
    <t>['canal', 'irrigation', 'loss of water', 'percolation', 'second-feet']</t>
  </si>
  <si>
    <t>HV_122</t>
  </si>
  <si>
    <t>Upper Stony Creek drainage basin</t>
  </si>
  <si>
    <t>East Park Reservoir</t>
  </si>
  <si>
    <t>1910-07/1962-12</t>
  </si>
  <si>
    <t>{'Precipitation': 'inches', 'Elevation': 'feet', 'Temperature': 'Â°F'}</t>
  </si>
  <si>
    <t>['East Park Reservoir', 'precipitation', 'annual']</t>
  </si>
  <si>
    <t>HV_340</t>
  </si>
  <si>
    <t>Stony Gorge Reservoir</t>
  </si>
  <si>
    <t>1927-01/1962-12</t>
  </si>
  <si>
    <t>['Stony Gorge Reservoir', 'precipitation', 'annual']</t>
  </si>
  <si>
    <t>HV_341</t>
  </si>
  <si>
    <t>Upper Stony Creek Basin</t>
  </si>
  <si>
    <t>Black Butte Dam</t>
  </si>
  <si>
    <t>not provided</t>
  </si>
  <si>
    <t>Solano County</t>
  </si>
  <si>
    <t>1957-01-01-1962-12-31</t>
  </si>
  <si>
    <t>Yearly</t>
  </si>
  <si>
    <t>acre-feet per year</t>
  </si>
  <si>
    <t>['adjusted water discharge', 'water diverted', 'South Diversion Canal']</t>
  </si>
  <si>
    <t>HV_71</t>
  </si>
  <si>
    <t>Stony Creek above Stony Gorge Reservoir</t>
  </si>
  <si>
    <t>1919-01-01-1941-12-31</t>
  </si>
  <si>
    <t>['outflow', 'East Park Reservoir', 'streamflow']</t>
  </si>
  <si>
    <t>HV_72</t>
  </si>
  <si>
    <t>Little Stony Creek near Lodoga</t>
  </si>
  <si>
    <t>1908-01-01-1934-12-31</t>
  </si>
  <si>
    <t>['natural streamflow', 'outflow', 'change in storage']</t>
  </si>
  <si>
    <t>HV_73</t>
  </si>
  <si>
    <t>Stony Creek near Stonyford</t>
  </si>
  <si>
    <t>1913-01-01-1934-12-31</t>
  </si>
  <si>
    <t>['streamflow', 'East Park Feed Canal']</t>
  </si>
  <si>
    <t>HV_74</t>
  </si>
  <si>
    <t>1920-01-01-1961-12-31</t>
  </si>
  <si>
    <t>['inflow', 'drainage area']</t>
  </si>
  <si>
    <t>HV_75</t>
  </si>
  <si>
    <t>1929-01-01-1962-12-31</t>
  </si>
  <si>
    <t>HV_76</t>
  </si>
  <si>
    <t>State of California</t>
  </si>
  <si>
    <t>Unknown (requires additional location context)</t>
  </si>
  <si>
    <t>['mm', 'lb/ft^3']</t>
  </si>
  <si>
    <t>['Specific weight', 'Specific gravity', 'Particle-size distribution', 'Core samples', 'Reservoir']</t>
  </si>
  <si>
    <t>HV_136</t>
  </si>
  <si>
    <t>Mount St. Helena</t>
  </si>
  <si>
    <t>Napa County</t>
  </si>
  <si>
    <t>01/01/1901-12/31/1907</t>
  </si>
  <si>
    <t>['Annual precipitation', 'Mount St. Hel-ena']</t>
  </si>
  <si>
    <t>LB_137</t>
  </si>
  <si>
    <t>Calistoga</t>
  </si>
  <si>
    <t>01/01/1872-12/31/1913</t>
  </si>
  <si>
    <t>['Annual precipitation', 'Calistoga']</t>
  </si>
  <si>
    <t>LB_138</t>
  </si>
  <si>
    <t>St. Helena</t>
  </si>
  <si>
    <t>01/01/1907-12/31/1913</t>
  </si>
  <si>
    <t>['Annual precipitation', 'St. Hel-ena']</t>
  </si>
  <si>
    <t>LB_139</t>
  </si>
  <si>
    <t>Near Conn Dam</t>
  </si>
  <si>
    <t>Conn Dam</t>
  </si>
  <si>
    <t>['Annual precipitation', 'Conn Dam']</t>
  </si>
  <si>
    <t>LB_140</t>
  </si>
  <si>
    <t>Oakville</t>
  </si>
  <si>
    <t>Oakville and Oakville 1 mile west</t>
  </si>
  <si>
    <t>['Annual precipitation', 'Oakville and Oakville 1 mile west']</t>
  </si>
  <si>
    <t>LB_141</t>
  </si>
  <si>
    <t>Angwin</t>
  </si>
  <si>
    <t>['Annual precipitation', 'Angwin']</t>
  </si>
  <si>
    <t>LB_142</t>
  </si>
  <si>
    <t>Napa State Hospital</t>
  </si>
  <si>
    <t>01/01/1877-12/31/1913</t>
  </si>
  <si>
    <t>['Annual precipitation', 'Napa State Hospital']</t>
  </si>
  <si>
    <t>LB_143</t>
  </si>
  <si>
    <t>Sonoma</t>
  </si>
  <si>
    <t>['Annual precipitation', 'Sonoma']</t>
  </si>
  <si>
    <t>LB_144</t>
  </si>
  <si>
    <t>Napa and Sonoma Valleys, California</t>
  </si>
  <si>
    <t>Mount St. Hel - ena</t>
  </si>
  <si>
    <t>1914-12-01-1946-09-30</t>
  </si>
  <si>
    <t>['precipitation', 'inches']</t>
  </si>
  <si>
    <t>LB_97</t>
  </si>
  <si>
    <t>1914-12-01-1950-09-30</t>
  </si>
  <si>
    <t>LB_98</t>
  </si>
  <si>
    <t>LB_99</t>
  </si>
  <si>
    <t>Conn Dam 2</t>
  </si>
  <si>
    <t>1946-12-01-1950-09-30</t>
  </si>
  <si>
    <t>LB_100</t>
  </si>
  <si>
    <t>1943-12-01-1950-09-30</t>
  </si>
  <si>
    <t>LB_101</t>
  </si>
  <si>
    <t>LB_102</t>
  </si>
  <si>
    <t>LB_103</t>
  </si>
  <si>
    <t>LB_104</t>
  </si>
  <si>
    <t>3P1</t>
  </si>
  <si>
    <t>['T. 6 N., R. 32 W., Sec. 3, Part 1']</t>
  </si>
  <si>
    <t>Eskil Skytt</t>
  </si>
  <si>
    <t>04/05/1932-04/05/1942</t>
  </si>
  <si>
    <t>Days to months between sequential measurements</t>
  </si>
  <si>
    <t>['L', 'D, S']</t>
  </si>
  <si>
    <t>LB_27</t>
  </si>
  <si>
    <t>3P2, 3R1</t>
  </si>
  <si>
    <t>['T. 6 N., R. 32 W., Sec. 3, Part 2', 'T. 6 N., R. 32 W., Sec. 3, Range 1']</t>
  </si>
  <si>
    <t>Henry Martinsen</t>
  </si>
  <si>
    <t>['L', 'D']</t>
  </si>
  <si>
    <t>LB_28</t>
  </si>
  <si>
    <t>5F1, 5F2</t>
  </si>
  <si>
    <t>['T. 6 N., R. 32 W., Sec. 5, Range F, Parts 1 and 2']</t>
  </si>
  <si>
    <t>Mrs. M. V. Domingos</t>
  </si>
  <si>
    <t>01/06/1943-01/06/1943</t>
  </si>
  <si>
    <t>['L', 'D, S', 'T', 'Irr']</t>
  </si>
  <si>
    <t>LB_29</t>
  </si>
  <si>
    <t>5K1</t>
  </si>
  <si>
    <t>['T. 6 N., R. 32 W., Sec. 5, Range K, Part 1']</t>
  </si>
  <si>
    <t>Gertrude Rudolph</t>
  </si>
  <si>
    <t>LB_30</t>
  </si>
  <si>
    <t>6G1</t>
  </si>
  <si>
    <t>['T. 6 N., R. 32 W., Sec. 6, Range G, Part 1']</t>
  </si>
  <si>
    <t>T. A. French</t>
  </si>
  <si>
    <t>LB_31</t>
  </si>
  <si>
    <t>6K1, 6K2</t>
  </si>
  <si>
    <t>['T. 6 N., R. 32 W., Sec. 6, Range K, Parts 1 and 2']</t>
  </si>
  <si>
    <t>Minnie Barker, L. F. Kellogg</t>
  </si>
  <si>
    <t>08/05/1941-07/09/1932</t>
  </si>
  <si>
    <t>['L', 'D, S', 'D']</t>
  </si>
  <si>
    <t>LB_32</t>
  </si>
  <si>
    <t>7Q1</t>
  </si>
  <si>
    <t>['T. 6 N., R. 32 W., Sec. 7, Range Q, Part 1']</t>
  </si>
  <si>
    <t>Antoni Silva</t>
  </si>
  <si>
    <t>LB_33</t>
  </si>
  <si>
    <t>8F1, 8N2</t>
  </si>
  <si>
    <t>['T. 6 N., R. 32 W.', 'T. 6 N., R. 32 W.']</t>
  </si>
  <si>
    <t>M. Santos</t>
  </si>
  <si>
    <t>['Groundwater', 'Irrigation']</t>
  </si>
  <si>
    <t>['L', 'A', 'D, S']</t>
  </si>
  <si>
    <t>LB_34</t>
  </si>
  <si>
    <t>9A1</t>
  </si>
  <si>
    <t>['T. 6 N., R. 32 W., Sec. 9, Range A, Part 1']</t>
  </si>
  <si>
    <t>O. E. Hollister</t>
  </si>
  <si>
    <t>LB_35</t>
  </si>
  <si>
    <t>9B1, 9B2</t>
  </si>
  <si>
    <t>['T. 6 N., R. 32 W., Sec. 9, Range B, Parts 1 and 2']</t>
  </si>
  <si>
    <t>P. A. Beattie</t>
  </si>
  <si>
    <t>02/28/1931-04/05/1932</t>
  </si>
  <si>
    <t>['T', 'Irr']</t>
  </si>
  <si>
    <t>LB_36</t>
  </si>
  <si>
    <t>9G1, 9G2</t>
  </si>
  <si>
    <t>['T. 6 N., R. 32 W., Sec. 9, Range G, Parts 1 and 2']</t>
  </si>
  <si>
    <t>George D. Owen</t>
  </si>
  <si>
    <t>['Ts', 'Irr', 'L', 'D, S']</t>
  </si>
  <si>
    <t>LB_37</t>
  </si>
  <si>
    <t>10A1</t>
  </si>
  <si>
    <t>['T. 6 N., R. 32 W., Sec. 10, Range A, Part 1']</t>
  </si>
  <si>
    <t>P. R. McGregor</t>
  </si>
  <si>
    <t>['T', 'Trr']</t>
  </si>
  <si>
    <t>LB_38</t>
  </si>
  <si>
    <t>10B1</t>
  </si>
  <si>
    <t>['T. 6 N., R. 32 W., Sec. 10, Range B, Part 1']</t>
  </si>
  <si>
    <t>R. R. McGregor</t>
  </si>
  <si>
    <t>LB_39</t>
  </si>
  <si>
    <t>10C1, 10C2</t>
  </si>
  <si>
    <t>['T. 6 N., R. 32 W., Sec. 10, Range C, Parts 1 and 2']</t>
  </si>
  <si>
    <t>['C', 'Ts', 'Irr']</t>
  </si>
  <si>
    <t>LB_40</t>
  </si>
  <si>
    <t>10J1</t>
  </si>
  <si>
    <t>['T. 6 N., R. 32 W., Sec. 10, Range J, Part 1']</t>
  </si>
  <si>
    <t>R. M. Adam</t>
  </si>
  <si>
    <t>['T', 'D, Irr']</t>
  </si>
  <si>
    <t>LB_41</t>
  </si>
  <si>
    <t>11B1</t>
  </si>
  <si>
    <t>['T. 6 N., R. 32 W., Sec. 11, Range B, Part 1']</t>
  </si>
  <si>
    <t>E. W. Lewis</t>
  </si>
  <si>
    <t>LB_42</t>
  </si>
  <si>
    <t>11D1, 11D2</t>
  </si>
  <si>
    <t>['T. 6 N., R. 32 W., Sec. 11, Range D, Parts 1 and 2']</t>
  </si>
  <si>
    <t>Milton E. Rissi</t>
  </si>
  <si>
    <t>['C', 'L', 'D, S']</t>
  </si>
  <si>
    <t>LB_43</t>
  </si>
  <si>
    <t>11H1</t>
  </si>
  <si>
    <t>['T. 6 N., R. 32 W., Sec. 11, Range H, Part A']</t>
  </si>
  <si>
    <t>W. M. Hunt</t>
  </si>
  <si>
    <t>['L']</t>
  </si>
  <si>
    <t>LB_44</t>
  </si>
  <si>
    <t>Camp Cooke Military Reservation, CA</t>
  </si>
  <si>
    <t>['21T14N R6E S15']</t>
  </si>
  <si>
    <t>21M1</t>
  </si>
  <si>
    <t>03/27/1941-04/24/1941</t>
  </si>
  <si>
    <t>ft (feet)</t>
  </si>
  <si>
    <t>['Irr', 'Gravel']</t>
  </si>
  <si>
    <t>LB_252</t>
  </si>
  <si>
    <t>['22T14N R6E S15']</t>
  </si>
  <si>
    <t>22F1</t>
  </si>
  <si>
    <t>04/24/1941-05/23/1930</t>
  </si>
  <si>
    <t>LB_253</t>
  </si>
  <si>
    <t>Union Sugar Company, CA</t>
  </si>
  <si>
    <t>22J1</t>
  </si>
  <si>
    <t>04/10/1941-05/23/1930</t>
  </si>
  <si>
    <t>LB_254</t>
  </si>
  <si>
    <t>22K1</t>
  </si>
  <si>
    <t>Apr/10/1941-05/23/1930</t>
  </si>
  <si>
    <t>['D', 'S']</t>
  </si>
  <si>
    <t>LB_255</t>
  </si>
  <si>
    <t>22L1</t>
  </si>
  <si>
    <t>['Irr']</t>
  </si>
  <si>
    <t>LB_256</t>
  </si>
  <si>
    <t>22M1</t>
  </si>
  <si>
    <t>LB_257</t>
  </si>
  <si>
    <t>22P1</t>
  </si>
  <si>
    <t>04/18/1941-10/28/1941</t>
  </si>
  <si>
    <t>LB_258</t>
  </si>
  <si>
    <t>['23T14N R6E S15']</t>
  </si>
  <si>
    <t>23A1</t>
  </si>
  <si>
    <t>10/28/1941-11/12/1941</t>
  </si>
  <si>
    <t>['A']</t>
  </si>
  <si>
    <t>LB_259</t>
  </si>
  <si>
    <t>23B1</t>
  </si>
  <si>
    <t>['PS']</t>
  </si>
  <si>
    <t>LB_260</t>
  </si>
  <si>
    <t>23D1</t>
  </si>
  <si>
    <t>11/12/1941-04/10/1941</t>
  </si>
  <si>
    <t>LB_261</t>
  </si>
  <si>
    <t>04/10/1941-11/12/1941</t>
  </si>
  <si>
    <t>LB_262</t>
  </si>
  <si>
    <t>23J1</t>
  </si>
  <si>
    <t>04/09/1941-11/12/1941</t>
  </si>
  <si>
    <t>LB_263</t>
  </si>
  <si>
    <t>23L1</t>
  </si>
  <si>
    <t>LB_264</t>
  </si>
  <si>
    <t>['24T14N R6E S15']</t>
  </si>
  <si>
    <t>24B2</t>
  </si>
  <si>
    <t>11/12/1941-05/24/1930</t>
  </si>
  <si>
    <t>LB_265</t>
  </si>
  <si>
    <t>04/09/1941-05/24/1930</t>
  </si>
  <si>
    <t>LB_266</t>
  </si>
  <si>
    <t>24H1</t>
  </si>
  <si>
    <t>05/24/1930-11/12/1941</t>
  </si>
  <si>
    <t>LB_267</t>
  </si>
  <si>
    <t>24H2</t>
  </si>
  <si>
    <t>LB_268</t>
  </si>
  <si>
    <t>T. M. Parks, CA</t>
  </si>
  <si>
    <t>24J1</t>
  </si>
  <si>
    <t>05/06/1941-05/24/1930</t>
  </si>
  <si>
    <t>LB_269</t>
  </si>
  <si>
    <t>A. B. Henning, CA</t>
  </si>
  <si>
    <t>24K2</t>
  </si>
  <si>
    <t>05/05/1941-05/24/1930</t>
  </si>
  <si>
    <t>Stream Discharge and Irrigation</t>
  </si>
  <si>
    <t>['D', 'Irr']</t>
  </si>
  <si>
    <t>LB_270</t>
  </si>
  <si>
    <t>W. R. Beattie, CA</t>
  </si>
  <si>
    <t>24M1</t>
  </si>
  <si>
    <t>05/07/1930-10/04/1930</t>
  </si>
  <si>
    <t>LB_271</t>
  </si>
  <si>
    <t>24M3</t>
  </si>
  <si>
    <t>LB_272</t>
  </si>
  <si>
    <t>H. E. Beattie, CA</t>
  </si>
  <si>
    <t>24P2</t>
  </si>
  <si>
    <t>04/25/1930-05/07/1930</t>
  </si>
  <si>
    <t>LB_273</t>
  </si>
  <si>
    <t>24R1</t>
  </si>
  <si>
    <t>05/06/1941-11/12/1941</t>
  </si>
  <si>
    <t>LB_274</t>
  </si>
  <si>
    <t>About 0.8 mile nearly north of Carpinteria, 0.3 mile west of Linden Avenue, 115 feet north and 45 feet east of right-angle turn in State Highway 150, and 15 feet east of galvanized-steel motor house.</t>
  </si>
  <si>
    <t>Quinton, Code, and Hill-Leeds and Barnard, well 206</t>
  </si>
  <si>
    <t>04/11/1941-12/24/1941</t>
  </si>
  <si>
    <t>feet below land-surface datum</t>
  </si>
  <si>
    <t>['irrigation wells', 'pump base', 'land-surface datum']</t>
  </si>
  <si>
    <t>LB_332</t>
  </si>
  <si>
    <t>About 1.1 miles nearly north-northwest of Carpinteria, 210 yards east of Santa Monica Creek, and 50 feet north of State Highway 150, in frame pump house.</t>
  </si>
  <si>
    <t>Quinton, Code, and Hill-Leeds and Barnard, well 231</t>
  </si>
  <si>
    <t>1937-1941</t>
  </si>
  <si>
    <t>Varied (specific years)</t>
  </si>
  <si>
    <t>['Santa Monica Creek', '12-inch casing', 'land-surface datum']</t>
  </si>
  <si>
    <t>LB_333</t>
  </si>
  <si>
    <t>About 1.1 miles nearly north-northwest of Carpinteria, 150 feet north of State Highway 150, 500 feet east of Santa Monica Road, 125 feet west of Santa Monica Creek.</t>
  </si>
  <si>
    <t>Quinton, Code, and Hill-Leeds - and Barnard, well 238</t>
  </si>
  <si>
    <t>LB_334</t>
  </si>
  <si>
    <t>Carpinteria, Goleta, and Santa Ynez Valleys</t>
  </si>
  <si>
    <t>Santa Barbara City Water Level</t>
  </si>
  <si>
    <t>1930-01-01-1942-12-31</t>
  </si>
  <si>
    <t>Various dates within the period 1930-1942</t>
  </si>
  <si>
    <t>feet above sea-level datum of 1929</t>
  </si>
  <si>
    <t>['Water level', 'feet above sea-level datum of 1929']</t>
  </si>
  <si>
    <t>LB_376</t>
  </si>
  <si>
    <t>12H1</t>
  </si>
  <si>
    <t>JBL 124 -A</t>
  </si>
  <si>
    <t xml:space="preserve"> </t>
  </si>
  <si>
    <t>LB_55</t>
  </si>
  <si>
    <t>12M1</t>
  </si>
  <si>
    <t>JBL 124 -F WCD 10</t>
  </si>
  <si>
    <t>LB_56</t>
  </si>
  <si>
    <t>12P1</t>
  </si>
  <si>
    <t>JBL 124 -E</t>
  </si>
  <si>
    <t>LB_57</t>
  </si>
  <si>
    <t>13J1</t>
  </si>
  <si>
    <t>JBL 124 -I</t>
  </si>
  <si>
    <t>LB_58</t>
  </si>
  <si>
    <t>13N1</t>
  </si>
  <si>
    <t>JBL 123 -R</t>
  </si>
  <si>
    <t>LB_59</t>
  </si>
  <si>
    <t>14D1</t>
  </si>
  <si>
    <t>JBL 123 -K</t>
  </si>
  <si>
    <t>LB_60</t>
  </si>
  <si>
    <t>14D2</t>
  </si>
  <si>
    <t>JBL 123 -J</t>
  </si>
  <si>
    <t>LB_61</t>
  </si>
  <si>
    <t>13N2</t>
  </si>
  <si>
    <t>JBL 84 -A</t>
  </si>
  <si>
    <t>LB_62</t>
  </si>
  <si>
    <t>14P1</t>
  </si>
  <si>
    <t>JBL 84 -D</t>
  </si>
  <si>
    <t>LB_63</t>
  </si>
  <si>
    <t>Gravel and sand</t>
  </si>
  <si>
    <t>['Gravel', 'sand']</t>
  </si>
  <si>
    <t>LB_64</t>
  </si>
  <si>
    <t>Gravel</t>
  </si>
  <si>
    <t>['Gravel']</t>
  </si>
  <si>
    <t>LB_65</t>
  </si>
  <si>
    <t>About 3.5 miles nearly west of Santa Maria, about 0.6 mile north of State Highway 166, 0.4 mile west of Casmalia Road (extended), 120 feet north of farm road, 20 feet west of property-line fence, 10 feet north of frame tank and tower</t>
  </si>
  <si>
    <t>['SJP 16', 'JBL 156-F']</t>
  </si>
  <si>
    <t>Santa Maria Groundwater Basin</t>
  </si>
  <si>
    <t>08/01/1929-12/31/1941</t>
  </si>
  <si>
    <t>Monthly to specific dates within a month</t>
  </si>
  <si>
    <t>['well', 'pump house', 'water level']</t>
  </si>
  <si>
    <t>LB_110</t>
  </si>
  <si>
    <t>About 3.5 miles nearly west of Santa Maria, about 0.45 mile north of State Highway 166, 0.4 mile west of Casmalia Road (extended), 0.2 mile nearly south of irrigation well 10/34-7B1, 10 feet west of farm road</t>
  </si>
  <si>
    <t>['SJP 16', '8']</t>
  </si>
  <si>
    <t>Casmalia Groundwater Basin</t>
  </si>
  <si>
    <t>08/01/1929-12/16/1941</t>
  </si>
  <si>
    <t>['irrigation well', 'pump house']</t>
  </si>
  <si>
    <t>LB_111</t>
  </si>
  <si>
    <t>Holbrook, Ariz.</t>
  </si>
  <si>
    <t>Little Colorado River</t>
  </si>
  <si>
    <t>Coconino County, Arizona</t>
  </si>
  <si>
    <t>04/1905-09/1907; 10/1906-09/1907</t>
  </si>
  <si>
    <t>second-feet for Discharge; acre-feet for Run-off</t>
  </si>
  <si>
    <t>['Discharge', 'Run-off']</t>
  </si>
  <si>
    <t>LB_240</t>
  </si>
  <si>
    <t>sec. 23; T. 41 S., R. 12 W., half a mile east of Virgin</t>
  </si>
  <si>
    <t>['23', 'T. 41 S.', 'R. 12 W.']</t>
  </si>
  <si>
    <t>Virgin River</t>
  </si>
  <si>
    <t>04/18/1909-09/30/1914</t>
  </si>
  <si>
    <t>LB_241</t>
  </si>
  <si>
    <t>36 S., 17 N., 21 E.</t>
  </si>
  <si>
    <t>['36', '17 N.', '21 E.']</t>
  </si>
  <si>
    <t>Woodruff</t>
  </si>
  <si>
    <t>Little Colorado basin, Arizona or California (inferred)</t>
  </si>
  <si>
    <t>{'Height_of_Dam': 'Feet', 'Capacity': 'Acre-feet'}</t>
  </si>
  <si>
    <t>['Irrigation', 'Reservoir sites']</t>
  </si>
  <si>
    <t>LB_156</t>
  </si>
  <si>
    <t>19 S., 16 N., 22 E.</t>
  </si>
  <si>
    <t>['19', '16 N.', '22 E.']</t>
  </si>
  <si>
    <t>Forks</t>
  </si>
  <si>
    <t>LB_157</t>
  </si>
  <si>
    <t>23 S., 18 N., 20 E.</t>
  </si>
  <si>
    <t>['23', '18 N.', '20 E.']</t>
  </si>
  <si>
    <t>Leroux</t>
  </si>
  <si>
    <t>LB_158</t>
  </si>
  <si>
    <t>26 S., 20 N., 15 E.</t>
  </si>
  <si>
    <t>['26', '20 N.', '15 E.']</t>
  </si>
  <si>
    <t>Tucker Flat</t>
  </si>
  <si>
    <t>LB_159</t>
  </si>
  <si>
    <t>5 S., 14 N., 25 E.</t>
  </si>
  <si>
    <t>['5', '14 N.', '25 E.']</t>
  </si>
  <si>
    <t>Greer</t>
  </si>
  <si>
    <t>LB_160</t>
  </si>
  <si>
    <t>2 S., 14 N., 26 E.</t>
  </si>
  <si>
    <t>['2', '14 N.', '26 E.']</t>
  </si>
  <si>
    <t>Zuni</t>
  </si>
  <si>
    <t>LB_161</t>
  </si>
  <si>
    <t>21 S., 14 N., 27 E.</t>
  </si>
  <si>
    <t>['21', '14 N.', '27 E.']</t>
  </si>
  <si>
    <t>Colorado</t>
  </si>
  <si>
    <t>LB_162</t>
  </si>
  <si>
    <t>9 S., 11 N., 28 E.</t>
  </si>
  <si>
    <t>['9', '11 N.', '28 E.']</t>
  </si>
  <si>
    <t>Lyman</t>
  </si>
  <si>
    <t>LB_163</t>
  </si>
  <si>
    <t>9 S., 23 N., 12 E.</t>
  </si>
  <si>
    <t>['9', '23 N.', '12 E.']</t>
  </si>
  <si>
    <t>Baum</t>
  </si>
  <si>
    <t>LB_164</t>
  </si>
  <si>
    <t>Near Escalante, Utah</t>
  </si>
  <si>
    <t>Escalante Creek</t>
  </si>
  <si>
    <t>1909-01/01/1912-12/31</t>
  </si>
  <si>
    <t>['gaging station', 'drainage area', 'run-off']</t>
  </si>
  <si>
    <t>LB_112</t>
  </si>
  <si>
    <t>Near Thurber, Utah</t>
  </si>
  <si>
    <t>Fremont River near Thurber</t>
  </si>
  <si>
    <t>Wayne County, Utah</t>
  </si>
  <si>
    <t>['discharge', 'drainage area', 'run-off']</t>
  </si>
  <si>
    <t>LB_113</t>
  </si>
  <si>
    <t>Near Emery, Utah</t>
  </si>
  <si>
    <t>Muddy River near Emery</t>
  </si>
  <si>
    <t>Emery County, Utah</t>
  </si>
  <si>
    <t>LB_114</t>
  </si>
  <si>
    <t>Above Fish Lake</t>
  </si>
  <si>
    <t>Johnson Reservoir</t>
  </si>
  <si>
    <t>['capacity', 'dam']</t>
  </si>
  <si>
    <t>LB_115</t>
  </si>
  <si>
    <t>Right Fork</t>
  </si>
  <si>
    <t>Fremont Reservoir</t>
  </si>
  <si>
    <t>LB_116</t>
  </si>
  <si>
    <t>Fish Creek</t>
  </si>
  <si>
    <t>Grover Reservoir</t>
  </si>
  <si>
    <t>LB_117</t>
  </si>
  <si>
    <t>Near the town of Thurber in Wayne County, Utah</t>
  </si>
  <si>
    <t>Thurber Reservoir Site</t>
  </si>
  <si>
    <t>LB_118</t>
  </si>
  <si>
    <t>Green River Basin, near the lower end of Horseshoe Canyon, about 3 miles by river below Flaming Gorge and about 4 miles below the mouth of Henrys Fork</t>
  </si>
  <si>
    <t>['[Specific township and range data not provided in document]']</t>
  </si>
  <si>
    <t>Flaming Gorge Reservoir</t>
  </si>
  <si>
    <t>Uintah County, Utah</t>
  </si>
  <si>
    <t>1914 (fall and winter)</t>
  </si>
  <si>
    <t>Acre-feet, Feet, Acres</t>
  </si>
  <si>
    <t>['Flaming Gorge Reservoir', 'storage reservoirs', 'acre-feet']</t>
  </si>
  <si>
    <t>LB_70</t>
  </si>
  <si>
    <t>Colorado River at Laguna Dam, CA and near Bull's Head Rock, AZ</t>
  </si>
  <si>
    <t>Colorado-San Juan Reservoir</t>
  </si>
  <si>
    <t>['acre-feet']</t>
  </si>
  <si>
    <t>['run-off', 'storage', 'capacity', 'silt deposition']</t>
  </si>
  <si>
    <t>LB_50</t>
  </si>
  <si>
    <t>Bulls Head Rock, CA</t>
  </si>
  <si>
    <t>Bulls Head Reservoir</t>
  </si>
  <si>
    <t>['acre-feet', 'feet', 'acres']</t>
  </si>
  <si>
    <t>['dam site', 'capacity', 'run-off', 'irrigation']</t>
  </si>
  <si>
    <t>LB_51</t>
  </si>
  <si>
    <t>Riverside, California</t>
  </si>
  <si>
    <t>Riverside Temperatures</t>
  </si>
  <si>
    <t>1890-01-01 to 1900-12-31</t>
  </si>
  <si>
    <t>Degrees Fahrenheit</t>
  </si>
  <si>
    <t>['Temperature', 'Fahrenheit']</t>
  </si>
  <si>
    <t>LB_53</t>
  </si>
  <si>
    <t>Riverside Precipitation</t>
  </si>
  <si>
    <t>1880-01-01 to 1900-12-31</t>
  </si>
  <si>
    <t>Inches</t>
  </si>
  <si>
    <t>['Precipitation', 'Inches']</t>
  </si>
  <si>
    <t>LB_54</t>
  </si>
  <si>
    <t>1,200 feet from head gate in a northwest direction</t>
  </si>
  <si>
    <t>Group B</t>
  </si>
  <si>
    <t>36 hours after uncapping</t>
  </si>
  <si>
    <t>{'Distance': 'feet', 'Diameter_of_Pipe': 'inches', 'Discharge': "Miners' inches"}</t>
  </si>
  <si>
    <t>['wells', 'discharge', "Miners' inches"]</t>
  </si>
  <si>
    <t>LB_66</t>
  </si>
  <si>
    <t>4,550 feet northeast from Group B and 2,100 feet from the center of Group D</t>
  </si>
  <si>
    <t>Group C</t>
  </si>
  <si>
    <t>{'Discharge': 'inches'}</t>
  </si>
  <si>
    <t>['wells', 'cobble layer', 'discharge']</t>
  </si>
  <si>
    <t>LB_67</t>
  </si>
  <si>
    <t>Between 4,400 feet from Group B and approximately 5,800 feet from Group A</t>
  </si>
  <si>
    <t>Group D</t>
  </si>
  <si>
    <t>{'Distance': 'feet', 'Discharge': "Miners' inches"}</t>
  </si>
  <si>
    <t>['wells', '10-inch pipe', 'discharge']</t>
  </si>
  <si>
    <t>LB_68</t>
  </si>
  <si>
    <t>FRESNO, CAL.</t>
  </si>
  <si>
    <t>Fresno Precipitation</t>
  </si>
  <si>
    <t>09/1877-08/1900</t>
  </si>
  <si>
    <t>['annual precipitation', 'Fresno', 'inches']</t>
  </si>
  <si>
    <t>LB_381</t>
  </si>
  <si>
    <t>SACRAMENTO, CAL.</t>
  </si>
  <si>
    <t>Sacramento Precipitation</t>
  </si>
  <si>
    <t>09/1849-08/1872</t>
  </si>
  <si>
    <t>['annual precipitation', 'Sacramento', 'inches']</t>
  </si>
  <si>
    <t>LB_382</t>
  </si>
  <si>
    <t>Kings River, below Trimmer</t>
  </si>
  <si>
    <t>['12S 24E sec. 12', '12S 24E sec. 19', '12S 24E sec. 24', '12S 24E sec. 25', '12S 24E sec. 26', '12S 24E sec. 35', '12S 24E sec. 36']</t>
  </si>
  <si>
    <t>Pine Flat Reservoir</t>
  </si>
  <si>
    <t>{'Area': 'Acres', 'Capacity': 'Acre-feet', 'Height_of_dam': 'Feet'}</t>
  </si>
  <si>
    <t>['reservoir', 'dam', 'capacity']</t>
  </si>
  <si>
    <t>LB_49</t>
  </si>
  <si>
    <t>Juncal Reservoir</t>
  </si>
  <si>
    <t>1895-12/31 to 1896-01-31</t>
  </si>
  <si>
    <t>Annual (winter season measurements)</t>
  </si>
  <si>
    <t>{'Volume': ['Million gallons', 'Acre-feet'], 'Height': 'Feet', 'Length': 'Feet'}</t>
  </si>
  <si>
    <t>['Juncal reservoir site', 'capacities', 'dam', 'acre-feet', 'drainage area']</t>
  </si>
  <si>
    <t>LB_379</t>
  </si>
  <si>
    <t>Near Santa Barbara, California</t>
  </si>
  <si>
    <t>Gibraltar Reservoir</t>
  </si>
  <si>
    <t>{'Area': 'acres', 'Capacity': 'acre-feet'}</t>
  </si>
  <si>
    <t>['Gibraltar reservoir site', 'reservoir capacity', 'rock-fill dam', 'spillway']</t>
  </si>
  <si>
    <t>LB_135</t>
  </si>
  <si>
    <t>Fort Jones, Calif.</t>
  </si>
  <si>
    <t>Fort Jones Precipitation</t>
  </si>
  <si>
    <t>Siskiyou</t>
  </si>
  <si>
    <t>07/01/1937-06/30/1954</t>
  </si>
  <si>
    <t>['precipitation', 'inches', 'seasonal', 'monthly']</t>
  </si>
  <si>
    <t>LB_275</t>
  </si>
  <si>
    <t>Scott Valley, Calif.</t>
  </si>
  <si>
    <t>Rattlesnake Creek Gage Precipitation</t>
  </si>
  <si>
    <t>01/01/1859-12/31/1880</t>
  </si>
  <si>
    <t>['precipitation', 'inches', 'gage']</t>
  </si>
  <si>
    <t>LB_276</t>
  </si>
  <si>
    <t>California, United States</t>
  </si>
  <si>
    <t>['10C1', '9D1']</t>
  </si>
  <si>
    <t>Domestic Irrigation</t>
  </si>
  <si>
    <t>1924-12-31 to 1952-12-31</t>
  </si>
  <si>
    <t>{'Flow Rate': 'cubic feet per second (cfs)', 'Depth': 'inches'}</t>
  </si>
  <si>
    <t>['Domestic', 'Irrigation']</t>
  </si>
  <si>
    <t>LB_78</t>
  </si>
  <si>
    <t>['10Q1', '8C1']</t>
  </si>
  <si>
    <t>Groundwater Well</t>
  </si>
  <si>
    <t>['Well', 'Dug']</t>
  </si>
  <si>
    <t>LB_79</t>
  </si>
  <si>
    <t>['17Q1', '21M1']</t>
  </si>
  <si>
    <t>Stream Discharge Measurement</t>
  </si>
  <si>
    <t>['Flowing', 'Measured']</t>
  </si>
  <si>
    <t>LB_80</t>
  </si>
  <si>
    <t>About 2.7 miles southeast of Greenview, 1.30 miles east of Highway 82, 300 feet north of Cory-Griffin Lane, 60 feet north of dwelling.</t>
  </si>
  <si>
    <t>F. Ray Eller Well</t>
  </si>
  <si>
    <t>07/14/1953-10/26/1953</t>
  </si>
  <si>
    <t>Feet above sea level and relative measurements</t>
  </si>
  <si>
    <t>['Domestic well', 'well diameter', 'depth', 'casing', 'land-surface datum']</t>
  </si>
  <si>
    <t>LB_229</t>
  </si>
  <si>
    <t>About 2.2 miles southwest of Greenview, 1.1 miles west of Highway 82, 100 feet southeast of dwelling.</t>
  </si>
  <si>
    <t>F. I. Kellems Well</t>
  </si>
  <si>
    <t>08/17/1953-10/26/1953</t>
  </si>
  <si>
    <t>Feet above sea level</t>
  </si>
  <si>
    <t>['Unused dug well', 'well diameter', 'depth', 'pit at land-surface datum']</t>
  </si>
  <si>
    <t>LB_230</t>
  </si>
  <si>
    <t>About 2.4 miles east of Etna, 100 feet east of Scott Valley road, 50 feet southwest of dwelling.</t>
  </si>
  <si>
    <t>Douglas Horn Well</t>
  </si>
  <si>
    <t>07/20/1953-10/26/1953</t>
  </si>
  <si>
    <t>['Unused dug well', 'well diameter']</t>
  </si>
  <si>
    <t>LB_231</t>
  </si>
  <si>
    <t>About 1.0 mile east of Etna, 50 feet north of Horn Lane, 50 feet west of dwelling.</t>
  </si>
  <si>
    <t>Joe Starr Well</t>
  </si>
  <si>
    <t>['Unused dug well', 'well diameter', 'depth', 'pump base']</t>
  </si>
  <si>
    <t>LB_232</t>
  </si>
  <si>
    <t>Near the entrance to Shasta</t>
  </si>
  <si>
    <t>Shasta River</t>
  </si>
  <si>
    <t>Shasta County</t>
  </si>
  <si>
    <t>1952-09/1953-08</t>
  </si>
  <si>
    <t>['Measured discharge', 'acre-feet']</t>
  </si>
  <si>
    <t>LB_22</t>
  </si>
  <si>
    <t>Little Shasta River</t>
  </si>
  <si>
    <t>LB_23</t>
  </si>
  <si>
    <t>Parks Creek</t>
  </si>
  <si>
    <t>Siskiyou County</t>
  </si>
  <si>
    <t>LB_24</t>
  </si>
  <si>
    <t>Yreka, California</t>
  </si>
  <si>
    <t>Yreka</t>
  </si>
  <si>
    <t>1872-07/1904-06</t>
  </si>
  <si>
    <t>['mean annual precipitation', 'extremes of annual precipitation']</t>
  </si>
  <si>
    <t>LB_151</t>
  </si>
  <si>
    <t>Montague, California</t>
  </si>
  <si>
    <t>Montague</t>
  </si>
  <si>
    <t>1889-01/1952-12</t>
  </si>
  <si>
    <t>['annual precipitation', 'precipitation extremes']</t>
  </si>
  <si>
    <t>LB_152</t>
  </si>
  <si>
    <t>Edgewood, California</t>
  </si>
  <si>
    <t>Edgewood</t>
  </si>
  <si>
    <t>1888-07/1915-06</t>
  </si>
  <si>
    <t>['annual precipitation', 'extremes']</t>
  </si>
  <si>
    <t>Shasta Valley, California</t>
  </si>
  <si>
    <t>01/01/1901-12/31/1953</t>
  </si>
  <si>
    <t>['Annual precipitation', 'Yreka']</t>
  </si>
  <si>
    <t>LB_119</t>
  </si>
  <si>
    <t>01/01/1903-12/31/1952</t>
  </si>
  <si>
    <t>['Annual precipitation', 'Montague']</t>
  </si>
  <si>
    <t>LB_120</t>
  </si>
  <si>
    <t>01/01/1902-12/31/1944</t>
  </si>
  <si>
    <t>['Annual precipitation', 'Edgewood']</t>
  </si>
  <si>
    <t>LB_121</t>
  </si>
  <si>
    <t>Shasta Valley area, California</t>
  </si>
  <si>
    <t>1872-12/31/1954</t>
  </si>
  <si>
    <t>{'Precipitation': 'inches', 'Temperature': 'Â°F'}</t>
  </si>
  <si>
    <t>['Average monthly precipitation', 'Data from publications of the U.S. Weather Bureau']</t>
  </si>
  <si>
    <t>LB_48</t>
  </si>
  <si>
    <t>southwestern part of Shasta Valley between Gazelle and Grenada</t>
  </si>
  <si>
    <t>Well 43/6-10K1</t>
  </si>
  <si>
    <t>{'Discharge': 'gallons per minute (gpm)', 'Drawdown': 'feet', 'Specific Capacity': 'gpm/foot of drawdown'}</t>
  </si>
  <si>
    <t>['yield', 'ground water', 'wells', 'volcanic rocks']</t>
  </si>
  <si>
    <t>LB_342</t>
  </si>
  <si>
    <t>Well 43/6-10Q1</t>
  </si>
  <si>
    <t>LB_343</t>
  </si>
  <si>
    <t>Well 43/6-21J2</t>
  </si>
  <si>
    <t>LB_344</t>
  </si>
  <si>
    <t>Well 43/6-22A1</t>
  </si>
  <si>
    <t>LB_345</t>
  </si>
  <si>
    <t>Well 43/6-23N1</t>
  </si>
  <si>
    <t>LB_346</t>
  </si>
  <si>
    <t>Base of a hill, 2 miles north of Shasta Valley</t>
  </si>
  <si>
    <t>['43/5-28B1']</t>
  </si>
  <si>
    <t>Two Vents in Fractured Lava</t>
  </si>
  <si>
    <t>09/24/1954-09/24/1954</t>
  </si>
  <si>
    <t>Single measurement on September 24, 1954</t>
  </si>
  <si>
    <t>cfs (cubic feet per second)</t>
  </si>
  <si>
    <t>['fractured lava', 'flow']</t>
  </si>
  <si>
    <t>LB_106</t>
  </si>
  <si>
    <t>East side of Yellow Butte, along a fault line</t>
  </si>
  <si>
    <t>['44/4-28H1']</t>
  </si>
  <si>
    <t>Spring 44/4-28H1</t>
  </si>
  <si>
    <t>10/15/1954-10/15/1954</t>
  </si>
  <si>
    <t>Single measurement on October 15, 1954</t>
  </si>
  <si>
    <t>['spring', 'flow', 'Spring Creek']</t>
  </si>
  <si>
    <t>LB_107</t>
  </si>
  <si>
    <t>East edge of Shasta Valley, along a Recent lava flow from Goosenest</t>
  </si>
  <si>
    <t>['45/4-17Q1']</t>
  </si>
  <si>
    <t>Cold Spring (Cleland Spring)</t>
  </si>
  <si>
    <t>01/22/1954-05/11/1954</t>
  </si>
  <si>
    <t>Monthly measurements from January to May 1954</t>
  </si>
  <si>
    <t>['Cold Spring', 'Cleland Spring', 'flow']</t>
  </si>
  <si>
    <t>LB_108</t>
  </si>
  <si>
    <t>Plutos Cave basalt, near Shasta River</t>
  </si>
  <si>
    <t>Big Springs</t>
  </si>
  <si>
    <t>1918-1918</t>
  </si>
  <si>
    <t>Single measurement in 1918</t>
  </si>
  <si>
    <t>['Big Springs', 'spring discharge']</t>
  </si>
  <si>
    <t>LB_109</t>
  </si>
  <si>
    <t>Shasta Valley</t>
  </si>
  <si>
    <t>09/01/1952-09/30/1953</t>
  </si>
  <si>
    <t>Water year ending September 1953</t>
  </si>
  <si>
    <t>['Shasta River', 'natural subirrigation', 'evapotranspiration', 'ground-water discharge']</t>
  </si>
  <si>
    <t>LB_372</t>
  </si>
  <si>
    <t>near west edge of Shasta Valley</t>
  </si>
  <si>
    <t>['Parks Creek', 'surface-water inflow']</t>
  </si>
  <si>
    <t>LB_373</t>
  </si>
  <si>
    <t>near east edge of Shasta Valley</t>
  </si>
  <si>
    <t>['Little Shasta River', 'surface-water inflow']</t>
  </si>
  <si>
    <t>flows into the Shasta River</t>
  </si>
  <si>
    <t>['Big Springs', 'surface-water inflow']</t>
  </si>
  <si>
    <t>LB_375</t>
  </si>
  <si>
    <t>['10F3', '10R1', '14H1', '15H1', '18M4', '20A1', '21K1', '22K1', '22M1', '22M2', '22Q1', '27D1', '27Q1', '29D1', '34K1', '34K2', '44/7-3Q1', '3Q2', '12P1', '13C2', '13J1', '45/5- 4N1', '6E1', '45/5- 7H1', '7N1', '7Q1', '18D1', '19P1', '21P1', '22P1', '23R1', '24R1', '26Q1']</t>
  </si>
  <si>
    <t>Siskiyou County Airport</t>
  </si>
  <si>
    <t>01/01/1870-12/31/1954</t>
  </si>
  <si>
    <t>{'Precipitation_mm': ['523', '533', '512', '533', '792', '684', '622'], 'Temperature_Fahrenheit': [], 'Other_Measurements': []}</t>
  </si>
  <si>
    <t>['Siskiyou', 'Airport']</t>
  </si>
  <si>
    <t>LB_418</t>
  </si>
  <si>
    <t>Wooden base of pump west side, at land-surface datum which is 2,622 ft above sea level</t>
  </si>
  <si>
    <t>Brahs Bros. Inc.</t>
  </si>
  <si>
    <t>07/15/1953-11/16/1953</t>
  </si>
  <si>
    <t>5 days (from July 15 to July 20), 7 days (subsequent measurements)</t>
  </si>
  <si>
    <t>['wells', 'water level', 'feet below land-surface datum']</t>
  </si>
  <si>
    <t>LB_242</t>
  </si>
  <si>
    <t>Top of casing concrete base, at land-surface datum which is 2,600 ft above sea level</t>
  </si>
  <si>
    <t>Billie Arami</t>
  </si>
  <si>
    <t>5 days (from July 15 to July 20), variable thereafter</t>
  </si>
  <si>
    <t>LB_243</t>
  </si>
  <si>
    <t>Wooden floor below pump, at land-surface datum which is 2,824 ft above sea level</t>
  </si>
  <si>
    <t>Raymond Black</t>
  </si>
  <si>
    <t>LB_244</t>
  </si>
  <si>
    <t>Base of pumphouse north side, 0.7 ft above land-surface datum which is 2,584 ft above sea level</t>
  </si>
  <si>
    <t>R. D. Dudley</t>
  </si>
  <si>
    <t>07/14/1953-11/16/1953</t>
  </si>
  <si>
    <t>6 days (from July 14 to July 20), variable thereafter</t>
  </si>
  <si>
    <t>LB_245</t>
  </si>
  <si>
    <t>Shasta County, California</t>
  </si>
  <si>
    <t>11/05/1953-01/10/1954</t>
  </si>
  <si>
    <t>['mg/L', 'ppm', 'pH']</t>
  </si>
  <si>
    <t>['chemical analyses', 'ground water', 'Shasta Valley']</t>
  </si>
  <si>
    <t>LB_52</t>
  </si>
  <si>
    <t>Great Basin in California</t>
  </si>
  <si>
    <t>Buckeye Creek near Bridgeport</t>
  </si>
  <si>
    <t>Mono County</t>
  </si>
  <si>
    <t>1902-03 to 1923-24</t>
  </si>
  <si>
    <t>['Monthly discharge', 'second-feet', 'Great Basin', 'Bridgeport']</t>
  </si>
  <si>
    <t>LB_377</t>
  </si>
  <si>
    <t>San Gabriel Valley, Lordsburg Mesa, California</t>
  </si>
  <si>
    <t>Discharge measurements at wells on Lordsburg Mesa</t>
  </si>
  <si>
    <t>09/27/1900-09/27/1900</t>
  </si>
  <si>
    <t>{'Discharge': 'Sec.-feet'}</t>
  </si>
  <si>
    <t>['Discharge', 'Wells', 'Sec.-feet']</t>
  </si>
  <si>
    <t>LB_278</t>
  </si>
  <si>
    <t>San Gabriel Valley, southern California</t>
  </si>
  <si>
    <t>Water absorbed in sand and gravel of San Gabriel Vailey</t>
  </si>
  <si>
    <t>Winter of 1902-03</t>
  </si>
  <si>
    <t>Various dates during 1902-03</t>
  </si>
  <si>
    <t>{'Water Absorption': 'second-feet and acre-feet'}</t>
  </si>
  <si>
    <t>['Precipitation', 'Irrigation', 'Sand and Gravel']</t>
  </si>
  <si>
    <t>LB_279</t>
  </si>
  <si>
    <t>Tulare Lake</t>
  </si>
  <si>
    <t>01/1880-02/1889</t>
  </si>
  <si>
    <t>Several months to years between samples in 1880 and 1889</t>
  </si>
  <si>
    <t>Parts per million, percentage of anhydrous residue</t>
  </si>
  <si>
    <t>Surface Water</t>
  </si>
  <si>
    <t>['Chemical Composition', 'Total Solids', 'Organic and Volatile Matter', 'Silica (SiO2)', 'Alumina (Al2O3)', 'Calcium (Ca)', 'Magnesium (Mg)', 'Sodium (Na)', 'Potassium (K)', 'Carbonate Radicle (CO)', 'Bicarbonate Radicle (HCO2)', 'Sulphate Radicle (SO4)', 'Chlorine (Cl)']</t>
  </si>
  <si>
    <t>LB_128</t>
  </si>
  <si>
    <t>Arrowhead Hot Springs</t>
  </si>
  <si>
    <t>1910-Unknown</t>
  </si>
  <si>
    <t>['Arrowhead Hot Springs', 'San Bernardino County', 'parts per million']</t>
  </si>
  <si>
    <t>LB_386</t>
  </si>
  <si>
    <t>Waterman Hot Springs</t>
  </si>
  <si>
    <t>['Waterman Hot Springs', 'San Bernardino County', 'parts per million']</t>
  </si>
  <si>
    <t>LB_387</t>
  </si>
  <si>
    <t>Fuente Frio</t>
  </si>
  <si>
    <t>['Fuente Frio', 'G. E. Bailey', '1910']</t>
  </si>
  <si>
    <t>LB_388</t>
  </si>
  <si>
    <t>El Penyugal</t>
  </si>
  <si>
    <t>['1876-Unknown', '1910-Unknown']</t>
  </si>
  <si>
    <t>['El Penyugal', 'Oscar Loew', 'E. W. Hilgard', 'G. E. Bailey']</t>
  </si>
  <si>
    <t>LB_389</t>
  </si>
  <si>
    <t>Spring near hotel</t>
  </si>
  <si>
    <t>1876-Unknown</t>
  </si>
  <si>
    <t>['Spring near hotel', 'Oscar Loew']</t>
  </si>
  <si>
    <t>LB_390</t>
  </si>
  <si>
    <t>Granite</t>
  </si>
  <si>
    <t>['Granite', 'G. E. Bailey']</t>
  </si>
  <si>
    <t>LB_391</t>
  </si>
  <si>
    <t>Palm</t>
  </si>
  <si>
    <t>['Palm', 'G. E. Bailey']</t>
  </si>
  <si>
    <t>LB_392</t>
  </si>
  <si>
    <t>Agua Fria</t>
  </si>
  <si>
    <t>['Agua Fria', 'G. E. Bailey']</t>
  </si>
  <si>
    <t>LB_393</t>
  </si>
  <si>
    <t>Sulphur Creek, 2 miles southwest of St. Helena</t>
  </si>
  <si>
    <t>St. Helena White Sulphur Springs</t>
  </si>
  <si>
    <t>1888-1871 (range)</t>
  </si>
  <si>
    <t>['Sulphur Creek', 'sulphureted water']</t>
  </si>
  <si>
    <t>LB_339</t>
  </si>
  <si>
    <t>El Pajaro, Santa Cruz County, California</t>
  </si>
  <si>
    <t>El Pajaro Springs</t>
  </si>
  <si>
    <t>Santa Cruz County</t>
  </si>
  <si>
    <t>1908-01/01/1908-12/31/1909</t>
  </si>
  <si>
    <t>weeks between collection and analysis for Railroad Spring and White Sulphur Spring samples by Riddell and McCreary; days for F. M. Eaton's sample</t>
  </si>
  <si>
    <t>['Railroad Spring', 'White Sulphur Spring']</t>
  </si>
  <si>
    <t>LB_277</t>
  </si>
  <si>
    <t>North-eastern part of Los Angeles City, California</t>
  </si>
  <si>
    <t>Aqua Vita Mineral Well</t>
  </si>
  <si>
    <t>1901-1909</t>
  </si>
  <si>
    <t>Several years apart</t>
  </si>
  <si>
    <t>['well', 'mineralized water', 'bottling house']</t>
  </si>
  <si>
    <t>LB_45</t>
  </si>
  <si>
    <t>Approximately 4 miles southeast of Hollister, California</t>
  </si>
  <si>
    <t>San Benito Mineral Well</t>
  </si>
  <si>
    <t>San Benito County</t>
  </si>
  <si>
    <t>["Mr. A. F. Anderson's well", 'carbonated and bottled']</t>
  </si>
  <si>
    <t>LB_46</t>
  </si>
  <si>
    <t>St. Helena Sanitarium, hills on the eastern side of Napa Valley</t>
  </si>
  <si>
    <t>Crystal Spring (Napa 5)</t>
  </si>
  <si>
    <t>Napa</t>
  </si>
  <si>
    <t>gallons a day, gallons a minute</t>
  </si>
  <si>
    <t>['secondary alkaline', 'salinity', 'alkalinity']</t>
  </si>
  <si>
    <t>LB_347</t>
  </si>
  <si>
    <t>Mountainous portions of southern Lake County, near Middletown and a stage road</t>
  </si>
  <si>
    <t>Gifford Springs (Lake 47)</t>
  </si>
  <si>
    <t>Lake</t>
  </si>
  <si>
    <t>['perennial springs', 'lava slopes']</t>
  </si>
  <si>
    <t>LB_348</t>
  </si>
  <si>
    <t>Livermore, southeast of Oakland</t>
  </si>
  <si>
    <t>Mayhew Spring</t>
  </si>
  <si>
    <t>Alameda</t>
  </si>
  <si>
    <t>1908-1910</t>
  </si>
  <si>
    <t>Gallons per minute</t>
  </si>
  <si>
    <t>['Drinking', 'Resort']</t>
  </si>
  <si>
    <t>LB_427</t>
  </si>
  <si>
    <t>Mendenhall Spring</t>
  </si>
  <si>
    <t>LB_428</t>
  </si>
  <si>
    <t>Havens Spring</t>
  </si>
  <si>
    <t>LB_429</t>
  </si>
  <si>
    <t>Piedmont Springs</t>
  </si>
  <si>
    <t>LB_430</t>
  </si>
  <si>
    <t>Sweet Springs</t>
  </si>
  <si>
    <t>LB_431</t>
  </si>
  <si>
    <t>Warm Springs (Same as Springs.)</t>
  </si>
  <si>
    <t>LB_432</t>
  </si>
  <si>
    <t>Markleeville, 4 miles west</t>
  </si>
  <si>
    <t>Grovers Hot Springs</t>
  </si>
  <si>
    <t>Butte</t>
  </si>
  <si>
    <t>['Drinking', 'Bottled']</t>
  </si>
  <si>
    <t>LB_433</t>
  </si>
  <si>
    <t>Oroville, 11 miles north</t>
  </si>
  <si>
    <t>Henderson Spring</t>
  </si>
  <si>
    <t>LB_434</t>
  </si>
  <si>
    <t>Ida Spring</t>
  </si>
  <si>
    <t>LB_435</t>
  </si>
  <si>
    <t>Oroville, 6 miles east</t>
  </si>
  <si>
    <t>Mount Richardson Springs</t>
  </si>
  <si>
    <t>LB_436</t>
  </si>
  <si>
    <t>Chico, Mineral Valley</t>
  </si>
  <si>
    <t>Valley Springs</t>
  </si>
  <si>
    <t>Calaveras</t>
  </si>
  <si>
    <t>['Drinking']</t>
  </si>
  <si>
    <t>LB_437</t>
  </si>
  <si>
    <t>Williams, 27 miles southwest</t>
  </si>
  <si>
    <t>Hot Springs</t>
  </si>
  <si>
    <t>Colusa</t>
  </si>
  <si>
    <t>LB_438</t>
  </si>
  <si>
    <t>Williams, 30 miles northwest</t>
  </si>
  <si>
    <t>Blancks Cooks Springs</t>
  </si>
  <si>
    <t>LB_439</t>
  </si>
  <si>
    <t>Williams, 28 miles west</t>
  </si>
  <si>
    <t>Deadshot Springs</t>
  </si>
  <si>
    <t>['Drinking', 'Bathing']</t>
  </si>
  <si>
    <t>LB_440</t>
  </si>
  <si>
    <t>Sites, 32 miles north</t>
  </si>
  <si>
    <t>Fouts Springs</t>
  </si>
  <si>
    <t>LB_441</t>
  </si>
  <si>
    <t>Sites, 28 miles west</t>
  </si>
  <si>
    <t>Elgin Springs</t>
  </si>
  <si>
    <t>LB_442</t>
  </si>
  <si>
    <t>Williams, 30 miles west</t>
  </si>
  <si>
    <t>LB_443</t>
  </si>
  <si>
    <t>Williams, 24 miles south</t>
  </si>
  <si>
    <t>Jones Spring</t>
  </si>
  <si>
    <t>LB_444</t>
  </si>
  <si>
    <t>north of Sites.</t>
  </si>
  <si>
    <t>Simmons Springs</t>
  </si>
  <si>
    <t>CONTRA COSTA</t>
  </si>
  <si>
    <t>['Simmons Springs']</t>
  </si>
  <si>
    <t>LB_286</t>
  </si>
  <si>
    <t>southwest of Fouts</t>
  </si>
  <si>
    <t>Sulphur Springs</t>
  </si>
  <si>
    <t>['Sulphur Springs']</t>
  </si>
  <si>
    <t>LB_287</t>
  </si>
  <si>
    <t>at Byron</t>
  </si>
  <si>
    <t>['Hot Springs']</t>
  </si>
  <si>
    <t>LB_288</t>
  </si>
  <si>
    <t>Glen</t>
  </si>
  <si>
    <t>Alpine Springs</t>
  </si>
  <si>
    <t>['Alpine Springs']</t>
  </si>
  <si>
    <t>LB_289</t>
  </si>
  <si>
    <t>in Blaney Meadows</t>
  </si>
  <si>
    <t>LB_290</t>
  </si>
  <si>
    <t>Ferndale Springs</t>
  </si>
  <si>
    <t>['Ferndale Springs']</t>
  </si>
  <si>
    <t>LB_291</t>
  </si>
  <si>
    <t>Valley.</t>
  </si>
  <si>
    <t>Fish Springs</t>
  </si>
  <si>
    <t>['Fish Springs']</t>
  </si>
  <si>
    <t>LB_292</t>
  </si>
  <si>
    <t>South on Joaquin Fork of San River.</t>
  </si>
  <si>
    <t>Lower Springs</t>
  </si>
  <si>
    <t>FRESNO</t>
  </si>
  <si>
    <t>1908-01-01-1910-12-31</t>
  </si>
  <si>
    <t>['Bathing', 'Drinking']</t>
  </si>
  <si>
    <t>LB_81</t>
  </si>
  <si>
    <t>Near Palos Mercey Spring.</t>
  </si>
  <si>
    <t>SAN FRANCISCO</t>
  </si>
  <si>
    <t>['Bottled', 'Drinking']</t>
  </si>
  <si>
    <t>LB_82</t>
  </si>
  <si>
    <t>in Sulphur Meadows.</t>
  </si>
  <si>
    <t>LB_83</t>
  </si>
  <si>
    <t>Three Sulphur Springs</t>
  </si>
  <si>
    <t>LB_84</t>
  </si>
  <si>
    <t>Alder Springs</t>
  </si>
  <si>
    <t>GLENN</t>
  </si>
  <si>
    <t>LB_85</t>
  </si>
  <si>
    <t>Valley Spring</t>
  </si>
  <si>
    <t>HUMBOLDT</t>
  </si>
  <si>
    <t>['Salt']</t>
  </si>
  <si>
    <t>LB_86</t>
  </si>
  <si>
    <t>Artesian Spring</t>
  </si>
  <si>
    <t>LB_87</t>
  </si>
  <si>
    <t>Eu-Mountain Spring</t>
  </si>
  <si>
    <t>['Mineral']</t>
  </si>
  <si>
    <t>LB_88</t>
  </si>
  <si>
    <t>LB_89</t>
  </si>
  <si>
    <t>Frink Spring</t>
  </si>
  <si>
    <t>IMPERIAL</t>
  </si>
  <si>
    <t>['Volcanoes', 'Mud']</t>
  </si>
  <si>
    <t>LB_90</t>
  </si>
  <si>
    <t>Kane Spring</t>
  </si>
  <si>
    <t>LB_91</t>
  </si>
  <si>
    <t>McCain Spring</t>
  </si>
  <si>
    <t>LB_92</t>
  </si>
  <si>
    <t>Soda Spring</t>
  </si>
  <si>
    <t>LB_93</t>
  </si>
  <si>
    <t>Sunset Spring</t>
  </si>
  <si>
    <t>LB_94</t>
  </si>
  <si>
    <t>Yuha Spring</t>
  </si>
  <si>
    <t>LB_95</t>
  </si>
  <si>
    <t>30 miles north-west of Calistoga</t>
  </si>
  <si>
    <t>Seigler Springs</t>
  </si>
  <si>
    <t>Lake County</t>
  </si>
  <si>
    <t>1900-01-01-1950-12-31</t>
  </si>
  <si>
    <t>{'Temperature_F': True, 'Discharge_gallons_minute': True}</t>
  </si>
  <si>
    <t>['Hot', 'Resort']</t>
  </si>
  <si>
    <t>LB_168</t>
  </si>
  <si>
    <t>28 miles north-west of Calistoga</t>
  </si>
  <si>
    <t>Gordon Hot Spring</t>
  </si>
  <si>
    <t>['Hot']</t>
  </si>
  <si>
    <t>LB_169</t>
  </si>
  <si>
    <t>24 miles north-west of Calistoga</t>
  </si>
  <si>
    <t>Spiers Springs</t>
  </si>
  <si>
    <t>LB_170</t>
  </si>
  <si>
    <t>25 miles north-west of Calistoga</t>
  </si>
  <si>
    <t>Castle Hot Springs</t>
  </si>
  <si>
    <t>LB_171</t>
  </si>
  <si>
    <t>22 miles north-west of Calistoga</t>
  </si>
  <si>
    <t>Anderson Springs</t>
  </si>
  <si>
    <t>LB_172</t>
  </si>
  <si>
    <t>20 miles north-west of Calistoga</t>
  </si>
  <si>
    <t>Harbin Springs</t>
  </si>
  <si>
    <t>LB_173</t>
  </si>
  <si>
    <t>28 miles west-southwest of Williams</t>
  </si>
  <si>
    <t>Williams County</t>
  </si>
  <si>
    <t>LB_174</t>
  </si>
  <si>
    <t>27 miles west-southwest of Williams</t>
  </si>
  <si>
    <t>Blancks Hot Springs</t>
  </si>
  <si>
    <t>LB_175</t>
  </si>
  <si>
    <t>26.5 miles southwest of Williams</t>
  </si>
  <si>
    <t>Jones Hot Springs</t>
  </si>
  <si>
    <t>LB_176</t>
  </si>
  <si>
    <t>26 miles southwest of Williams</t>
  </si>
  <si>
    <t>Wilbur Hot Springs</t>
  </si>
  <si>
    <t>LB_177</t>
  </si>
  <si>
    <t>30 miles west-southwest of Williams, near mine</t>
  </si>
  <si>
    <t>{'Temperature_F': True}</t>
  </si>
  <si>
    <t>LB_178</t>
  </si>
  <si>
    <t>Cloverdale, 15 miles north-west of Sonoma</t>
  </si>
  <si>
    <t>Hoods Hot Springs</t>
  </si>
  <si>
    <t>LB_179</t>
  </si>
  <si>
    <t>Geyserville, 9 miles west-southwest of Healdsburg</t>
  </si>
  <si>
    <t>Skaggs Hot Springs</t>
  </si>
  <si>
    <t>LB_180</t>
  </si>
  <si>
    <t>Reno, of south miles 10</t>
  </si>
  <si>
    <t>['T.33,R.18,E.20,R.']</t>
  </si>
  <si>
    <t>Franktown Spring</t>
  </si>
  <si>
    <t>Storey</t>
  </si>
  <si>
    <t>['Hot Spring', 'Resort']</t>
  </si>
  <si>
    <t>LB_220</t>
  </si>
  <si>
    <t>City Carson of northwest miles 10</t>
  </si>
  <si>
    <t>['T.19,R.23,E.Wadsworth,N.']</t>
  </si>
  <si>
    <t>Mansion Spring</t>
  </si>
  <si>
    <t>Ormsby</t>
  </si>
  <si>
    <t>['Hot Spring']</t>
  </si>
  <si>
    <t>LB_221</t>
  </si>
  <si>
    <t>City Carson of north miles 2</t>
  </si>
  <si>
    <t>['Minden,T.12,R.23,E.N.,County']</t>
  </si>
  <si>
    <t>Bowers Springs</t>
  </si>
  <si>
    <t>Douglas</t>
  </si>
  <si>
    <t>LB_222</t>
  </si>
  <si>
    <t>City Carson of north miles 10</t>
  </si>
  <si>
    <t>Carson Springs</t>
  </si>
  <si>
    <t>LB_223</t>
  </si>
  <si>
    <t>Near Simpson, of northwest miles 6</t>
  </si>
  <si>
    <t>['E.23,R.N.,T.15']</t>
  </si>
  <si>
    <t>Walley's Springs</t>
  </si>
  <si>
    <t>Lyon</t>
  </si>
  <si>
    <t>LB_224</t>
  </si>
  <si>
    <t>Wabuska, of north E. mile 1</t>
  </si>
  <si>
    <t>['T.25,R.E.,N.']</t>
  </si>
  <si>
    <t>Hund's Springs</t>
  </si>
  <si>
    <t>Pershing</t>
  </si>
  <si>
    <t>LB_225</t>
  </si>
  <si>
    <t>Near Wabuska, of north E. mile 1</t>
  </si>
  <si>
    <t>Wabuska Springs</t>
  </si>
  <si>
    <t>LB_226</t>
  </si>
  <si>
    <t>Near Sulphur, of southwest miles 2</t>
  </si>
  <si>
    <t>['T.33,R.E.,N.']</t>
  </si>
  <si>
    <t>Butte Springs</t>
  </si>
  <si>
    <t>Humboldt</t>
  </si>
  <si>
    <t>LB_227</t>
  </si>
  <si>
    <t>Winne-mucca, of south miles 25</t>
  </si>
  <si>
    <t>['T.35,R.E.,N.']</t>
  </si>
  <si>
    <t>Leach's Hot Springs</t>
  </si>
  <si>
    <t>Lassen</t>
  </si>
  <si>
    <t>LB_228</t>
  </si>
  <si>
    <t>Ancestral Yuba River</t>
  </si>
  <si>
    <t>Placer County</t>
  </si>
  <si>
    <t>1939-11-01/1968-11-01</t>
  </si>
  <si>
    <t>29 years</t>
  </si>
  <si>
    <t>dollars per cubic yard</t>
  </si>
  <si>
    <t>['gold values', 'drilling', 'sampling', 'gravel', 'Yuba River']</t>
  </si>
  <si>
    <t>LB_366</t>
  </si>
  <si>
    <t>Ancestral Yuba River drainage</t>
  </si>
  <si>
    <t>Yuba County</t>
  </si>
  <si>
    <t>['Tertiary gravel', 'gold resource']</t>
  </si>
  <si>
    <t>LB_105</t>
  </si>
  <si>
    <t>South Lahontan Hydrologic Subregion</t>
  </si>
  <si>
    <t>South Lahontan</t>
  </si>
  <si>
    <t>Nye County, Nevada (adjacent to South Lahontan Hydrologic subregion in California)</t>
  </si>
  <si>
    <t>Varies, typical hydrologic year from October 1 to September 30</t>
  </si>
  <si>
    <t>Degrees Celsius</t>
  </si>
  <si>
    <t>['Thermograph', 'water temperature', 'harmonic function']</t>
  </si>
  <si>
    <t>LB_318</t>
  </si>
  <si>
    <t>South Coastal Hydrologic Subregion</t>
  </si>
  <si>
    <t>South Coastal</t>
  </si>
  <si>
    <t>Los Angeles County, San Diego County (adjacent to South Coastal Hydrologic subregion in California)</t>
  </si>
  <si>
    <t>LB_319</t>
  </si>
  <si>
    <t>Central Coastal Hydrologic Subregion</t>
  </si>
  <si>
    <t>Central Coastal</t>
  </si>
  <si>
    <t>Santa Barbara County, San Luis Obispo County (adjacent to Central Coastal Hydrologic subregion in California)</t>
  </si>
  <si>
    <t>LB_320</t>
  </si>
  <si>
    <t>Tulare Basin Hydrologic Subregion</t>
  </si>
  <si>
    <t>Tulare Basin</t>
  </si>
  <si>
    <t>Tulare County, Fresno County (adjacent to Tulare Basin Hydrologic subregion in California)</t>
  </si>
  <si>
    <t>LB_321</t>
  </si>
  <si>
    <t>San Joaquin Basin Hydrologic Subregion</t>
  </si>
  <si>
    <t>San Joaquin Basin</t>
  </si>
  <si>
    <t>Fresno County, Kern County (adjacent to San Joaquin Basin Hydrologic subregion in California)</t>
  </si>
  <si>
    <t>LB_322</t>
  </si>
  <si>
    <t>Delta-Central Sierra Hydrologic Subregion</t>
  </si>
  <si>
    <t>Delta-Central Sierra</t>
  </si>
  <si>
    <t>Sacramento County, Yolo County (adjacent to Delta-Central Sierra Hydrologic subregion in California)</t>
  </si>
  <si>
    <t>LB_323</t>
  </si>
  <si>
    <t>Sacramento Basin Hydrologic Subregion</t>
  </si>
  <si>
    <t>Sacramento Basin</t>
  </si>
  <si>
    <t>Placer County, Sacramento County (adjacent to Sacramento Basin Hydrologic subregion in California)</t>
  </si>
  <si>
    <t>LB_324</t>
  </si>
  <si>
    <t>San Francisco Bay Hydrologic Subregion</t>
  </si>
  <si>
    <t>San Francisco Bay</t>
  </si>
  <si>
    <t>Contra Costa County, San Mateo County (adjacent to San Francisco Bay Hydrologic subregion in California)</t>
  </si>
  <si>
    <t>LB_325</t>
  </si>
  <si>
    <t>North Coastal Hydrologic Subregion</t>
  </si>
  <si>
    <t>North Coastal</t>
  </si>
  <si>
    <t>Mendocino County, Humboldt County (adjacent to North Coastal Hydrologic subregion in California)</t>
  </si>
  <si>
    <t>LB_326</t>
  </si>
  <si>
    <t>California Streams</t>
  </si>
  <si>
    <t>Thermograph Station 1</t>
  </si>
  <si>
    <t>Degrees Celsius (Â°C)</t>
  </si>
  <si>
    <t>['Daily maximum', 'Annual maximum']</t>
  </si>
  <si>
    <t>LB_194</t>
  </si>
  <si>
    <t>Thermograph Station 2</t>
  </si>
  <si>
    <t>['Daily minimum', 'Annual mean']</t>
  </si>
  <si>
    <t>LB_195</t>
  </si>
  <si>
    <t>Thermograph Station 23</t>
  </si>
  <si>
    <t>['Daily maximum', 'Amplitude', 'Annual maximum']</t>
  </si>
  <si>
    <t>LB_196</t>
  </si>
  <si>
    <t>Thermograph Station 33</t>
  </si>
  <si>
    <t>LB_197</t>
  </si>
  <si>
    <t>Thermograph Station 45</t>
  </si>
  <si>
    <t>['Daily maximum', 'Amplitude', 'Annual mean', 'Annual maximum']</t>
  </si>
  <si>
    <t>LB_198</t>
  </si>
  <si>
    <t>Thermograph Station 51</t>
  </si>
  <si>
    <t>['Daily minimum', 'Annual maximum']</t>
  </si>
  <si>
    <t>LB_199</t>
  </si>
  <si>
    <t>Thermograph Station 66</t>
  </si>
  <si>
    <t>LB_200</t>
  </si>
  <si>
    <t>Thermograph Station 72</t>
  </si>
  <si>
    <t>LB_201</t>
  </si>
  <si>
    <t>Thermograph Station 79</t>
  </si>
  <si>
    <t>['Daily maximum', 'Amplitude', 'Annual mean', 'Annual maximum', 'Daily minimum']</t>
  </si>
  <si>
    <t>LB_202</t>
  </si>
  <si>
    <t>LB_96</t>
  </si>
  <si>
    <t>White Mountains, California</t>
  </si>
  <si>
    <t>['[TRS]']</t>
  </si>
  <si>
    <t>Reed Dolomite</t>
  </si>
  <si>
    <t>weight percent and ppm</t>
  </si>
  <si>
    <t>['soil', 'bedrock', 'geochemical fractionation', 'weathering']</t>
  </si>
  <si>
    <t>LB_380</t>
  </si>
  <si>
    <t>Piedmont of City</t>
  </si>
  <si>
    <t>['1S/3W -30B,N']</t>
  </si>
  <si>
    <t>Springs Piedmont</t>
  </si>
  <si>
    <t>{'Temperature': 'Â°F', 'Discharge': 'gpm', 'Altitude': 'feet'}</t>
  </si>
  <si>
    <t>['spring', 'piedmont']</t>
  </si>
  <si>
    <t>LB_233</t>
  </si>
  <si>
    <t>County Alameda</t>
  </si>
  <si>
    <t>['2S/2W -31F,M']</t>
  </si>
  <si>
    <t>Boys County Camp</t>
  </si>
  <si>
    <t>['camp', 'county']</t>
  </si>
  <si>
    <t>LB_234</t>
  </si>
  <si>
    <t>['28/2W -31F,M']</t>
  </si>
  <si>
    <t>Bay-O-Vista Project</t>
  </si>
  <si>
    <t>['project']</t>
  </si>
  <si>
    <t>LB_235</t>
  </si>
  <si>
    <t>['3S/2W -5Q,M']</t>
  </si>
  <si>
    <t>Tomnovee Spring</t>
  </si>
  <si>
    <t>['spring']</t>
  </si>
  <si>
    <t>LB_236</t>
  </si>
  <si>
    <t>['3S/2E -14P,M']</t>
  </si>
  <si>
    <t>Wente Spring</t>
  </si>
  <si>
    <t>LB_237</t>
  </si>
  <si>
    <t>['3S/2E -33F,M']</t>
  </si>
  <si>
    <t>Crohare F.C.</t>
  </si>
  <si>
    <t>['stock']</t>
  </si>
  <si>
    <t>LB_238</t>
  </si>
  <si>
    <t>['3S/3E -15Q,M']</t>
  </si>
  <si>
    <t>Wagoner W.G.</t>
  </si>
  <si>
    <t>['wagoner', 'watering']</t>
  </si>
  <si>
    <t>LB_239</t>
  </si>
  <si>
    <t>21S/3E -9K,M 36Â°07'24"N,121Â°38'07"</t>
  </si>
  <si>
    <t>['21S/3E -9K']</t>
  </si>
  <si>
    <t>Monterey</t>
  </si>
  <si>
    <t>9/20/-62-1/18/-63-5/10/-63-11/11/-63</t>
  </si>
  <si>
    <t>5 days</t>
  </si>
  <si>
    <t>{'Temperature (F)': True, 'Discharge (gpm)': True, 'Altitude (feet)': True}</t>
  </si>
  <si>
    <t>['sulfate', 'sulfur springs', 'bicarbonate']</t>
  </si>
  <si>
    <t>LB_15</t>
  </si>
  <si>
    <t>21S/3E -24P,M 36Â°05'01"N,121Â°35'11"</t>
  </si>
  <si>
    <t>['21S/3E -24P']</t>
  </si>
  <si>
    <t>Dolans Creek</t>
  </si>
  <si>
    <t>['sulfate', 'bicarbonate']</t>
  </si>
  <si>
    <t>LB_16</t>
  </si>
  <si>
    <t>22S/TE -5R,M 36Â°02'28"N,121Â°13'15"</t>
  </si>
  <si>
    <t>['22S/TE -5R']</t>
  </si>
  <si>
    <t>Sulphur Spring</t>
  </si>
  <si>
    <t>Orange</t>
  </si>
  <si>
    <t>1/-14/-63</t>
  </si>
  <si>
    <t>1 day</t>
  </si>
  <si>
    <t>{'Temperature (F)': True, 'Discharge (gpm)': False, 'Altitude (feet)': True}</t>
  </si>
  <si>
    <t>['sulfur', 'bicarbonate']</t>
  </si>
  <si>
    <t>LB_17</t>
  </si>
  <si>
    <t>3S/9W -2P,S 33Â°56'02"N,117Â°47'48"</t>
  </si>
  <si>
    <t>['3S/9W -2P']</t>
  </si>
  <si>
    <t>LaVida Springs</t>
  </si>
  <si>
    <t>1/-13/-63</t>
  </si>
  <si>
    <t>{'Temperature (F)': True, 'Discharge (gpm)': False, 'Altitude (feet)': False}</t>
  </si>
  <si>
    <t>['sodium', 'bicarbonate']</t>
  </si>
  <si>
    <t>LB_18</t>
  </si>
  <si>
    <t>4S/8W -12P,S 33Â°49'53"N,117Â°40'15"</t>
  </si>
  <si>
    <t>['4S/8W -12P']</t>
  </si>
  <si>
    <t>Forest Spring</t>
  </si>
  <si>
    <t>LB_19</t>
  </si>
  <si>
    <t>68/5W -21B,S 33Â°38'20"N,117Â°24'17"</t>
  </si>
  <si>
    <t>['68/5W -21B']</t>
  </si>
  <si>
    <t>Whitewood Ranch</t>
  </si>
  <si>
    <t>1/-12/-63</t>
  </si>
  <si>
    <t>LB_20</t>
  </si>
  <si>
    <t>H 40*39'04"N,123Â°51'51"</t>
  </si>
  <si>
    <t>['3N/3E -8P']</t>
  </si>
  <si>
    <t>Spring Johnson</t>
  </si>
  <si>
    <t>07/01/1964-09/30/1964</t>
  </si>
  <si>
    <t>7 -64 to 9 -64</t>
  </si>
  <si>
    <t>{'Temperature': 'Fahrenheit (F)', 'Discharge': 'gallons per minute (gpm)', 'Altitude': 'feet'}</t>
  </si>
  <si>
    <t>['Springs', 'Public', 'Pumped', 'Reliable']</t>
  </si>
  <si>
    <t>LB_6</t>
  </si>
  <si>
    <t>40*36'50"N,123*51'04"</t>
  </si>
  <si>
    <t>['3N/3E -28E,H']</t>
  </si>
  <si>
    <t>Spring Ranch</t>
  </si>
  <si>
    <t>['Springs', 'Stock']</t>
  </si>
  <si>
    <t>LB_7</t>
  </si>
  <si>
    <t>40*41'16"N,123*51'51"</t>
  </si>
  <si>
    <t>['4N/3E -32C,H']</t>
  </si>
  <si>
    <t>Spring View Mountain</t>
  </si>
  <si>
    <t>LB_8</t>
  </si>
  <si>
    <t>40*41'49"N,124Â°16'25"</t>
  </si>
  <si>
    <t>['4W/2W -27R.H']</t>
  </si>
  <si>
    <t>Harrison Wayne</t>
  </si>
  <si>
    <t>07/13/1964-08/31/1964</t>
  </si>
  <si>
    <t>07/13/1964 to 08/64</t>
  </si>
  <si>
    <t>LB_9</t>
  </si>
  <si>
    <t>40*22'28"N,123Â°58'48"</t>
  </si>
  <si>
    <t>['18/2F -17P,H']</t>
  </si>
  <si>
    <t>Division Parks and California Beaches</t>
  </si>
  <si>
    <t>07/01/1964-08/31/1964</t>
  </si>
  <si>
    <t>07/64 to 08/64</t>
  </si>
  <si>
    <t>LB_10</t>
  </si>
  <si>
    <t>40*21'55"N,124Â°20'32"</t>
  </si>
  <si>
    <t>['18/2W -19M,H']</t>
  </si>
  <si>
    <t>Joe Zanone</t>
  </si>
  <si>
    <t>07/10/1964-07/31/1964</t>
  </si>
  <si>
    <t>07/10/1964 to 07/64</t>
  </si>
  <si>
    <t>LB_11</t>
  </si>
  <si>
    <t>40*21'42"N,124Â°20'27"</t>
  </si>
  <si>
    <t>['18/2W -19P,H']</t>
  </si>
  <si>
    <t>LB_12</t>
  </si>
  <si>
    <t>40*N,124Â°23'24"</t>
  </si>
  <si>
    <t>['18/3W -3K,H']</t>
  </si>
  <si>
    <t>Zanone Russ Joe Joe</t>
  </si>
  <si>
    <t>LB_13</t>
  </si>
  <si>
    <t>-40Â°N1,123Â°51'40"</t>
  </si>
  <si>
    <t>['28/3E -20X,H']</t>
  </si>
  <si>
    <t>Springs Division and Hidden California Beaches</t>
  </si>
  <si>
    <t>07/31/1964-08/31/1964</t>
  </si>
  <si>
    <t>08/64 to 07/64</t>
  </si>
  <si>
    <t>LB_14</t>
  </si>
  <si>
    <t>40Â°15'36"N,123Â°02'25"</t>
  </si>
  <si>
    <t>['28N/10W -19M,M']</t>
  </si>
  <si>
    <t>Spring Service McCullah</t>
  </si>
  <si>
    <t>Trinity</t>
  </si>
  <si>
    <t>09/22/1965-09/22/1965</t>
  </si>
  <si>
    <t>9-22-65 to 9-22-65</t>
  </si>
  <si>
    <t>{'Temperature': 'F', 'Discharge': 'gpm', 'Altitude': 'feet'}</t>
  </si>
  <si>
    <t>Spring Water</t>
  </si>
  <si>
    <t>['piped', 'reliable supply', 'public use']</t>
  </si>
  <si>
    <t>LB_354</t>
  </si>
  <si>
    <t>40Â°28'22"N,122Â°55'44"</t>
  </si>
  <si>
    <t>['30N/9W -7D,M']</t>
  </si>
  <si>
    <t>Springs Springs Lick Spring Deerlick "98"</t>
  </si>
  <si>
    <t>{'Temperature': '', 'Discharge': '&gt;3 gpm', 'Altitude': '2,975 feet'}</t>
  </si>
  <si>
    <t>['box, tank', 'public use']</t>
  </si>
  <si>
    <t>LB_355</t>
  </si>
  <si>
    <t>40Â°28'43"N,122Â°55'51"</t>
  </si>
  <si>
    <t>['30N/10W -1J,M']</t>
  </si>
  <si>
    <t>Springs Spring Spring Deadshot Hipicuro Nipitan J. Raymos H.</t>
  </si>
  <si>
    <t>{'Temperature': '', 'Discharge': '&gt;1 gpm', 'Altitude': '2,950 feet'}</t>
  </si>
  <si>
    <t>['piped', 'public use']</t>
  </si>
  <si>
    <t>LB_356</t>
  </si>
  <si>
    <t>40Â°24'20"N,123Â°05'17"</t>
  </si>
  <si>
    <t>['30N/11W -34K,M']</t>
  </si>
  <si>
    <t>Service Forest U.S.</t>
  </si>
  <si>
    <t>09/23/1965-09/23/1965</t>
  </si>
  <si>
    <t>9-23-65 to 9-23-65</t>
  </si>
  <si>
    <t>{'Temperature': '53 F', 'Discharge': '&gt;5 gpm', 'Altitude': '3,550 feet'}</t>
  </si>
  <si>
    <t>LB_357</t>
  </si>
  <si>
    <t>40Â°26'28"N,123Â°15'39"</t>
  </si>
  <si>
    <t>['30N/12W -19C,N']</t>
  </si>
  <si>
    <t>Service Spring Forest Mud U.S.</t>
  </si>
  <si>
    <t>{'Temperature': '', 'Discharge': '0.5 gpm', 'Altitude': '4,100 feet'}</t>
  </si>
  <si>
    <t>['covered', 'public use']</t>
  </si>
  <si>
    <t>LB_358</t>
  </si>
  <si>
    <t>40Â°30'59"N,122Â°56'10"</t>
  </si>
  <si>
    <t>['31N/10W -25A,M']</t>
  </si>
  <si>
    <t>{'Temperature': '', 'Discharge': '&gt;1.2 gpm', 'Altitude': '2,875 feet'}</t>
  </si>
  <si>
    <t>LB_359</t>
  </si>
  <si>
    <t>['33M/9W -8B,M']</t>
  </si>
  <si>
    <t>Spring Shasta</t>
  </si>
  <si>
    <t>{'Temperature': '', 'Discharge': '', 'Altitude': '2,500 feet'}</t>
  </si>
  <si>
    <t>LB_360</t>
  </si>
  <si>
    <t>40Â°48'30"N,123Â°11'40"</t>
  </si>
  <si>
    <t>['34N/12W -11X,M']</t>
  </si>
  <si>
    <t>Springs Service Trimble U.S. Forest</t>
  </si>
  <si>
    <t>09/24/1965-09/24/1965</t>
  </si>
  <si>
    <t>9-24-65 to 9-24-65</t>
  </si>
  <si>
    <t>{'Temperature': '49 F', 'Discharge': '', 'Altitude': '4,500 feet'}</t>
  </si>
  <si>
    <t>['alluvium', 'public use']</t>
  </si>
  <si>
    <t>LB_361</t>
  </si>
  <si>
    <t>40Â°54'56"N,122Â°36'41"</t>
  </si>
  <si>
    <t>['35N/7W -1L,M']</t>
  </si>
  <si>
    <t>Service Spring Forest Quartz U.S.</t>
  </si>
  <si>
    <t>09/21/1965-09/21/1965</t>
  </si>
  <si>
    <t>9-21-65 to 9-21-65</t>
  </si>
  <si>
    <t>{'Temperature': '', 'Discharge': '&gt;0.1 gpm', 'Altitude': '4,529 feet'}</t>
  </si>
  <si>
    <t>['earthen', 'public use']</t>
  </si>
  <si>
    <t>LB_362</t>
  </si>
  <si>
    <t>40Â°50'34"N,122Â°39'56"</t>
  </si>
  <si>
    <t>['35N/7W -33E,M']</t>
  </si>
  <si>
    <t>Service Spring Forest Crystal U.S.</t>
  </si>
  <si>
    <t>{'Temperature': '', 'Discharge': '&lt;0.2 gpm', 'Altitude': '3,300 feet'}</t>
  </si>
  <si>
    <t>['channel', 'public use']</t>
  </si>
  <si>
    <t>LB_363</t>
  </si>
  <si>
    <t>40Â°57'44"N,122Â°39'32"</t>
  </si>
  <si>
    <t>['36N/7W -22L,M']</t>
  </si>
  <si>
    <t>Service Spring Forest Jackass U.S.</t>
  </si>
  <si>
    <t>{'Temperature': '', 'Discharge': '&gt;5.0 gpm', 'Altitude': '2,600 feet'}</t>
  </si>
  <si>
    <t>LB_364</t>
  </si>
  <si>
    <t>41Â°08'10"N,122Â°29'11"</t>
  </si>
  <si>
    <t>['38N/5W -19L,M']</t>
  </si>
  <si>
    <t>Service Springs Forest Soda U.S.</t>
  </si>
  <si>
    <t>09/17/1965-09/17/1965</t>
  </si>
  <si>
    <t>9-17-65 to 9-17-65</t>
  </si>
  <si>
    <t>{'Temperature': '', 'Discharge': '&gt;1 gpm', 'Altitude': '4,880 feet'}</t>
  </si>
  <si>
    <t>['steep to', 'piped']</t>
  </si>
  <si>
    <t>LB_365</t>
  </si>
  <si>
    <t>['6N,M 14N/5W - 14N/5W -17K,M', '14N/5W -28C,M', '4H,M 15N/5W - 16N/6W 9H,M', '9X,M 5N,M 8B,M', '18N/4W -32E,M', '18N/4W -32F,M', '16N/4E 5X,H - 17N/3E -30P,H', '17N/3E -35P,H 17N/4E -18X,H', '18N/1E -35G,H 18N/3E -10D,H', '18N/3E -29M,H', '9D,M 9E,M 8x,M', '18N/7W -21X,M', '18N/7W -23D,M 20N/7W -24F,M', '21N/6W -15F,M', '21N/8W -24N,M 22N/7W 5N,M']</t>
  </si>
  <si>
    <t>Springs in Colusa</t>
  </si>
  <si>
    <t>COLUSA</t>
  </si>
  <si>
    <t>['ppm', 'mg/L', 'Âµg/L', 'parts per million', 'million per parts']</t>
  </si>
  <si>
    <t>['springs', 'spectrographic analyses', 'groundwater']</t>
  </si>
  <si>
    <t>LB_47</t>
  </si>
  <si>
    <t>4.9 1.8 3.1 5.1 14 19 540 40 x160 17 21 9.7 12 2C,M 9W -13H,M 9W -13X,M 9W 10N/11W -25B,M 10N/11N/11N/</t>
  </si>
  <si>
    <t>['4.9,1.8,3.1', '5.1,14,19,540', '40,x160,17,21']</t>
  </si>
  <si>
    <t>Love</t>
  </si>
  <si>
    <t>SONOMA</t>
  </si>
  <si>
    <t>['COUNTY', 'SONOMA']</t>
  </si>
  <si>
    <t>LB_129</t>
  </si>
  <si>
    <t>47 130 47 120 x20 x50 x40 x260 36 5.7 6.9</t>
  </si>
  <si>
    <t>['47,130,47', '120,x20', 'x50,x40']</t>
  </si>
  <si>
    <t>TEHAMA</t>
  </si>
  <si>
    <t>['COUNTY', 'TEHAMA']</t>
  </si>
  <si>
    <t>LB_130</t>
  </si>
  <si>
    <t>6.0 6.9 6,0 47 10 8.6 15 3.7 6.0 7.7 5.7 10 6.6 &gt;200 x1,400 27 4.3 6.6 2.3</t>
  </si>
  <si>
    <t>['6.0', '6.9', '6,0', '47']</t>
  </si>
  <si>
    <t>TRINITY</t>
  </si>
  <si>
    <t>['COUNTY', 'TRINITY']</t>
  </si>
  <si>
    <t>LB_131</t>
  </si>
  <si>
    <t>Near Mentone, California</t>
  </si>
  <si>
    <t>['[TRS1]', '[TRS2]']</t>
  </si>
  <si>
    <t>Mill Creek Wells</t>
  </si>
  <si>
    <t>Orange County, California</t>
  </si>
  <si>
    <t>['gpm', 'gpd', 'sq. ft.', 'ft.']</t>
  </si>
  <si>
    <t>['wells', 'permeability', 'yield', 'saturated']</t>
  </si>
  <si>
    <t>LB_167</t>
  </si>
  <si>
    <t>Near Covelo, California</t>
  </si>
  <si>
    <t>Middle Fork Eel River</t>
  </si>
  <si>
    <t>Trinity County</t>
  </si>
  <si>
    <t>04/23/1968-04/23/1968</t>
  </si>
  <si>
    <t>Single measurement date</t>
  </si>
  <si>
    <t>['mm', 'cm3']</t>
  </si>
  <si>
    <t>['bed material', 'particle-size distribution', 'stream discharge']</t>
  </si>
  <si>
    <t>LB_305</t>
  </si>
  <si>
    <t>Portage area, Turnagain Arm</t>
  </si>
  <si>
    <t>Placer River</t>
  </si>
  <si>
    <t>Kenai Peninsula Borough</t>
  </si>
  <si>
    <t>['m', 'mÂ² X 10Â°', 'mÂ³ X 10Â°']</t>
  </si>
  <si>
    <t>['tidal channels', 'thickness measurements', 'sediment volume']</t>
  </si>
  <si>
    <t>LB_408</t>
  </si>
  <si>
    <t>Category Grade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</si>
</sst>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00"/>
    <numFmt numFmtId="165" formatCode="m/d/yyyy"/>
  </numFmts>
  <fonts count="4">
    <font>
      <sz val="10.0"/>
      <color rgb="FF000000"/>
      <name val="Arial"/>
      <scheme val="minor"/>
    </font>
    <font>
      <sz val="11.0"/>
      <color rgb="FF000000"/>
      <name val="&quot;Aptos Narrow&quot;"/>
    </font>
    <font>
      <color theme="1"/>
      <name val="Arial"/>
      <scheme val="minor"/>
    </font>
    <font>
      <sz val="11.0"/>
      <color rgb="FF000000"/>
      <name val="Arial"/>
    </font>
  </fonts>
  <fills count="3">
    <fill>
      <patternFill patternType="none"/>
    </fill>
    <fill>
      <patternFill patternType="lightGray"/>
    </fill>
    <fill>
      <patternFill patternType="solid">
        <fgColor rgb="FFF3F3F3"/>
        <bgColor rgb="FFF3F3F3"/>
      </patternFill>
    </fill>
  </fills>
  <borders count="13">
    <border/>
    <border>
      <left style="thin">
        <color rgb="FF000000"/>
      </left>
      <right style="thin">
        <color rgb="FF000000"/>
      </right>
      <top style="thin">
        <color rgb="FF000000"/>
      </top>
    </border>
    <border>
      <left style="thin">
        <color rgb="FF000000"/>
      </left>
      <right style="thin">
        <color rgb="FF000000"/>
      </right>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0" fillId="0" fontId="1" numFmtId="0" xfId="0" applyAlignment="1" applyFont="1">
      <alignment vertical="bottom"/>
    </xf>
    <xf borderId="0" fillId="2" fontId="1" numFmtId="0" xfId="0" applyAlignment="1" applyFill="1" applyFont="1">
      <alignment readingOrder="0" vertical="bottom"/>
    </xf>
    <xf borderId="0" fillId="0" fontId="1" numFmtId="0" xfId="0" applyAlignment="1" applyFont="1">
      <alignment readingOrder="0" vertical="bottom"/>
    </xf>
    <xf borderId="0" fillId="0" fontId="1" numFmtId="0" xfId="0" applyAlignment="1" applyFont="1">
      <alignment readingOrder="0" shrinkToFit="0" vertical="bottom" wrapText="0"/>
    </xf>
    <xf borderId="0" fillId="2" fontId="1" numFmtId="0" xfId="0" applyAlignment="1" applyFont="1">
      <alignment readingOrder="0" shrinkToFit="0" vertical="bottom" wrapText="0"/>
    </xf>
    <xf borderId="1" fillId="0" fontId="2" numFmtId="0" xfId="0" applyAlignment="1" applyBorder="1" applyFont="1">
      <alignment readingOrder="0"/>
    </xf>
    <xf borderId="0" fillId="0" fontId="1" numFmtId="0" xfId="0" applyAlignment="1" applyFont="1">
      <alignment horizontal="right" readingOrder="0" vertical="bottom"/>
    </xf>
    <xf borderId="0" fillId="2" fontId="1" numFmtId="0" xfId="0" applyAlignment="1" applyFont="1">
      <alignment horizontal="right" readingOrder="0" vertical="bottom"/>
    </xf>
    <xf borderId="0" fillId="2" fontId="1" numFmtId="0" xfId="0" applyAlignment="1" applyFont="1">
      <alignment vertical="bottom"/>
    </xf>
    <xf borderId="2" fillId="0" fontId="2" numFmtId="0" xfId="0" applyBorder="1" applyFont="1"/>
    <xf borderId="0" fillId="0" fontId="3" numFmtId="0" xfId="0" applyAlignment="1" applyFont="1">
      <alignment horizontal="right" readingOrder="0" vertical="bottom"/>
    </xf>
    <xf borderId="0" fillId="0" fontId="3" numFmtId="0" xfId="0" applyAlignment="1" applyFont="1">
      <alignment readingOrder="0" vertical="bottom"/>
    </xf>
    <xf borderId="0" fillId="0" fontId="3" numFmtId="0" xfId="0" applyAlignment="1" applyFont="1">
      <alignment readingOrder="0" shrinkToFit="0" vertical="bottom" wrapText="0"/>
    </xf>
    <xf borderId="3" fillId="0" fontId="2" numFmtId="0" xfId="0" applyAlignment="1" applyBorder="1" applyFont="1">
      <alignment readingOrder="0"/>
    </xf>
    <xf borderId="4" fillId="0" fontId="2" numFmtId="0" xfId="0" applyBorder="1" applyFont="1"/>
    <xf borderId="5" fillId="0" fontId="2" numFmtId="0" xfId="0" applyAlignment="1" applyBorder="1" applyFont="1">
      <alignment readingOrder="0"/>
    </xf>
    <xf borderId="6" fillId="0" fontId="2" numFmtId="164" xfId="0" applyBorder="1" applyFont="1" applyNumberFormat="1"/>
    <xf borderId="0" fillId="0" fontId="2" numFmtId="0" xfId="0" applyAlignment="1" applyFont="1">
      <alignment readingOrder="0"/>
    </xf>
    <xf borderId="4" fillId="0" fontId="2" numFmtId="164" xfId="0" applyBorder="1" applyFont="1" applyNumberFormat="1"/>
    <xf borderId="7" fillId="0" fontId="2" numFmtId="0" xfId="0" applyAlignment="1" applyBorder="1" applyFont="1">
      <alignment readingOrder="0"/>
    </xf>
    <xf borderId="8" fillId="0" fontId="2" numFmtId="164" xfId="0" applyBorder="1" applyFont="1" applyNumberFormat="1"/>
    <xf borderId="0" fillId="0" fontId="1" numFmtId="0" xfId="0" applyAlignment="1" applyFont="1">
      <alignment shrinkToFit="0" vertical="bottom" wrapText="0"/>
    </xf>
    <xf borderId="0" fillId="0" fontId="1" numFmtId="165" xfId="0" applyAlignment="1" applyFont="1" applyNumberFormat="1">
      <alignment horizontal="right" readingOrder="0" vertical="bottom"/>
    </xf>
    <xf borderId="0" fillId="2" fontId="3" numFmtId="0" xfId="0" applyAlignment="1" applyFont="1">
      <alignment readingOrder="0" shrinkToFit="0" vertical="bottom" wrapText="0"/>
    </xf>
    <xf borderId="0" fillId="0" fontId="1" numFmtId="11" xfId="0" applyAlignment="1" applyFont="1" applyNumberFormat="1">
      <alignment readingOrder="0" vertical="bottom"/>
    </xf>
    <xf borderId="0" fillId="0" fontId="3" numFmtId="11" xfId="0" applyAlignment="1" applyFont="1" applyNumberFormat="1">
      <alignment readingOrder="0" vertical="bottom"/>
    </xf>
    <xf borderId="2" fillId="0" fontId="2" numFmtId="0" xfId="0" applyAlignment="1" applyBorder="1" applyFont="1">
      <alignment readingOrder="0"/>
    </xf>
    <xf borderId="0" fillId="2" fontId="3" numFmtId="0" xfId="0" applyAlignment="1" applyFont="1">
      <alignment horizontal="right" readingOrder="0" vertical="bottom"/>
    </xf>
    <xf borderId="0" fillId="0" fontId="3" numFmtId="0" xfId="0" applyAlignment="1" applyFont="1">
      <alignment horizontal="left" readingOrder="0" vertical="bottom"/>
    </xf>
    <xf borderId="0" fillId="2" fontId="1" numFmtId="0" xfId="0" applyAlignment="1" applyFont="1">
      <alignment shrinkToFit="0" vertical="bottom" wrapText="0"/>
    </xf>
    <xf borderId="9" fillId="0" fontId="2" numFmtId="0" xfId="0" applyBorder="1" applyFont="1"/>
    <xf borderId="10" fillId="0" fontId="3" numFmtId="0" xfId="0" applyAlignment="1" applyBorder="1" applyFont="1">
      <alignment horizontal="left" readingOrder="0" shrinkToFit="0" vertical="bottom" wrapText="0"/>
    </xf>
    <xf borderId="11" fillId="2" fontId="1" numFmtId="0" xfId="0" applyAlignment="1" applyBorder="1" applyFont="1">
      <alignment horizontal="right" readingOrder="0" vertical="bottom"/>
    </xf>
    <xf borderId="11" fillId="2" fontId="1" numFmtId="0" xfId="0" applyAlignment="1" applyBorder="1" applyFont="1">
      <alignment vertical="bottom"/>
    </xf>
    <xf borderId="11" fillId="0" fontId="1" numFmtId="0" xfId="0" applyAlignment="1" applyBorder="1" applyFont="1">
      <alignment horizontal="right" readingOrder="0" vertical="bottom"/>
    </xf>
    <xf borderId="11" fillId="2" fontId="1" numFmtId="0" xfId="0" applyAlignment="1" applyBorder="1" applyFont="1">
      <alignment readingOrder="0" shrinkToFit="0" vertical="bottom" wrapText="0"/>
    </xf>
    <xf borderId="12" fillId="0" fontId="2" numFmtId="0" xfId="0" applyBorder="1" applyFont="1"/>
    <xf borderId="0" fillId="2" fontId="2" numFmtId="0" xfId="0" applyFont="1"/>
    <xf borderId="0" fillId="2" fontId="2"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7.75"/>
    <col customWidth="1" min="2" max="2" width="8.88"/>
    <col customWidth="1" min="3" max="3" width="9.25"/>
    <col customWidth="1" min="8" max="9" width="16.63"/>
    <col customWidth="1" min="10" max="10" width="22.88"/>
    <col customWidth="1" min="11" max="17" width="16.63"/>
    <col customWidth="1" min="20" max="20" width="15.38"/>
  </cols>
  <sheetData>
    <row r="1" ht="18.0" customHeight="1">
      <c r="A1" s="1"/>
      <c r="B1" s="2" t="s">
        <v>0</v>
      </c>
      <c r="C1" s="2" t="s">
        <v>1</v>
      </c>
      <c r="D1" s="2" t="s">
        <v>2</v>
      </c>
      <c r="E1" s="2" t="s">
        <v>3</v>
      </c>
      <c r="F1" s="3" t="s">
        <v>4</v>
      </c>
      <c r="G1" s="3" t="s">
        <v>5</v>
      </c>
      <c r="H1" s="3" t="s">
        <v>6</v>
      </c>
      <c r="I1" s="3" t="s">
        <v>7</v>
      </c>
      <c r="J1" s="3" t="s">
        <v>8</v>
      </c>
      <c r="K1" s="3" t="s">
        <v>9</v>
      </c>
      <c r="L1" s="2" t="s">
        <v>10</v>
      </c>
      <c r="M1" s="3" t="s">
        <v>11</v>
      </c>
      <c r="N1" s="3" t="s">
        <v>12</v>
      </c>
      <c r="O1" s="4" t="s">
        <v>13</v>
      </c>
      <c r="P1" s="3" t="s">
        <v>14</v>
      </c>
      <c r="Q1" s="5" t="s">
        <v>15</v>
      </c>
      <c r="R1" s="6" t="s">
        <v>16</v>
      </c>
    </row>
    <row r="2">
      <c r="A2" s="7">
        <v>385.0</v>
      </c>
      <c r="B2" s="8">
        <v>15.0</v>
      </c>
      <c r="C2" s="8">
        <v>144.0</v>
      </c>
      <c r="D2" s="8">
        <v>37.6</v>
      </c>
      <c r="E2" s="8">
        <v>-120.4</v>
      </c>
      <c r="F2" s="1"/>
      <c r="G2" s="1"/>
      <c r="H2" s="3" t="s">
        <v>17</v>
      </c>
      <c r="I2" s="3" t="s">
        <v>18</v>
      </c>
      <c r="J2" s="3" t="s">
        <v>19</v>
      </c>
      <c r="K2" s="3" t="s">
        <v>20</v>
      </c>
      <c r="L2" s="9"/>
      <c r="M2" s="3" t="s">
        <v>21</v>
      </c>
      <c r="N2" s="3" t="s">
        <v>22</v>
      </c>
      <c r="O2" s="4" t="s">
        <v>23</v>
      </c>
      <c r="P2" s="3" t="s">
        <v>24</v>
      </c>
      <c r="Q2" s="5" t="s">
        <v>25</v>
      </c>
      <c r="R2" s="10"/>
    </row>
    <row r="3">
      <c r="A3" s="11" t="s">
        <v>26</v>
      </c>
      <c r="B3" s="8"/>
      <c r="C3" s="8"/>
      <c r="D3" s="9"/>
      <c r="E3" s="9"/>
      <c r="F3" s="11">
        <v>1.0</v>
      </c>
      <c r="G3" s="11">
        <v>1.0</v>
      </c>
      <c r="H3" s="12">
        <v>1.0</v>
      </c>
      <c r="I3" s="12">
        <v>1.0</v>
      </c>
      <c r="J3" s="12">
        <v>1.0</v>
      </c>
      <c r="K3" s="12">
        <v>0.0</v>
      </c>
      <c r="L3" s="9"/>
      <c r="M3" s="12">
        <v>1.0</v>
      </c>
      <c r="N3" s="12">
        <v>1.0</v>
      </c>
      <c r="O3" s="13">
        <v>1.0</v>
      </c>
      <c r="P3" s="12">
        <v>1.0</v>
      </c>
      <c r="Q3" s="5"/>
      <c r="R3" s="10">
        <f>sum(F3:K3,M3:P3)/(COUNTIF(B3:P3, 1) + (COUNTIF(B3:P3, 0)) + COUNTIF(B3:P3, 0.5))</f>
        <v>0.9</v>
      </c>
      <c r="T3" s="14" t="s">
        <v>27</v>
      </c>
      <c r="U3" s="15">
        <f>COUNT(R2:R1447)</f>
        <v>444</v>
      </c>
    </row>
    <row r="4">
      <c r="A4" s="7">
        <v>317.0</v>
      </c>
      <c r="B4" s="8">
        <v>15.0</v>
      </c>
      <c r="C4" s="8">
        <v>181.0</v>
      </c>
      <c r="D4" s="9"/>
      <c r="E4" s="9"/>
      <c r="F4" s="7">
        <v>37.62778</v>
      </c>
      <c r="G4" s="7">
        <v>-120.989</v>
      </c>
      <c r="H4" s="3" t="s">
        <v>28</v>
      </c>
      <c r="I4" s="3" t="s">
        <v>29</v>
      </c>
      <c r="J4" s="3" t="s">
        <v>30</v>
      </c>
      <c r="K4" s="3" t="s">
        <v>31</v>
      </c>
      <c r="L4" s="9"/>
      <c r="M4" s="3" t="s">
        <v>32</v>
      </c>
      <c r="N4" s="3" t="s">
        <v>33</v>
      </c>
      <c r="O4" s="13" t="s">
        <v>34</v>
      </c>
      <c r="P4" s="3" t="s">
        <v>24</v>
      </c>
      <c r="Q4" s="5" t="s">
        <v>35</v>
      </c>
      <c r="R4" s="10"/>
      <c r="T4" s="16" t="s">
        <v>36</v>
      </c>
      <c r="U4" s="17">
        <f>sum(R2:R1447)/U3</f>
        <v>0.8734234234</v>
      </c>
    </row>
    <row r="5">
      <c r="A5" s="11" t="s">
        <v>37</v>
      </c>
      <c r="B5" s="8"/>
      <c r="C5" s="8"/>
      <c r="D5" s="9"/>
      <c r="E5" s="9"/>
      <c r="F5" s="11">
        <v>1.0</v>
      </c>
      <c r="G5" s="11">
        <v>1.0</v>
      </c>
      <c r="H5" s="12">
        <v>1.0</v>
      </c>
      <c r="I5" s="12">
        <v>0.5</v>
      </c>
      <c r="J5" s="12">
        <v>1.0</v>
      </c>
      <c r="K5" s="12">
        <v>0.0</v>
      </c>
      <c r="L5" s="9"/>
      <c r="M5" s="12">
        <v>1.0</v>
      </c>
      <c r="N5" s="12">
        <v>1.0</v>
      </c>
      <c r="O5" s="13">
        <v>1.0</v>
      </c>
      <c r="P5" s="12">
        <v>1.0</v>
      </c>
      <c r="Q5" s="5"/>
      <c r="R5" s="10">
        <f>sum(F5:K5,M5:P5)/(COUNTIF(B5:P5, 1) + (COUNTIF(B5:P5, 0)) + COUNTIF(B5:P5, 0.5))</f>
        <v>0.85</v>
      </c>
    </row>
    <row r="6">
      <c r="A6" s="7">
        <v>191.0</v>
      </c>
      <c r="B6" s="8">
        <v>15.0</v>
      </c>
      <c r="C6" s="8">
        <v>206.0</v>
      </c>
      <c r="D6" s="9"/>
      <c r="E6" s="9"/>
      <c r="F6" s="7">
        <v>38.1161</v>
      </c>
      <c r="G6" s="7">
        <v>-121.171</v>
      </c>
      <c r="H6" s="3" t="s">
        <v>38</v>
      </c>
      <c r="I6" s="3" t="s">
        <v>39</v>
      </c>
      <c r="J6" s="3" t="s">
        <v>40</v>
      </c>
      <c r="K6" s="3" t="s">
        <v>41</v>
      </c>
      <c r="L6" s="9"/>
      <c r="M6" s="3" t="s">
        <v>42</v>
      </c>
      <c r="N6" s="3" t="s">
        <v>43</v>
      </c>
      <c r="O6" s="4" t="s">
        <v>44</v>
      </c>
      <c r="P6" s="3" t="s">
        <v>24</v>
      </c>
      <c r="Q6" s="5" t="s">
        <v>45</v>
      </c>
      <c r="R6" s="10"/>
      <c r="T6" s="18" t="s">
        <v>46</v>
      </c>
    </row>
    <row r="7">
      <c r="A7" s="11" t="s">
        <v>47</v>
      </c>
      <c r="B7" s="8"/>
      <c r="C7" s="8"/>
      <c r="D7" s="9"/>
      <c r="E7" s="9"/>
      <c r="F7" s="11">
        <v>1.0</v>
      </c>
      <c r="G7" s="11">
        <v>1.0</v>
      </c>
      <c r="H7" s="12">
        <v>0.0</v>
      </c>
      <c r="I7" s="12">
        <v>1.0</v>
      </c>
      <c r="J7" s="12">
        <v>1.0</v>
      </c>
      <c r="K7" s="12">
        <v>0.0</v>
      </c>
      <c r="L7" s="9"/>
      <c r="M7" s="12">
        <v>1.0</v>
      </c>
      <c r="N7" s="12">
        <v>0.5</v>
      </c>
      <c r="O7" s="13">
        <v>1.0</v>
      </c>
      <c r="P7" s="12">
        <v>1.0</v>
      </c>
      <c r="Q7" s="5"/>
      <c r="R7" s="10">
        <f>sum(F7:K7,M7:P7)/(COUNTIF(B7:P7, 1) + (COUNTIF(B7:P7, 0)) + COUNTIF(B7:P7, 0.5))</f>
        <v>0.75</v>
      </c>
      <c r="T7" s="14" t="s">
        <v>48</v>
      </c>
      <c r="U7" s="19">
        <f>F893</f>
        <v>0.8608597285</v>
      </c>
    </row>
    <row r="8">
      <c r="A8" s="7">
        <v>5.0</v>
      </c>
      <c r="B8" s="8">
        <v>15.0</v>
      </c>
      <c r="C8" s="8">
        <v>392.0</v>
      </c>
      <c r="D8" s="9"/>
      <c r="E8" s="9"/>
      <c r="F8" s="7">
        <v>39.13333</v>
      </c>
      <c r="G8" s="7">
        <v>-120.95</v>
      </c>
      <c r="H8" s="12" t="s">
        <v>49</v>
      </c>
      <c r="I8" s="3" t="s">
        <v>50</v>
      </c>
      <c r="J8" s="3" t="s">
        <v>51</v>
      </c>
      <c r="K8" s="3" t="s">
        <v>52</v>
      </c>
      <c r="L8" s="9"/>
      <c r="M8" s="3" t="s">
        <v>53</v>
      </c>
      <c r="N8" s="3" t="s">
        <v>54</v>
      </c>
      <c r="O8" s="4" t="s">
        <v>55</v>
      </c>
      <c r="P8" s="3" t="s">
        <v>56</v>
      </c>
      <c r="Q8" s="5" t="s">
        <v>57</v>
      </c>
      <c r="R8" s="10"/>
      <c r="T8" s="20" t="s">
        <v>58</v>
      </c>
      <c r="U8" s="21">
        <f>G893</f>
        <v>0.8611738149</v>
      </c>
    </row>
    <row r="9">
      <c r="A9" s="11" t="s">
        <v>59</v>
      </c>
      <c r="B9" s="8"/>
      <c r="C9" s="8"/>
      <c r="D9" s="8"/>
      <c r="E9" s="8"/>
      <c r="F9" s="12">
        <v>1.0</v>
      </c>
      <c r="G9" s="12">
        <v>1.0</v>
      </c>
      <c r="H9" s="12">
        <v>0.0</v>
      </c>
      <c r="I9" s="12">
        <v>1.0</v>
      </c>
      <c r="J9" s="12">
        <v>1.0</v>
      </c>
      <c r="K9" s="12">
        <v>0.0</v>
      </c>
      <c r="L9" s="9"/>
      <c r="M9" s="12">
        <v>1.0</v>
      </c>
      <c r="N9" s="12">
        <v>0.0</v>
      </c>
      <c r="O9" s="13">
        <v>1.0</v>
      </c>
      <c r="P9" s="12">
        <v>0.0</v>
      </c>
      <c r="Q9" s="5"/>
      <c r="R9" s="10">
        <f>sum(F9:K9,M9:P9)/(COUNTIF(B9:P9, 1) + (COUNTIF(B9:P9, 0)) + COUNTIF(B9:P9, 0.5))</f>
        <v>0.6</v>
      </c>
      <c r="T9" s="20" t="s">
        <v>60</v>
      </c>
      <c r="U9" s="21">
        <f>H893</f>
        <v>0.8812217195</v>
      </c>
    </row>
    <row r="10">
      <c r="A10" s="7">
        <v>307.0</v>
      </c>
      <c r="B10" s="8">
        <v>43.0</v>
      </c>
      <c r="C10" s="8">
        <v>10.0</v>
      </c>
      <c r="D10" s="8">
        <v>37.25</v>
      </c>
      <c r="E10" s="8">
        <v>-122.25</v>
      </c>
      <c r="F10" s="1"/>
      <c r="G10" s="1"/>
      <c r="H10" s="3" t="s">
        <v>61</v>
      </c>
      <c r="I10" s="3" t="s">
        <v>18</v>
      </c>
      <c r="J10" s="3" t="s">
        <v>62</v>
      </c>
      <c r="K10" s="3" t="s">
        <v>63</v>
      </c>
      <c r="L10" s="9"/>
      <c r="M10" s="1"/>
      <c r="N10" s="1"/>
      <c r="O10" s="4" t="s">
        <v>64</v>
      </c>
      <c r="P10" s="3" t="s">
        <v>65</v>
      </c>
      <c r="Q10" s="5" t="s">
        <v>66</v>
      </c>
      <c r="R10" s="10"/>
      <c r="T10" s="20" t="s">
        <v>67</v>
      </c>
      <c r="U10" s="21">
        <f>I893</f>
        <v>0.8465011287</v>
      </c>
    </row>
    <row r="11">
      <c r="A11" s="11" t="s">
        <v>68</v>
      </c>
      <c r="B11" s="8"/>
      <c r="C11" s="8"/>
      <c r="D11" s="8"/>
      <c r="E11" s="8"/>
      <c r="F11" s="12">
        <v>1.0</v>
      </c>
      <c r="G11" s="12">
        <v>1.0</v>
      </c>
      <c r="H11" s="12">
        <v>1.0</v>
      </c>
      <c r="I11" s="12">
        <v>1.0</v>
      </c>
      <c r="J11" s="12">
        <v>1.0</v>
      </c>
      <c r="K11" s="12">
        <v>0.0</v>
      </c>
      <c r="L11" s="9"/>
      <c r="M11" s="12">
        <v>1.0</v>
      </c>
      <c r="N11" s="12">
        <v>1.0</v>
      </c>
      <c r="O11" s="13">
        <v>1.0</v>
      </c>
      <c r="P11" s="12">
        <v>1.0</v>
      </c>
      <c r="Q11" s="5"/>
      <c r="R11" s="10">
        <f>sum(F11:K11,M11:P11)/(COUNTIF(B11:P11, 1) + (COUNTIF(B11:P11, 0)) + COUNTIF(B11:P11, 0.5))</f>
        <v>0.9</v>
      </c>
      <c r="T11" s="20" t="s">
        <v>69</v>
      </c>
      <c r="U11" s="21">
        <f>J893</f>
        <v>0.9401805869</v>
      </c>
    </row>
    <row r="12">
      <c r="A12" s="7">
        <v>308.0</v>
      </c>
      <c r="B12" s="8">
        <v>43.0</v>
      </c>
      <c r="C12" s="8">
        <v>10.0</v>
      </c>
      <c r="D12" s="8">
        <v>37.3</v>
      </c>
      <c r="E12" s="8">
        <v>-122.3</v>
      </c>
      <c r="F12" s="1"/>
      <c r="G12" s="1"/>
      <c r="H12" s="3" t="s">
        <v>61</v>
      </c>
      <c r="I12" s="3" t="s">
        <v>18</v>
      </c>
      <c r="J12" s="3" t="s">
        <v>70</v>
      </c>
      <c r="K12" s="3" t="s">
        <v>63</v>
      </c>
      <c r="L12" s="9"/>
      <c r="M12" s="1"/>
      <c r="N12" s="1"/>
      <c r="O12" s="22"/>
      <c r="P12" s="3" t="s">
        <v>71</v>
      </c>
      <c r="Q12" s="5" t="s">
        <v>72</v>
      </c>
      <c r="R12" s="10"/>
      <c r="T12" s="20" t="s">
        <v>73</v>
      </c>
      <c r="U12" s="21">
        <f>K893</f>
        <v>0.7607223476</v>
      </c>
    </row>
    <row r="13">
      <c r="A13" s="11" t="s">
        <v>74</v>
      </c>
      <c r="B13" s="8"/>
      <c r="C13" s="8"/>
      <c r="D13" s="8"/>
      <c r="E13" s="8"/>
      <c r="F13" s="12">
        <v>1.0</v>
      </c>
      <c r="G13" s="12">
        <v>1.0</v>
      </c>
      <c r="H13" s="12">
        <v>1.0</v>
      </c>
      <c r="I13" s="12">
        <v>1.0</v>
      </c>
      <c r="J13" s="12">
        <v>1.0</v>
      </c>
      <c r="K13" s="12">
        <v>0.0</v>
      </c>
      <c r="L13" s="9"/>
      <c r="M13" s="12">
        <v>1.0</v>
      </c>
      <c r="N13" s="12">
        <v>1.0</v>
      </c>
      <c r="O13" s="13">
        <v>0.0</v>
      </c>
      <c r="P13" s="12">
        <v>1.0</v>
      </c>
      <c r="Q13" s="5"/>
      <c r="R13" s="10">
        <f>sum(F13:K13,M13:P13)/(COUNTIF(B13:P13, 1) + (COUNTIF(B13:P13, 0)) + COUNTIF(B13:P13, 0.5))</f>
        <v>0.8</v>
      </c>
      <c r="T13" s="20" t="s">
        <v>75</v>
      </c>
      <c r="U13" s="21">
        <f>M893</f>
        <v>0.8904109589</v>
      </c>
    </row>
    <row r="14">
      <c r="A14" s="7">
        <v>309.0</v>
      </c>
      <c r="B14" s="8">
        <v>43.0</v>
      </c>
      <c r="C14" s="8">
        <v>10.0</v>
      </c>
      <c r="D14" s="8">
        <v>37.2</v>
      </c>
      <c r="E14" s="8">
        <v>-121.95</v>
      </c>
      <c r="F14" s="1"/>
      <c r="G14" s="1"/>
      <c r="H14" s="3" t="s">
        <v>61</v>
      </c>
      <c r="I14" s="3" t="s">
        <v>18</v>
      </c>
      <c r="J14" s="3" t="s">
        <v>76</v>
      </c>
      <c r="K14" s="3" t="s">
        <v>63</v>
      </c>
      <c r="L14" s="9"/>
      <c r="M14" s="1"/>
      <c r="N14" s="1"/>
      <c r="O14" s="4" t="s">
        <v>64</v>
      </c>
      <c r="P14" s="3" t="s">
        <v>65</v>
      </c>
      <c r="Q14" s="5" t="s">
        <v>66</v>
      </c>
      <c r="R14" s="10"/>
      <c r="T14" s="20" t="s">
        <v>77</v>
      </c>
      <c r="U14" s="21">
        <f>N893</f>
        <v>0.9206896552</v>
      </c>
    </row>
    <row r="15">
      <c r="A15" s="11" t="s">
        <v>78</v>
      </c>
      <c r="B15" s="8"/>
      <c r="C15" s="8"/>
      <c r="D15" s="8"/>
      <c r="E15" s="8"/>
      <c r="F15" s="12">
        <v>1.0</v>
      </c>
      <c r="G15" s="12">
        <v>1.0</v>
      </c>
      <c r="H15" s="12">
        <v>1.0</v>
      </c>
      <c r="I15" s="12">
        <v>1.0</v>
      </c>
      <c r="J15" s="12">
        <v>1.0</v>
      </c>
      <c r="K15" s="12">
        <v>0.0</v>
      </c>
      <c r="L15" s="9"/>
      <c r="M15" s="12">
        <v>1.0</v>
      </c>
      <c r="N15" s="12">
        <v>1.0</v>
      </c>
      <c r="O15" s="13">
        <v>1.0</v>
      </c>
      <c r="P15" s="12">
        <v>1.0</v>
      </c>
      <c r="Q15" s="5"/>
      <c r="R15" s="10">
        <f>sum(F15:K15,M15:P15)/(COUNTIF(B15:P15, 1) + (COUNTIF(B15:P15, 0)) + COUNTIF(B15:P15, 0.5))</f>
        <v>0.9</v>
      </c>
      <c r="T15" s="20" t="s">
        <v>79</v>
      </c>
      <c r="U15" s="21">
        <f>O893</f>
        <v>0.8471264368</v>
      </c>
    </row>
    <row r="16">
      <c r="A16" s="7">
        <v>310.0</v>
      </c>
      <c r="B16" s="8">
        <v>43.0</v>
      </c>
      <c r="C16" s="8">
        <v>10.0</v>
      </c>
      <c r="D16" s="8">
        <v>37.15</v>
      </c>
      <c r="E16" s="8">
        <v>-121.9</v>
      </c>
      <c r="F16" s="1"/>
      <c r="G16" s="1"/>
      <c r="H16" s="3" t="s">
        <v>61</v>
      </c>
      <c r="I16" s="3" t="s">
        <v>18</v>
      </c>
      <c r="J16" s="3" t="s">
        <v>80</v>
      </c>
      <c r="K16" s="3" t="s">
        <v>63</v>
      </c>
      <c r="L16" s="9"/>
      <c r="M16" s="1"/>
      <c r="N16" s="1"/>
      <c r="O16" s="4" t="s">
        <v>64</v>
      </c>
      <c r="P16" s="3" t="s">
        <v>65</v>
      </c>
      <c r="Q16" s="5" t="s">
        <v>66</v>
      </c>
      <c r="R16" s="10"/>
      <c r="T16" s="16" t="s">
        <v>81</v>
      </c>
      <c r="U16" s="17">
        <f>P893</f>
        <v>0.916091954</v>
      </c>
    </row>
    <row r="17">
      <c r="A17" s="11" t="s">
        <v>82</v>
      </c>
      <c r="B17" s="8"/>
      <c r="C17" s="8"/>
      <c r="D17" s="8"/>
      <c r="E17" s="8"/>
      <c r="F17" s="12">
        <v>1.0</v>
      </c>
      <c r="G17" s="12">
        <v>1.0</v>
      </c>
      <c r="H17" s="12">
        <v>1.0</v>
      </c>
      <c r="I17" s="12">
        <v>1.0</v>
      </c>
      <c r="J17" s="12">
        <v>1.0</v>
      </c>
      <c r="K17" s="12">
        <v>0.0</v>
      </c>
      <c r="L17" s="9"/>
      <c r="M17" s="12">
        <v>1.0</v>
      </c>
      <c r="N17" s="12">
        <v>1.0</v>
      </c>
      <c r="O17" s="13">
        <v>1.0</v>
      </c>
      <c r="P17" s="12">
        <v>1.0</v>
      </c>
      <c r="Q17" s="5"/>
      <c r="R17" s="10">
        <f>sum(F17:K17,M17:P17)/(COUNTIF(B17:P17, 1) + (COUNTIF(B17:P17, 0)) + COUNTIF(B17:P17, 0.5))</f>
        <v>0.9</v>
      </c>
    </row>
    <row r="18">
      <c r="A18" s="7">
        <v>311.0</v>
      </c>
      <c r="B18" s="8">
        <v>43.0</v>
      </c>
      <c r="C18" s="8">
        <v>10.0</v>
      </c>
      <c r="D18" s="8">
        <v>37.1</v>
      </c>
      <c r="E18" s="8">
        <v>-121.85</v>
      </c>
      <c r="F18" s="1"/>
      <c r="G18" s="1"/>
      <c r="H18" s="3" t="s">
        <v>61</v>
      </c>
      <c r="I18" s="3" t="s">
        <v>18</v>
      </c>
      <c r="J18" s="3" t="s">
        <v>83</v>
      </c>
      <c r="K18" s="3" t="s">
        <v>63</v>
      </c>
      <c r="L18" s="9"/>
      <c r="M18" s="1"/>
      <c r="N18" s="1"/>
      <c r="O18" s="4" t="s">
        <v>64</v>
      </c>
      <c r="P18" s="3" t="s">
        <v>65</v>
      </c>
      <c r="Q18" s="5" t="s">
        <v>66</v>
      </c>
      <c r="R18" s="10"/>
    </row>
    <row r="19">
      <c r="A19" s="11" t="s">
        <v>84</v>
      </c>
      <c r="B19" s="8"/>
      <c r="C19" s="8"/>
      <c r="D19" s="8"/>
      <c r="E19" s="8"/>
      <c r="F19" s="12">
        <v>1.0</v>
      </c>
      <c r="G19" s="12">
        <v>1.0</v>
      </c>
      <c r="H19" s="12">
        <v>1.0</v>
      </c>
      <c r="I19" s="12">
        <v>1.0</v>
      </c>
      <c r="J19" s="12">
        <v>1.0</v>
      </c>
      <c r="K19" s="12">
        <v>0.0</v>
      </c>
      <c r="L19" s="9"/>
      <c r="M19" s="12">
        <v>1.0</v>
      </c>
      <c r="N19" s="12">
        <v>1.0</v>
      </c>
      <c r="O19" s="13">
        <v>1.0</v>
      </c>
      <c r="P19" s="12">
        <v>1.0</v>
      </c>
      <c r="Q19" s="5"/>
      <c r="R19" s="10">
        <f>sum(F19:K19,M19:P19)/(COUNTIF(B19:P19, 1) + (COUNTIF(B19:P19, 0)) + COUNTIF(B19:P19, 0.5))</f>
        <v>0.9</v>
      </c>
    </row>
    <row r="20">
      <c r="A20" s="7">
        <v>312.0</v>
      </c>
      <c r="B20" s="8">
        <v>43.0</v>
      </c>
      <c r="C20" s="8">
        <v>10.0</v>
      </c>
      <c r="D20" s="8">
        <v>37.05</v>
      </c>
      <c r="E20" s="8">
        <v>-121.8</v>
      </c>
      <c r="F20" s="1"/>
      <c r="G20" s="1"/>
      <c r="H20" s="3" t="s">
        <v>61</v>
      </c>
      <c r="I20" s="3" t="s">
        <v>18</v>
      </c>
      <c r="J20" s="3" t="s">
        <v>85</v>
      </c>
      <c r="K20" s="3" t="s">
        <v>63</v>
      </c>
      <c r="L20" s="9"/>
      <c r="M20" s="1"/>
      <c r="N20" s="1"/>
      <c r="O20" s="4" t="s">
        <v>64</v>
      </c>
      <c r="P20" s="3" t="s">
        <v>65</v>
      </c>
      <c r="Q20" s="5" t="s">
        <v>66</v>
      </c>
      <c r="R20" s="10"/>
    </row>
    <row r="21">
      <c r="A21" s="11" t="s">
        <v>86</v>
      </c>
      <c r="B21" s="8"/>
      <c r="C21" s="8"/>
      <c r="D21" s="8"/>
      <c r="E21" s="8"/>
      <c r="F21" s="12">
        <v>1.0</v>
      </c>
      <c r="G21" s="12">
        <v>1.0</v>
      </c>
      <c r="H21" s="12">
        <v>1.0</v>
      </c>
      <c r="I21" s="12">
        <v>1.0</v>
      </c>
      <c r="J21" s="12">
        <v>1.0</v>
      </c>
      <c r="K21" s="12">
        <v>0.0</v>
      </c>
      <c r="L21" s="9"/>
      <c r="M21" s="12">
        <v>1.0</v>
      </c>
      <c r="N21" s="12">
        <v>1.0</v>
      </c>
      <c r="O21" s="13">
        <v>1.0</v>
      </c>
      <c r="P21" s="12">
        <v>1.0</v>
      </c>
      <c r="Q21" s="5"/>
      <c r="R21" s="10">
        <f>sum(F21:K21,M21:P21)/(COUNTIF(B21:P21, 1) + (COUNTIF(B21:P21, 0)) + COUNTIF(B21:P21, 0.5))</f>
        <v>0.9</v>
      </c>
    </row>
    <row r="22">
      <c r="A22" s="7">
        <v>313.0</v>
      </c>
      <c r="B22" s="8">
        <v>43.0</v>
      </c>
      <c r="C22" s="8">
        <v>10.0</v>
      </c>
      <c r="D22" s="8">
        <v>37.0</v>
      </c>
      <c r="E22" s="8">
        <v>-121.75</v>
      </c>
      <c r="F22" s="1"/>
      <c r="G22" s="1"/>
      <c r="H22" s="3" t="s">
        <v>61</v>
      </c>
      <c r="I22" s="3" t="s">
        <v>18</v>
      </c>
      <c r="J22" s="3" t="s">
        <v>87</v>
      </c>
      <c r="K22" s="3" t="s">
        <v>63</v>
      </c>
      <c r="L22" s="9"/>
      <c r="M22" s="1"/>
      <c r="N22" s="1"/>
      <c r="O22" s="4" t="s">
        <v>64</v>
      </c>
      <c r="P22" s="3" t="s">
        <v>65</v>
      </c>
      <c r="Q22" s="5" t="s">
        <v>66</v>
      </c>
      <c r="R22" s="10"/>
    </row>
    <row r="23">
      <c r="A23" s="11" t="s">
        <v>88</v>
      </c>
      <c r="B23" s="8"/>
      <c r="C23" s="8"/>
      <c r="D23" s="8"/>
      <c r="E23" s="8"/>
      <c r="F23" s="12">
        <v>1.0</v>
      </c>
      <c r="G23" s="12">
        <v>1.0</v>
      </c>
      <c r="H23" s="12">
        <v>1.0</v>
      </c>
      <c r="I23" s="12">
        <v>1.0</v>
      </c>
      <c r="J23" s="12">
        <v>1.0</v>
      </c>
      <c r="K23" s="12">
        <v>0.0</v>
      </c>
      <c r="L23" s="9"/>
      <c r="M23" s="12">
        <v>1.0</v>
      </c>
      <c r="N23" s="12">
        <v>1.0</v>
      </c>
      <c r="O23" s="13">
        <v>1.0</v>
      </c>
      <c r="P23" s="12">
        <v>1.0</v>
      </c>
      <c r="Q23" s="5"/>
      <c r="R23" s="10">
        <f>sum(F23:K23,M23:P23)/(COUNTIF(B23:P23, 1) + (COUNTIF(B23:P23, 0)) + COUNTIF(B23:P23, 0.5))</f>
        <v>0.9</v>
      </c>
    </row>
    <row r="24">
      <c r="A24" s="7">
        <v>314.0</v>
      </c>
      <c r="B24" s="8">
        <v>43.0</v>
      </c>
      <c r="C24" s="8">
        <v>10.0</v>
      </c>
      <c r="D24" s="8">
        <v>37.3</v>
      </c>
      <c r="E24" s="8">
        <v>-121.85</v>
      </c>
      <c r="F24" s="1"/>
      <c r="G24" s="1"/>
      <c r="H24" s="3" t="s">
        <v>61</v>
      </c>
      <c r="I24" s="3" t="s">
        <v>18</v>
      </c>
      <c r="J24" s="3" t="s">
        <v>89</v>
      </c>
      <c r="K24" s="3" t="s">
        <v>63</v>
      </c>
      <c r="L24" s="9"/>
      <c r="M24" s="1"/>
      <c r="N24" s="1"/>
      <c r="O24" s="22"/>
      <c r="P24" s="3" t="s">
        <v>71</v>
      </c>
      <c r="Q24" s="5" t="s">
        <v>72</v>
      </c>
      <c r="R24" s="10"/>
    </row>
    <row r="25">
      <c r="A25" s="11" t="s">
        <v>90</v>
      </c>
      <c r="B25" s="8"/>
      <c r="C25" s="8"/>
      <c r="D25" s="8"/>
      <c r="E25" s="8"/>
      <c r="F25" s="12">
        <v>1.0</v>
      </c>
      <c r="G25" s="12">
        <v>1.0</v>
      </c>
      <c r="H25" s="12">
        <v>1.0</v>
      </c>
      <c r="I25" s="12">
        <v>1.0</v>
      </c>
      <c r="J25" s="12">
        <v>1.0</v>
      </c>
      <c r="K25" s="12">
        <v>0.0</v>
      </c>
      <c r="L25" s="9"/>
      <c r="M25" s="12">
        <v>1.0</v>
      </c>
      <c r="N25" s="12">
        <v>1.0</v>
      </c>
      <c r="O25" s="13">
        <v>0.0</v>
      </c>
      <c r="P25" s="12">
        <v>1.0</v>
      </c>
      <c r="Q25" s="5"/>
      <c r="R25" s="10">
        <f>sum(F25:K25,M25:P25)/(COUNTIF(B25:P25, 1) + (COUNTIF(B25:P25, 0)) + COUNTIF(B25:P25, 0.5))</f>
        <v>0.8</v>
      </c>
    </row>
    <row r="26">
      <c r="A26" s="7">
        <v>315.0</v>
      </c>
      <c r="B26" s="8">
        <v>43.0</v>
      </c>
      <c r="C26" s="8">
        <v>10.0</v>
      </c>
      <c r="D26" s="8">
        <v>37.35</v>
      </c>
      <c r="E26" s="8">
        <v>-121.9</v>
      </c>
      <c r="F26" s="1"/>
      <c r="G26" s="1"/>
      <c r="H26" s="3" t="s">
        <v>61</v>
      </c>
      <c r="I26" s="3" t="s">
        <v>18</v>
      </c>
      <c r="J26" s="3" t="s">
        <v>91</v>
      </c>
      <c r="K26" s="3" t="s">
        <v>63</v>
      </c>
      <c r="L26" s="9"/>
      <c r="M26" s="1"/>
      <c r="N26" s="1"/>
      <c r="O26" s="22"/>
      <c r="P26" s="3" t="s">
        <v>71</v>
      </c>
      <c r="Q26" s="5" t="s">
        <v>72</v>
      </c>
      <c r="R26" s="10"/>
    </row>
    <row r="27">
      <c r="A27" s="11" t="s">
        <v>92</v>
      </c>
      <c r="B27" s="8"/>
      <c r="C27" s="8"/>
      <c r="D27" s="8"/>
      <c r="E27" s="8"/>
      <c r="F27" s="12">
        <v>1.0</v>
      </c>
      <c r="G27" s="12">
        <v>1.0</v>
      </c>
      <c r="H27" s="12">
        <v>1.0</v>
      </c>
      <c r="I27" s="12">
        <v>1.0</v>
      </c>
      <c r="J27" s="12">
        <v>0.5</v>
      </c>
      <c r="K27" s="12">
        <v>0.0</v>
      </c>
      <c r="L27" s="9"/>
      <c r="M27" s="12">
        <v>1.0</v>
      </c>
      <c r="N27" s="12">
        <v>1.0</v>
      </c>
      <c r="O27" s="13">
        <v>0.0</v>
      </c>
      <c r="P27" s="12">
        <v>1.0</v>
      </c>
      <c r="Q27" s="5"/>
      <c r="R27" s="10">
        <f>sum(F27:K27,M27:P27)/(COUNTIF(B27:P27, 1) + (COUNTIF(B27:P27, 0)) + COUNTIF(B27:P27, 0.5))</f>
        <v>0.75</v>
      </c>
    </row>
    <row r="28">
      <c r="A28" s="7">
        <v>316.0</v>
      </c>
      <c r="B28" s="8">
        <v>43.0</v>
      </c>
      <c r="C28" s="8">
        <v>10.0</v>
      </c>
      <c r="D28" s="8">
        <v>37.4</v>
      </c>
      <c r="E28" s="8">
        <v>-121.95</v>
      </c>
      <c r="F28" s="1"/>
      <c r="G28" s="1"/>
      <c r="H28" s="3" t="s">
        <v>61</v>
      </c>
      <c r="I28" s="3" t="s">
        <v>18</v>
      </c>
      <c r="J28" s="3" t="s">
        <v>93</v>
      </c>
      <c r="K28" s="3" t="s">
        <v>63</v>
      </c>
      <c r="L28" s="9"/>
      <c r="M28" s="1"/>
      <c r="N28" s="1"/>
      <c r="O28" s="4" t="s">
        <v>64</v>
      </c>
      <c r="P28" s="3" t="s">
        <v>65</v>
      </c>
      <c r="Q28" s="5" t="s">
        <v>66</v>
      </c>
      <c r="R28" s="10"/>
    </row>
    <row r="29">
      <c r="A29" s="11" t="s">
        <v>94</v>
      </c>
      <c r="B29" s="8"/>
      <c r="C29" s="8"/>
      <c r="D29" s="9"/>
      <c r="E29" s="9"/>
      <c r="F29" s="11">
        <v>1.0</v>
      </c>
      <c r="G29" s="11">
        <v>1.0</v>
      </c>
      <c r="H29" s="12">
        <v>1.0</v>
      </c>
      <c r="I29" s="12">
        <v>1.0</v>
      </c>
      <c r="J29" s="12">
        <v>1.0</v>
      </c>
      <c r="K29" s="12">
        <v>0.0</v>
      </c>
      <c r="L29" s="9"/>
      <c r="M29" s="12">
        <v>1.0</v>
      </c>
      <c r="N29" s="12">
        <v>1.0</v>
      </c>
      <c r="O29" s="13">
        <v>1.0</v>
      </c>
      <c r="P29" s="12">
        <v>1.0</v>
      </c>
      <c r="Q29" s="5"/>
      <c r="R29" s="10">
        <f>sum(F29:K29,M29:P29)/(COUNTIF(B29:P29, 1) + (COUNTIF(B29:P29, 0)) + COUNTIF(B29:P29, 0.5))</f>
        <v>0.9</v>
      </c>
    </row>
    <row r="30">
      <c r="A30" s="7">
        <v>246.0</v>
      </c>
      <c r="B30" s="8">
        <v>43.0</v>
      </c>
      <c r="C30" s="8">
        <v>29.0</v>
      </c>
      <c r="D30" s="9"/>
      <c r="E30" s="9"/>
      <c r="F30" s="7">
        <v>37.68333</v>
      </c>
      <c r="G30" s="7">
        <v>-122.067</v>
      </c>
      <c r="H30" s="3" t="s">
        <v>95</v>
      </c>
      <c r="I30" s="3" t="s">
        <v>18</v>
      </c>
      <c r="J30" s="3" t="s">
        <v>96</v>
      </c>
      <c r="K30" s="3" t="s">
        <v>97</v>
      </c>
      <c r="L30" s="9"/>
      <c r="M30" s="3" t="s">
        <v>98</v>
      </c>
      <c r="N30" s="3" t="s">
        <v>99</v>
      </c>
      <c r="O30" s="4" t="s">
        <v>100</v>
      </c>
      <c r="P30" s="3" t="s">
        <v>24</v>
      </c>
      <c r="Q30" s="5" t="s">
        <v>101</v>
      </c>
      <c r="R30" s="10"/>
    </row>
    <row r="31">
      <c r="A31" s="11" t="s">
        <v>102</v>
      </c>
      <c r="B31" s="8"/>
      <c r="C31" s="8"/>
      <c r="D31" s="8"/>
      <c r="E31" s="8"/>
      <c r="F31" s="12">
        <v>1.0</v>
      </c>
      <c r="G31" s="12">
        <v>1.0</v>
      </c>
      <c r="H31" s="12">
        <v>1.0</v>
      </c>
      <c r="I31" s="12">
        <v>1.0</v>
      </c>
      <c r="J31" s="12">
        <v>1.0</v>
      </c>
      <c r="K31" s="12">
        <v>1.0</v>
      </c>
      <c r="L31" s="2"/>
      <c r="M31" s="12">
        <v>1.0</v>
      </c>
      <c r="N31" s="12">
        <v>1.0</v>
      </c>
      <c r="O31" s="13">
        <v>1.0</v>
      </c>
      <c r="P31" s="12">
        <v>1.0</v>
      </c>
      <c r="Q31" s="5"/>
      <c r="R31" s="10">
        <f>sum(F31:K31,M31:P31)/(COUNTIF(B31:P31, 1) + (COUNTIF(B31:P31, 0)) + COUNTIF(B31:P31, 0.5))</f>
        <v>1</v>
      </c>
    </row>
    <row r="32">
      <c r="A32" s="7">
        <v>329.0</v>
      </c>
      <c r="B32" s="8">
        <v>43.0</v>
      </c>
      <c r="C32" s="8">
        <v>43.0</v>
      </c>
      <c r="D32" s="8">
        <v>35.3733</v>
      </c>
      <c r="E32" s="8">
        <v>-119.019</v>
      </c>
      <c r="F32" s="1"/>
      <c r="G32" s="1"/>
      <c r="H32" s="3" t="s">
        <v>103</v>
      </c>
      <c r="I32" s="3" t="s">
        <v>18</v>
      </c>
      <c r="J32" s="3" t="s">
        <v>104</v>
      </c>
      <c r="K32" s="3" t="s">
        <v>105</v>
      </c>
      <c r="L32" s="2" t="s">
        <v>106</v>
      </c>
      <c r="M32" s="3" t="s">
        <v>107</v>
      </c>
      <c r="N32" s="3" t="s">
        <v>108</v>
      </c>
      <c r="O32" s="4" t="s">
        <v>109</v>
      </c>
      <c r="P32" s="3" t="s">
        <v>24</v>
      </c>
      <c r="Q32" s="5" t="s">
        <v>110</v>
      </c>
      <c r="R32" s="10"/>
    </row>
    <row r="33">
      <c r="A33" s="11" t="s">
        <v>111</v>
      </c>
      <c r="B33" s="8"/>
      <c r="C33" s="8"/>
      <c r="D33" s="8"/>
      <c r="E33" s="8"/>
      <c r="F33" s="12">
        <v>1.0</v>
      </c>
      <c r="G33" s="12">
        <v>1.0</v>
      </c>
      <c r="H33" s="12">
        <v>1.0</v>
      </c>
      <c r="I33" s="12">
        <v>1.0</v>
      </c>
      <c r="J33" s="12">
        <v>1.0</v>
      </c>
      <c r="K33" s="12">
        <v>1.0</v>
      </c>
      <c r="L33" s="2"/>
      <c r="M33" s="12">
        <v>1.0</v>
      </c>
      <c r="N33" s="12">
        <v>0.0</v>
      </c>
      <c r="O33" s="13">
        <v>1.0</v>
      </c>
      <c r="P33" s="12">
        <v>1.0</v>
      </c>
      <c r="Q33" s="5"/>
      <c r="R33" s="10">
        <f>sum(F33:K33,M33:P33)/(COUNTIF(B33:P33, 1) + (COUNTIF(B33:P33, 0)) + COUNTIF(B33:P33, 0.5))</f>
        <v>0.9</v>
      </c>
    </row>
    <row r="34">
      <c r="A34" s="7">
        <v>330.0</v>
      </c>
      <c r="B34" s="8">
        <v>43.0</v>
      </c>
      <c r="C34" s="8">
        <v>43.0</v>
      </c>
      <c r="D34" s="8">
        <v>36.1558</v>
      </c>
      <c r="E34" s="8">
        <v>-118.917</v>
      </c>
      <c r="F34" s="1"/>
      <c r="G34" s="1"/>
      <c r="H34" s="3" t="s">
        <v>112</v>
      </c>
      <c r="I34" s="3" t="s">
        <v>18</v>
      </c>
      <c r="J34" s="3" t="s">
        <v>113</v>
      </c>
      <c r="K34" s="1"/>
      <c r="L34" s="2" t="s">
        <v>114</v>
      </c>
      <c r="M34" s="3" t="s">
        <v>107</v>
      </c>
      <c r="N34" s="3" t="s">
        <v>108</v>
      </c>
      <c r="O34" s="4" t="s">
        <v>109</v>
      </c>
      <c r="P34" s="3" t="s">
        <v>24</v>
      </c>
      <c r="Q34" s="5" t="s">
        <v>110</v>
      </c>
      <c r="R34" s="10"/>
    </row>
    <row r="35">
      <c r="A35" s="11" t="s">
        <v>115</v>
      </c>
      <c r="B35" s="8"/>
      <c r="C35" s="8"/>
      <c r="D35" s="8"/>
      <c r="E35" s="8"/>
      <c r="F35" s="12">
        <v>1.0</v>
      </c>
      <c r="G35" s="12">
        <v>1.0</v>
      </c>
      <c r="H35" s="12">
        <v>1.0</v>
      </c>
      <c r="I35" s="12">
        <v>1.0</v>
      </c>
      <c r="J35" s="12">
        <v>1.0</v>
      </c>
      <c r="K35" s="12">
        <v>1.0</v>
      </c>
      <c r="L35" s="2"/>
      <c r="M35" s="12">
        <v>1.0</v>
      </c>
      <c r="N35" s="12">
        <v>0.0</v>
      </c>
      <c r="O35" s="13">
        <v>1.0</v>
      </c>
      <c r="P35" s="12">
        <v>1.0</v>
      </c>
      <c r="Q35" s="5"/>
      <c r="R35" s="10">
        <f>sum(F35:K35,M35:P35)/(COUNTIF(B35:P35, 1) + (COUNTIF(B35:P35, 0)) + COUNTIF(B35:P35, 0.5))</f>
        <v>0.9</v>
      </c>
    </row>
    <row r="36">
      <c r="A36" s="7">
        <v>331.0</v>
      </c>
      <c r="B36" s="8">
        <v>43.0</v>
      </c>
      <c r="C36" s="8">
        <v>43.0</v>
      </c>
      <c r="D36" s="8">
        <v>37.0</v>
      </c>
      <c r="E36" s="8">
        <v>-120.5</v>
      </c>
      <c r="F36" s="1"/>
      <c r="G36" s="1"/>
      <c r="H36" s="3" t="s">
        <v>116</v>
      </c>
      <c r="I36" s="3" t="s">
        <v>18</v>
      </c>
      <c r="J36" s="3" t="s">
        <v>117</v>
      </c>
      <c r="K36" s="1"/>
      <c r="L36" s="2" t="s">
        <v>118</v>
      </c>
      <c r="M36" s="3" t="s">
        <v>107</v>
      </c>
      <c r="N36" s="3" t="s">
        <v>108</v>
      </c>
      <c r="O36" s="4" t="s">
        <v>109</v>
      </c>
      <c r="P36" s="3" t="s">
        <v>24</v>
      </c>
      <c r="Q36" s="5" t="s">
        <v>110</v>
      </c>
      <c r="R36" s="10"/>
    </row>
    <row r="37">
      <c r="A37" s="11" t="s">
        <v>119</v>
      </c>
      <c r="B37" s="8"/>
      <c r="C37" s="8"/>
      <c r="D37" s="8"/>
      <c r="E37" s="8"/>
      <c r="F37" s="12">
        <v>1.0</v>
      </c>
      <c r="G37" s="12">
        <v>1.0</v>
      </c>
      <c r="H37" s="12">
        <v>1.0</v>
      </c>
      <c r="I37" s="12">
        <v>1.0</v>
      </c>
      <c r="J37" s="12">
        <v>1.0</v>
      </c>
      <c r="K37" s="12">
        <v>1.0</v>
      </c>
      <c r="L37" s="2"/>
      <c r="M37" s="12">
        <v>1.0</v>
      </c>
      <c r="N37" s="12">
        <v>1.0</v>
      </c>
      <c r="O37" s="13">
        <v>1.0</v>
      </c>
      <c r="P37" s="12">
        <v>1.0</v>
      </c>
      <c r="Q37" s="5"/>
      <c r="R37" s="10">
        <f>sum(F37:K37,M37:P37)/(COUNTIF(B37:P37, 1) + (COUNTIF(B37:P37, 0)) + COUNTIF(B37:P37, 0.5))</f>
        <v>1</v>
      </c>
    </row>
    <row r="38">
      <c r="A38" s="7">
        <v>251.0</v>
      </c>
      <c r="B38" s="8">
        <v>194.0</v>
      </c>
      <c r="C38" s="8">
        <v>151.0</v>
      </c>
      <c r="D38" s="8">
        <v>36.9739</v>
      </c>
      <c r="E38" s="8">
        <v>-108.759</v>
      </c>
      <c r="F38" s="1"/>
      <c r="G38" s="1"/>
      <c r="H38" s="3" t="s">
        <v>120</v>
      </c>
      <c r="I38" s="3" t="s">
        <v>18</v>
      </c>
      <c r="J38" s="3" t="s">
        <v>121</v>
      </c>
      <c r="K38" s="1"/>
      <c r="L38" s="2" t="s">
        <v>122</v>
      </c>
      <c r="M38" s="3" t="s">
        <v>123</v>
      </c>
      <c r="N38" s="3" t="s">
        <v>54</v>
      </c>
      <c r="O38" s="4" t="s">
        <v>124</v>
      </c>
      <c r="P38" s="3" t="s">
        <v>24</v>
      </c>
      <c r="Q38" s="5" t="s">
        <v>125</v>
      </c>
      <c r="R38" s="10"/>
    </row>
    <row r="39">
      <c r="A39" s="11" t="s">
        <v>126</v>
      </c>
      <c r="B39" s="8"/>
      <c r="C39" s="8"/>
      <c r="D39" s="8"/>
      <c r="E39" s="8"/>
      <c r="F39" s="12">
        <v>1.0</v>
      </c>
      <c r="G39" s="12">
        <v>1.0</v>
      </c>
      <c r="H39" s="12">
        <v>1.0</v>
      </c>
      <c r="I39" s="12">
        <v>1.0</v>
      </c>
      <c r="J39" s="12">
        <v>1.0</v>
      </c>
      <c r="K39" s="12">
        <v>1.0</v>
      </c>
      <c r="L39" s="2"/>
      <c r="M39" s="12">
        <v>1.0</v>
      </c>
      <c r="N39" s="12">
        <v>1.0</v>
      </c>
      <c r="O39" s="13">
        <v>1.0</v>
      </c>
      <c r="P39" s="12">
        <v>0.0</v>
      </c>
      <c r="Q39" s="5"/>
      <c r="R39" s="10">
        <f>sum(F39:K39,M39:P39)/(COUNTIF(B39:P39, 1) + (COUNTIF(B39:P39, 0)) + COUNTIF(B39:P39, 0.5))</f>
        <v>0.9</v>
      </c>
    </row>
    <row r="40">
      <c r="A40" s="7">
        <v>327.0</v>
      </c>
      <c r="B40" s="8">
        <v>194.0</v>
      </c>
      <c r="C40" s="8">
        <v>199.0</v>
      </c>
      <c r="D40" s="8">
        <v>34.0</v>
      </c>
      <c r="E40" s="8">
        <v>-114.5</v>
      </c>
      <c r="F40" s="1"/>
      <c r="G40" s="1"/>
      <c r="H40" s="3" t="s">
        <v>127</v>
      </c>
      <c r="I40" s="3" t="s">
        <v>18</v>
      </c>
      <c r="J40" s="3" t="s">
        <v>128</v>
      </c>
      <c r="K40" s="1"/>
      <c r="L40" s="2" t="s">
        <v>129</v>
      </c>
      <c r="M40" s="3" t="s">
        <v>130</v>
      </c>
      <c r="N40" s="3" t="s">
        <v>131</v>
      </c>
      <c r="O40" s="13" t="s">
        <v>132</v>
      </c>
      <c r="P40" s="3" t="s">
        <v>24</v>
      </c>
      <c r="Q40" s="5" t="s">
        <v>133</v>
      </c>
      <c r="R40" s="10"/>
    </row>
    <row r="41">
      <c r="A41" s="11" t="s">
        <v>134</v>
      </c>
      <c r="B41" s="8"/>
      <c r="C41" s="8"/>
      <c r="D41" s="8"/>
      <c r="E41" s="8"/>
      <c r="F41" s="12">
        <v>1.0</v>
      </c>
      <c r="G41" s="12">
        <v>1.0</v>
      </c>
      <c r="H41" s="12">
        <v>1.0</v>
      </c>
      <c r="I41" s="12">
        <v>1.0</v>
      </c>
      <c r="J41" s="12">
        <v>1.0</v>
      </c>
      <c r="K41" s="12">
        <v>1.0</v>
      </c>
      <c r="L41" s="2"/>
      <c r="M41" s="12">
        <v>1.0</v>
      </c>
      <c r="N41" s="12">
        <v>1.0</v>
      </c>
      <c r="O41" s="13">
        <v>1.0</v>
      </c>
      <c r="P41" s="12">
        <v>0.0</v>
      </c>
      <c r="Q41" s="5"/>
      <c r="R41" s="10">
        <f>sum(F41:K41,M41:P41)/(COUNTIF(B41:P41, 1) + (COUNTIF(B41:P41, 0)) + COUNTIF(B41:P41, 0.5))</f>
        <v>0.9</v>
      </c>
    </row>
    <row r="42">
      <c r="A42" s="7">
        <v>394.0</v>
      </c>
      <c r="B42" s="8">
        <v>251.0</v>
      </c>
      <c r="C42" s="8">
        <v>34.0</v>
      </c>
      <c r="D42" s="8">
        <v>33.0867</v>
      </c>
      <c r="E42" s="8">
        <v>-110.961</v>
      </c>
      <c r="F42" s="1"/>
      <c r="G42" s="1"/>
      <c r="H42" s="3" t="s">
        <v>135</v>
      </c>
      <c r="I42" s="3" t="s">
        <v>18</v>
      </c>
      <c r="J42" s="3" t="s">
        <v>136</v>
      </c>
      <c r="K42" s="1"/>
      <c r="L42" s="2" t="s">
        <v>137</v>
      </c>
      <c r="M42" s="3" t="s">
        <v>138</v>
      </c>
      <c r="N42" s="3" t="s">
        <v>139</v>
      </c>
      <c r="O42" s="4" t="s">
        <v>140</v>
      </c>
      <c r="P42" s="3" t="s">
        <v>24</v>
      </c>
      <c r="Q42" s="5" t="s">
        <v>141</v>
      </c>
      <c r="R42" s="10"/>
    </row>
    <row r="43">
      <c r="A43" s="11" t="s">
        <v>142</v>
      </c>
      <c r="B43" s="8"/>
      <c r="C43" s="8"/>
      <c r="D43" s="8"/>
      <c r="E43" s="8"/>
      <c r="F43" s="12">
        <v>1.0</v>
      </c>
      <c r="G43" s="12">
        <v>1.0</v>
      </c>
      <c r="H43" s="12">
        <v>1.0</v>
      </c>
      <c r="I43" s="12">
        <v>1.0</v>
      </c>
      <c r="J43" s="12">
        <v>1.0</v>
      </c>
      <c r="K43" s="12">
        <v>1.0</v>
      </c>
      <c r="L43" s="2"/>
      <c r="M43" s="12">
        <v>1.0</v>
      </c>
      <c r="N43" s="12">
        <v>1.0</v>
      </c>
      <c r="O43" s="13">
        <v>0.5</v>
      </c>
      <c r="P43" s="12">
        <v>1.0</v>
      </c>
      <c r="Q43" s="5"/>
      <c r="R43" s="10">
        <f>sum(F43:K43,M43:P43)/(COUNTIF(B43:P43, 1) + (COUNTIF(B43:P43, 0)) + COUNTIF(B43:P43, 0.5))</f>
        <v>0.95</v>
      </c>
    </row>
    <row r="44">
      <c r="A44" s="7">
        <v>395.0</v>
      </c>
      <c r="B44" s="8">
        <v>251.0</v>
      </c>
      <c r="C44" s="8">
        <v>34.0</v>
      </c>
      <c r="D44" s="8">
        <v>32.8711</v>
      </c>
      <c r="E44" s="8">
        <v>-114.647</v>
      </c>
      <c r="F44" s="1"/>
      <c r="G44" s="1"/>
      <c r="H44" s="3" t="s">
        <v>143</v>
      </c>
      <c r="I44" s="3" t="s">
        <v>18</v>
      </c>
      <c r="J44" s="3" t="s">
        <v>144</v>
      </c>
      <c r="K44" s="1"/>
      <c r="L44" s="2" t="s">
        <v>145</v>
      </c>
      <c r="M44" s="3" t="s">
        <v>146</v>
      </c>
      <c r="N44" s="3" t="s">
        <v>139</v>
      </c>
      <c r="O44" s="4" t="s">
        <v>140</v>
      </c>
      <c r="P44" s="3" t="s">
        <v>24</v>
      </c>
      <c r="Q44" s="5" t="s">
        <v>147</v>
      </c>
      <c r="R44" s="10"/>
    </row>
    <row r="45">
      <c r="A45" s="11" t="s">
        <v>148</v>
      </c>
      <c r="B45" s="8"/>
      <c r="C45" s="8"/>
      <c r="D45" s="8"/>
      <c r="E45" s="8"/>
      <c r="F45" s="12">
        <v>1.0</v>
      </c>
      <c r="G45" s="12">
        <v>1.0</v>
      </c>
      <c r="H45" s="12">
        <v>1.0</v>
      </c>
      <c r="I45" s="12">
        <v>1.0</v>
      </c>
      <c r="J45" s="12">
        <v>1.0</v>
      </c>
      <c r="K45" s="12">
        <v>1.0</v>
      </c>
      <c r="L45" s="2"/>
      <c r="M45" s="12">
        <v>1.0</v>
      </c>
      <c r="N45" s="12">
        <v>1.0</v>
      </c>
      <c r="O45" s="13">
        <v>0.5</v>
      </c>
      <c r="P45" s="12">
        <v>1.0</v>
      </c>
      <c r="Q45" s="5"/>
      <c r="R45" s="10">
        <f>sum(F45:K45,M45:P45)/(COUNTIF(B45:P45, 1) + (COUNTIF(B45:P45, 0)) + COUNTIF(B45:P45, 0.5))</f>
        <v>0.95</v>
      </c>
    </row>
    <row r="46">
      <c r="A46" s="7">
        <v>396.0</v>
      </c>
      <c r="B46" s="8">
        <v>251.0</v>
      </c>
      <c r="C46" s="8">
        <v>34.0</v>
      </c>
      <c r="D46" s="8">
        <v>32.9605</v>
      </c>
      <c r="E46" s="8">
        <v>-110.899</v>
      </c>
      <c r="F46" s="1"/>
      <c r="G46" s="1"/>
      <c r="H46" s="3" t="s">
        <v>149</v>
      </c>
      <c r="I46" s="3" t="s">
        <v>18</v>
      </c>
      <c r="J46" s="3" t="s">
        <v>150</v>
      </c>
      <c r="K46" s="1"/>
      <c r="L46" s="2" t="s">
        <v>137</v>
      </c>
      <c r="M46" s="3" t="s">
        <v>151</v>
      </c>
      <c r="N46" s="3" t="s">
        <v>139</v>
      </c>
      <c r="O46" s="4" t="s">
        <v>140</v>
      </c>
      <c r="P46" s="3" t="s">
        <v>24</v>
      </c>
      <c r="Q46" s="5" t="s">
        <v>152</v>
      </c>
      <c r="R46" s="10"/>
    </row>
    <row r="47">
      <c r="A47" s="11" t="s">
        <v>153</v>
      </c>
      <c r="B47" s="8"/>
      <c r="C47" s="8"/>
      <c r="D47" s="8"/>
      <c r="E47" s="8"/>
      <c r="F47" s="12">
        <v>1.0</v>
      </c>
      <c r="G47" s="12">
        <v>1.0</v>
      </c>
      <c r="H47" s="12">
        <v>1.0</v>
      </c>
      <c r="I47" s="12">
        <v>1.0</v>
      </c>
      <c r="J47" s="12">
        <v>1.0</v>
      </c>
      <c r="K47" s="12">
        <v>1.0</v>
      </c>
      <c r="L47" s="2"/>
      <c r="M47" s="12">
        <v>1.0</v>
      </c>
      <c r="N47" s="12">
        <v>1.0</v>
      </c>
      <c r="O47" s="13">
        <v>0.5</v>
      </c>
      <c r="P47" s="12">
        <v>1.0</v>
      </c>
      <c r="Q47" s="5"/>
      <c r="R47" s="10">
        <f>sum(F47:K47,M47:P47)/(COUNTIF(B47:P47, 1) + (COUNTIF(B47:P47, 0)) + COUNTIF(B47:P47, 0.5))</f>
        <v>0.95</v>
      </c>
    </row>
    <row r="48">
      <c r="A48" s="7">
        <v>397.0</v>
      </c>
      <c r="B48" s="8">
        <v>251.0</v>
      </c>
      <c r="C48" s="8">
        <v>34.0</v>
      </c>
      <c r="D48" s="8">
        <v>33.0511</v>
      </c>
      <c r="E48" s="8">
        <v>-110.917</v>
      </c>
      <c r="F48" s="1"/>
      <c r="G48" s="1"/>
      <c r="H48" s="3" t="s">
        <v>154</v>
      </c>
      <c r="I48" s="3" t="s">
        <v>18</v>
      </c>
      <c r="J48" s="3" t="s">
        <v>155</v>
      </c>
      <c r="K48" s="1"/>
      <c r="L48" s="2" t="s">
        <v>137</v>
      </c>
      <c r="M48" s="3" t="s">
        <v>156</v>
      </c>
      <c r="N48" s="3" t="s">
        <v>139</v>
      </c>
      <c r="O48" s="4" t="s">
        <v>140</v>
      </c>
      <c r="P48" s="3" t="s">
        <v>24</v>
      </c>
      <c r="Q48" s="5" t="s">
        <v>157</v>
      </c>
      <c r="R48" s="10"/>
    </row>
    <row r="49">
      <c r="A49" s="11" t="s">
        <v>158</v>
      </c>
      <c r="B49" s="8"/>
      <c r="C49" s="8"/>
      <c r="D49" s="8"/>
      <c r="E49" s="8"/>
      <c r="F49" s="12">
        <v>1.0</v>
      </c>
      <c r="G49" s="12">
        <v>1.0</v>
      </c>
      <c r="H49" s="12">
        <v>1.0</v>
      </c>
      <c r="I49" s="12">
        <v>1.0</v>
      </c>
      <c r="J49" s="12">
        <v>1.0</v>
      </c>
      <c r="K49" s="12">
        <v>1.0</v>
      </c>
      <c r="L49" s="2"/>
      <c r="M49" s="12">
        <v>1.0</v>
      </c>
      <c r="N49" s="12">
        <v>1.0</v>
      </c>
      <c r="O49" s="13">
        <v>0.5</v>
      </c>
      <c r="P49" s="12">
        <v>1.0</v>
      </c>
      <c r="Q49" s="5"/>
      <c r="R49" s="10">
        <f>sum(F49:K49,M49:P49)/(COUNTIF(B49:P49, 1) + (COUNTIF(B49:P49, 0)) + COUNTIF(B49:P49, 0.5))</f>
        <v>0.95</v>
      </c>
    </row>
    <row r="50">
      <c r="A50" s="7">
        <v>398.0</v>
      </c>
      <c r="B50" s="8">
        <v>251.0</v>
      </c>
      <c r="C50" s="8">
        <v>34.0</v>
      </c>
      <c r="D50" s="8">
        <v>33.0867</v>
      </c>
      <c r="E50" s="8">
        <v>-110.961</v>
      </c>
      <c r="F50" s="1"/>
      <c r="G50" s="1"/>
      <c r="H50" s="3" t="s">
        <v>135</v>
      </c>
      <c r="I50" s="3" t="s">
        <v>18</v>
      </c>
      <c r="J50" s="3" t="s">
        <v>159</v>
      </c>
      <c r="K50" s="1"/>
      <c r="L50" s="2" t="s">
        <v>137</v>
      </c>
      <c r="M50" s="3" t="s">
        <v>160</v>
      </c>
      <c r="N50" s="3" t="s">
        <v>139</v>
      </c>
      <c r="O50" s="4" t="s">
        <v>140</v>
      </c>
      <c r="P50" s="3" t="s">
        <v>24</v>
      </c>
      <c r="Q50" s="5" t="s">
        <v>161</v>
      </c>
      <c r="R50" s="10"/>
    </row>
    <row r="51">
      <c r="A51" s="11" t="s">
        <v>162</v>
      </c>
      <c r="B51" s="8"/>
      <c r="C51" s="8"/>
      <c r="D51" s="8"/>
      <c r="E51" s="8"/>
      <c r="F51" s="12">
        <v>1.0</v>
      </c>
      <c r="G51" s="12">
        <v>1.0</v>
      </c>
      <c r="H51" s="12">
        <v>1.0</v>
      </c>
      <c r="I51" s="12">
        <v>1.0</v>
      </c>
      <c r="J51" s="12">
        <v>1.0</v>
      </c>
      <c r="K51" s="12">
        <v>1.0</v>
      </c>
      <c r="L51" s="2"/>
      <c r="M51" s="12">
        <v>1.0</v>
      </c>
      <c r="N51" s="12">
        <v>1.0</v>
      </c>
      <c r="O51" s="13">
        <v>0.5</v>
      </c>
      <c r="P51" s="12">
        <v>1.0</v>
      </c>
      <c r="Q51" s="5"/>
      <c r="R51" s="10">
        <f>sum(F51:K51,M51:P51)/(COUNTIF(B51:P51, 1) + (COUNTIF(B51:P51, 0)) + COUNTIF(B51:P51, 0.5))</f>
        <v>0.95</v>
      </c>
    </row>
    <row r="52">
      <c r="A52" s="7">
        <v>399.0</v>
      </c>
      <c r="B52" s="8">
        <v>251.0</v>
      </c>
      <c r="C52" s="8">
        <v>34.0</v>
      </c>
      <c r="D52" s="8">
        <v>33.98</v>
      </c>
      <c r="E52" s="8">
        <v>-112.741</v>
      </c>
      <c r="F52" s="1"/>
      <c r="G52" s="1"/>
      <c r="H52" s="3" t="s">
        <v>163</v>
      </c>
      <c r="I52" s="3" t="s">
        <v>18</v>
      </c>
      <c r="J52" s="3" t="s">
        <v>164</v>
      </c>
      <c r="K52" s="1"/>
      <c r="L52" s="2" t="s">
        <v>165</v>
      </c>
      <c r="M52" s="3" t="s">
        <v>166</v>
      </c>
      <c r="N52" s="3" t="s">
        <v>139</v>
      </c>
      <c r="O52" s="4" t="s">
        <v>140</v>
      </c>
      <c r="P52" s="3" t="s">
        <v>24</v>
      </c>
      <c r="Q52" s="5" t="s">
        <v>167</v>
      </c>
      <c r="R52" s="10"/>
    </row>
    <row r="53">
      <c r="A53" s="11" t="s">
        <v>168</v>
      </c>
      <c r="B53" s="8"/>
      <c r="C53" s="8"/>
      <c r="D53" s="8"/>
      <c r="E53" s="8"/>
      <c r="F53" s="12">
        <v>1.0</v>
      </c>
      <c r="G53" s="12">
        <v>1.0</v>
      </c>
      <c r="H53" s="12">
        <v>1.0</v>
      </c>
      <c r="I53" s="12">
        <v>1.0</v>
      </c>
      <c r="J53" s="12">
        <v>1.0</v>
      </c>
      <c r="K53" s="12">
        <v>1.0</v>
      </c>
      <c r="L53" s="2"/>
      <c r="M53" s="12">
        <v>1.0</v>
      </c>
      <c r="N53" s="12">
        <v>1.0</v>
      </c>
      <c r="O53" s="13">
        <v>0.5</v>
      </c>
      <c r="P53" s="12">
        <v>1.0</v>
      </c>
      <c r="Q53" s="5"/>
      <c r="R53" s="10">
        <f>sum(F53:K53,M53:P53)/(COUNTIF(B53:P53, 1) + (COUNTIF(B53:P53, 0)) + COUNTIF(B53:P53, 0.5))</f>
        <v>0.95</v>
      </c>
    </row>
    <row r="54">
      <c r="A54" s="7">
        <v>400.0</v>
      </c>
      <c r="B54" s="8">
        <v>251.0</v>
      </c>
      <c r="C54" s="8">
        <v>34.0</v>
      </c>
      <c r="D54" s="8">
        <v>33.98</v>
      </c>
      <c r="E54" s="8">
        <v>-112.741</v>
      </c>
      <c r="F54" s="1"/>
      <c r="G54" s="1"/>
      <c r="H54" s="3" t="s">
        <v>169</v>
      </c>
      <c r="I54" s="3" t="s">
        <v>18</v>
      </c>
      <c r="J54" s="3" t="s">
        <v>170</v>
      </c>
      <c r="K54" s="1"/>
      <c r="L54" s="2" t="s">
        <v>165</v>
      </c>
      <c r="M54" s="3" t="s">
        <v>171</v>
      </c>
      <c r="N54" s="3" t="s">
        <v>139</v>
      </c>
      <c r="O54" s="4" t="s">
        <v>140</v>
      </c>
      <c r="P54" s="3" t="s">
        <v>24</v>
      </c>
      <c r="Q54" s="5" t="s">
        <v>167</v>
      </c>
      <c r="R54" s="10"/>
    </row>
    <row r="55">
      <c r="A55" s="11" t="s">
        <v>172</v>
      </c>
      <c r="B55" s="8"/>
      <c r="C55" s="8"/>
      <c r="D55" s="8"/>
      <c r="E55" s="8"/>
      <c r="F55" s="12">
        <v>1.0</v>
      </c>
      <c r="G55" s="12">
        <v>1.0</v>
      </c>
      <c r="H55" s="12">
        <v>1.0</v>
      </c>
      <c r="I55" s="12">
        <v>1.0</v>
      </c>
      <c r="J55" s="12">
        <v>1.0</v>
      </c>
      <c r="K55" s="12">
        <v>1.0</v>
      </c>
      <c r="L55" s="2"/>
      <c r="M55" s="12">
        <v>1.0</v>
      </c>
      <c r="N55" s="12">
        <v>1.0</v>
      </c>
      <c r="O55" s="13">
        <v>0.5</v>
      </c>
      <c r="P55" s="12">
        <v>1.0</v>
      </c>
      <c r="Q55" s="5"/>
      <c r="R55" s="10">
        <f>sum(F55:K55,M55:P55)/(COUNTIF(B55:P55, 1) + (COUNTIF(B55:P55, 0)) + COUNTIF(B55:P55, 0.5))</f>
        <v>0.95</v>
      </c>
    </row>
    <row r="56">
      <c r="A56" s="7">
        <v>401.0</v>
      </c>
      <c r="B56" s="8">
        <v>251.0</v>
      </c>
      <c r="C56" s="8">
        <v>34.0</v>
      </c>
      <c r="D56" s="8">
        <v>33.0867</v>
      </c>
      <c r="E56" s="8">
        <v>-110.961</v>
      </c>
      <c r="F56" s="1"/>
      <c r="G56" s="1"/>
      <c r="H56" s="3" t="s">
        <v>135</v>
      </c>
      <c r="I56" s="3" t="s">
        <v>18</v>
      </c>
      <c r="J56" s="3" t="s">
        <v>173</v>
      </c>
      <c r="K56" s="1"/>
      <c r="L56" s="2" t="s">
        <v>137</v>
      </c>
      <c r="M56" s="3" t="s">
        <v>174</v>
      </c>
      <c r="N56" s="3" t="s">
        <v>139</v>
      </c>
      <c r="O56" s="4" t="s">
        <v>140</v>
      </c>
      <c r="P56" s="3" t="s">
        <v>56</v>
      </c>
      <c r="Q56" s="5" t="s">
        <v>175</v>
      </c>
      <c r="R56" s="10"/>
    </row>
    <row r="57">
      <c r="A57" s="11" t="s">
        <v>176</v>
      </c>
      <c r="B57" s="8"/>
      <c r="C57" s="8"/>
      <c r="D57" s="8"/>
      <c r="E57" s="8"/>
      <c r="F57" s="12">
        <v>1.0</v>
      </c>
      <c r="G57" s="12">
        <v>1.0</v>
      </c>
      <c r="H57" s="12">
        <v>1.0</v>
      </c>
      <c r="I57" s="12">
        <v>1.0</v>
      </c>
      <c r="J57" s="12">
        <v>1.0</v>
      </c>
      <c r="K57" s="12">
        <v>1.0</v>
      </c>
      <c r="L57" s="2"/>
      <c r="M57" s="12">
        <v>1.0</v>
      </c>
      <c r="N57" s="12">
        <v>1.0</v>
      </c>
      <c r="O57" s="13">
        <v>0.5</v>
      </c>
      <c r="P57" s="12">
        <v>0.0</v>
      </c>
      <c r="Q57" s="5"/>
      <c r="R57" s="10">
        <f>sum(F57:K57,M57:P57)/(COUNTIF(B57:P57, 1) + (COUNTIF(B57:P57, 0)) + COUNTIF(B57:P57, 0.5))</f>
        <v>0.85</v>
      </c>
    </row>
    <row r="58">
      <c r="A58" s="7">
        <v>402.0</v>
      </c>
      <c r="B58" s="8">
        <v>251.0</v>
      </c>
      <c r="C58" s="8">
        <v>34.0</v>
      </c>
      <c r="D58" s="8">
        <v>34.25</v>
      </c>
      <c r="E58" s="8">
        <v>-110.431</v>
      </c>
      <c r="F58" s="1"/>
      <c r="G58" s="1"/>
      <c r="H58" s="3" t="s">
        <v>177</v>
      </c>
      <c r="I58" s="3" t="s">
        <v>18</v>
      </c>
      <c r="J58" s="3" t="s">
        <v>178</v>
      </c>
      <c r="K58" s="1"/>
      <c r="L58" s="2" t="s">
        <v>179</v>
      </c>
      <c r="M58" s="3" t="s">
        <v>180</v>
      </c>
      <c r="N58" s="3" t="s">
        <v>139</v>
      </c>
      <c r="O58" s="4" t="s">
        <v>140</v>
      </c>
      <c r="P58" s="3" t="s">
        <v>24</v>
      </c>
      <c r="Q58" s="5" t="s">
        <v>181</v>
      </c>
      <c r="R58" s="10"/>
    </row>
    <row r="59">
      <c r="A59" s="11" t="s">
        <v>182</v>
      </c>
      <c r="B59" s="8"/>
      <c r="C59" s="8"/>
      <c r="D59" s="8"/>
      <c r="E59" s="8"/>
      <c r="F59" s="12">
        <v>1.0</v>
      </c>
      <c r="G59" s="12">
        <v>1.0</v>
      </c>
      <c r="H59" s="12">
        <v>1.0</v>
      </c>
      <c r="I59" s="12">
        <v>1.0</v>
      </c>
      <c r="J59" s="12">
        <v>1.0</v>
      </c>
      <c r="K59" s="12">
        <v>1.0</v>
      </c>
      <c r="L59" s="2"/>
      <c r="M59" s="12">
        <v>1.0</v>
      </c>
      <c r="N59" s="12">
        <v>1.0</v>
      </c>
      <c r="O59" s="13">
        <v>0.5</v>
      </c>
      <c r="P59" s="12">
        <v>1.0</v>
      </c>
      <c r="Q59" s="5"/>
      <c r="R59" s="10">
        <f>sum(F59:K59,M59:P59)/(COUNTIF(B59:P59, 1) + (COUNTIF(B59:P59, 0)) + COUNTIF(B59:P59, 0.5))</f>
        <v>0.95</v>
      </c>
    </row>
    <row r="60">
      <c r="A60" s="7">
        <v>403.0</v>
      </c>
      <c r="B60" s="8">
        <v>251.0</v>
      </c>
      <c r="C60" s="8">
        <v>34.0</v>
      </c>
      <c r="D60" s="8">
        <v>37.1363</v>
      </c>
      <c r="E60" s="8">
        <v>-113.574</v>
      </c>
      <c r="F60" s="1"/>
      <c r="G60" s="1"/>
      <c r="H60" s="3" t="s">
        <v>183</v>
      </c>
      <c r="I60" s="3" t="s">
        <v>18</v>
      </c>
      <c r="J60" s="3" t="s">
        <v>184</v>
      </c>
      <c r="K60" s="1"/>
      <c r="L60" s="2" t="s">
        <v>185</v>
      </c>
      <c r="M60" s="3" t="s">
        <v>186</v>
      </c>
      <c r="N60" s="3" t="s">
        <v>139</v>
      </c>
      <c r="O60" s="4" t="s">
        <v>140</v>
      </c>
      <c r="P60" s="3" t="s">
        <v>56</v>
      </c>
      <c r="Q60" s="5" t="s">
        <v>187</v>
      </c>
      <c r="R60" s="10"/>
    </row>
    <row r="61">
      <c r="A61" s="11" t="s">
        <v>188</v>
      </c>
      <c r="B61" s="8"/>
      <c r="C61" s="8"/>
      <c r="D61" s="8"/>
      <c r="E61" s="8"/>
      <c r="F61" s="12">
        <v>1.0</v>
      </c>
      <c r="G61" s="12">
        <v>1.0</v>
      </c>
      <c r="H61" s="12">
        <v>1.0</v>
      </c>
      <c r="I61" s="12">
        <v>1.0</v>
      </c>
      <c r="J61" s="12">
        <v>1.0</v>
      </c>
      <c r="K61" s="12">
        <v>1.0</v>
      </c>
      <c r="L61" s="2"/>
      <c r="M61" s="12">
        <v>1.0</v>
      </c>
      <c r="N61" s="12">
        <v>1.0</v>
      </c>
      <c r="O61" s="13">
        <v>0.5</v>
      </c>
      <c r="P61" s="12">
        <v>0.0</v>
      </c>
      <c r="Q61" s="5"/>
      <c r="R61" s="10">
        <f>sum(F61:K61,M61:P61)/(COUNTIF(B61:P61, 1) + (COUNTIF(B61:P61, 0)) + COUNTIF(B61:P61, 0.5))</f>
        <v>0.85</v>
      </c>
    </row>
    <row r="62">
      <c r="A62" s="7">
        <v>404.0</v>
      </c>
      <c r="B62" s="8">
        <v>251.0</v>
      </c>
      <c r="C62" s="8">
        <v>34.0</v>
      </c>
      <c r="D62" s="8">
        <v>37.1363</v>
      </c>
      <c r="E62" s="8">
        <v>-113.574</v>
      </c>
      <c r="F62" s="1"/>
      <c r="G62" s="1"/>
      <c r="H62" s="3" t="s">
        <v>183</v>
      </c>
      <c r="I62" s="3" t="s">
        <v>18</v>
      </c>
      <c r="J62" s="3" t="s">
        <v>189</v>
      </c>
      <c r="K62" s="1"/>
      <c r="L62" s="2" t="s">
        <v>185</v>
      </c>
      <c r="M62" s="3" t="s">
        <v>186</v>
      </c>
      <c r="N62" s="3" t="s">
        <v>139</v>
      </c>
      <c r="O62" s="4" t="s">
        <v>140</v>
      </c>
      <c r="P62" s="3" t="s">
        <v>56</v>
      </c>
      <c r="Q62" s="5" t="s">
        <v>187</v>
      </c>
      <c r="R62" s="10"/>
    </row>
    <row r="63">
      <c r="A63" s="11" t="s">
        <v>190</v>
      </c>
      <c r="B63" s="8"/>
      <c r="C63" s="8"/>
      <c r="D63" s="8"/>
      <c r="E63" s="8"/>
      <c r="F63" s="12">
        <v>1.0</v>
      </c>
      <c r="G63" s="12">
        <v>1.0</v>
      </c>
      <c r="H63" s="12">
        <v>1.0</v>
      </c>
      <c r="I63" s="12">
        <v>1.0</v>
      </c>
      <c r="J63" s="12">
        <v>1.0</v>
      </c>
      <c r="K63" s="12">
        <v>1.0</v>
      </c>
      <c r="L63" s="2"/>
      <c r="M63" s="3">
        <v>1.0</v>
      </c>
      <c r="N63" s="12">
        <v>1.0</v>
      </c>
      <c r="O63" s="13">
        <v>0.5</v>
      </c>
      <c r="P63" s="12">
        <v>0.0</v>
      </c>
      <c r="Q63" s="5"/>
      <c r="R63" s="10">
        <f>sum(F63:K63,M63:P63)/(COUNTIF(B63:P63, 1) + (COUNTIF(B63:P63, 0)) + COUNTIF(B63:P63, 0.5))</f>
        <v>0.85</v>
      </c>
    </row>
    <row r="64">
      <c r="A64" s="7">
        <v>405.0</v>
      </c>
      <c r="B64" s="8">
        <v>251.0</v>
      </c>
      <c r="C64" s="8">
        <v>34.0</v>
      </c>
      <c r="D64" s="8">
        <v>37.1363</v>
      </c>
      <c r="E64" s="8">
        <v>-113.574</v>
      </c>
      <c r="F64" s="1"/>
      <c r="G64" s="1"/>
      <c r="H64" s="3" t="s">
        <v>183</v>
      </c>
      <c r="I64" s="3" t="s">
        <v>18</v>
      </c>
      <c r="J64" s="3" t="s">
        <v>191</v>
      </c>
      <c r="K64" s="1"/>
      <c r="L64" s="2" t="s">
        <v>185</v>
      </c>
      <c r="M64" s="3" t="s">
        <v>186</v>
      </c>
      <c r="N64" s="3" t="s">
        <v>139</v>
      </c>
      <c r="O64" s="4" t="s">
        <v>140</v>
      </c>
      <c r="P64" s="3" t="s">
        <v>56</v>
      </c>
      <c r="Q64" s="5" t="s">
        <v>187</v>
      </c>
      <c r="R64" s="10"/>
    </row>
    <row r="65">
      <c r="A65" s="11" t="s">
        <v>192</v>
      </c>
      <c r="B65" s="8"/>
      <c r="C65" s="8"/>
      <c r="D65" s="8"/>
      <c r="E65" s="8"/>
      <c r="F65" s="12">
        <v>1.0</v>
      </c>
      <c r="G65" s="12">
        <v>1.0</v>
      </c>
      <c r="H65" s="12">
        <v>1.0</v>
      </c>
      <c r="I65" s="12">
        <v>1.0</v>
      </c>
      <c r="J65" s="12">
        <v>1.0</v>
      </c>
      <c r="K65" s="12">
        <v>1.0</v>
      </c>
      <c r="L65" s="2"/>
      <c r="M65" s="3">
        <v>1.0</v>
      </c>
      <c r="N65" s="3">
        <v>1.0</v>
      </c>
      <c r="O65" s="13">
        <v>0.5</v>
      </c>
      <c r="P65" s="12">
        <v>0.0</v>
      </c>
      <c r="Q65" s="5"/>
      <c r="R65" s="10">
        <f>sum(F65:K65,M65:P65)/(COUNTIF(B65:P65, 1) + (COUNTIF(B65:P65, 0)) + COUNTIF(B65:P65, 0.5))</f>
        <v>0.85</v>
      </c>
    </row>
    <row r="66">
      <c r="A66" s="7">
        <v>406.0</v>
      </c>
      <c r="B66" s="8">
        <v>251.0</v>
      </c>
      <c r="C66" s="8">
        <v>34.0</v>
      </c>
      <c r="D66" s="8">
        <v>34.4667</v>
      </c>
      <c r="E66" s="8">
        <v>-110.35</v>
      </c>
      <c r="F66" s="1"/>
      <c r="G66" s="1"/>
      <c r="H66" s="3" t="s">
        <v>193</v>
      </c>
      <c r="I66" s="3" t="s">
        <v>18</v>
      </c>
      <c r="J66" s="3" t="s">
        <v>194</v>
      </c>
      <c r="K66" s="1"/>
      <c r="L66" s="2" t="s">
        <v>179</v>
      </c>
      <c r="M66" s="3" t="s">
        <v>195</v>
      </c>
      <c r="N66" s="3" t="s">
        <v>139</v>
      </c>
      <c r="O66" s="4" t="s">
        <v>140</v>
      </c>
      <c r="P66" s="3" t="s">
        <v>56</v>
      </c>
      <c r="Q66" s="5" t="s">
        <v>196</v>
      </c>
      <c r="R66" s="10"/>
    </row>
    <row r="67">
      <c r="A67" s="11" t="s">
        <v>197</v>
      </c>
      <c r="B67" s="8"/>
      <c r="C67" s="8"/>
      <c r="D67" s="8"/>
      <c r="E67" s="8"/>
      <c r="F67" s="12">
        <v>1.0</v>
      </c>
      <c r="G67" s="12">
        <v>1.0</v>
      </c>
      <c r="H67" s="12">
        <v>1.0</v>
      </c>
      <c r="I67" s="12">
        <v>1.0</v>
      </c>
      <c r="J67" s="12">
        <v>1.0</v>
      </c>
      <c r="K67" s="12">
        <v>1.0</v>
      </c>
      <c r="L67" s="2"/>
      <c r="M67" s="3">
        <v>1.0</v>
      </c>
      <c r="N67" s="3">
        <v>1.0</v>
      </c>
      <c r="O67" s="13">
        <v>0.5</v>
      </c>
      <c r="P67" s="12">
        <v>0.0</v>
      </c>
      <c r="Q67" s="5"/>
      <c r="R67" s="10">
        <f>sum(F67:K67,M67:P67)/(COUNTIF(B67:P67, 1) + (COUNTIF(B67:P67, 0)) + COUNTIF(B67:P67, 0.5))</f>
        <v>0.85</v>
      </c>
    </row>
    <row r="68">
      <c r="A68" s="7">
        <v>407.0</v>
      </c>
      <c r="B68" s="8">
        <v>251.0</v>
      </c>
      <c r="C68" s="8">
        <v>34.0</v>
      </c>
      <c r="D68" s="8">
        <v>32.8711</v>
      </c>
      <c r="E68" s="8">
        <v>-114.647</v>
      </c>
      <c r="F68" s="1"/>
      <c r="G68" s="1"/>
      <c r="H68" s="3" t="s">
        <v>198</v>
      </c>
      <c r="I68" s="3" t="s">
        <v>18</v>
      </c>
      <c r="J68" s="3" t="s">
        <v>199</v>
      </c>
      <c r="K68" s="1"/>
      <c r="L68" s="2" t="s">
        <v>145</v>
      </c>
      <c r="M68" s="3" t="s">
        <v>200</v>
      </c>
      <c r="N68" s="3" t="s">
        <v>139</v>
      </c>
      <c r="O68" s="4" t="s">
        <v>140</v>
      </c>
      <c r="P68" s="3" t="s">
        <v>56</v>
      </c>
      <c r="Q68" s="5" t="s">
        <v>201</v>
      </c>
      <c r="R68" s="10"/>
    </row>
    <row r="69">
      <c r="A69" s="11" t="s">
        <v>202</v>
      </c>
      <c r="B69" s="8"/>
      <c r="C69" s="8"/>
      <c r="D69" s="8"/>
      <c r="E69" s="8"/>
      <c r="F69" s="12">
        <v>1.0</v>
      </c>
      <c r="G69" s="12">
        <v>1.0</v>
      </c>
      <c r="H69" s="12">
        <v>1.0</v>
      </c>
      <c r="I69" s="12">
        <v>1.0</v>
      </c>
      <c r="J69" s="12">
        <v>1.0</v>
      </c>
      <c r="K69" s="12">
        <v>1.0</v>
      </c>
      <c r="L69" s="2"/>
      <c r="M69" s="3">
        <v>1.0</v>
      </c>
      <c r="N69" s="3">
        <v>1.0</v>
      </c>
      <c r="O69" s="13">
        <v>0.5</v>
      </c>
      <c r="P69" s="12">
        <v>0.0</v>
      </c>
      <c r="Q69" s="5"/>
      <c r="R69" s="10">
        <f>sum(F69:K69,M69:P69)/(COUNTIF(B69:P69, 1) + (COUNTIF(B69:P69, 0)) + COUNTIF(B69:P69, 0.5))</f>
        <v>0.85</v>
      </c>
    </row>
    <row r="70">
      <c r="A70" s="7">
        <v>166.0</v>
      </c>
      <c r="B70" s="8">
        <v>251.0</v>
      </c>
      <c r="C70" s="8">
        <v>202.0</v>
      </c>
      <c r="D70" s="8">
        <v>33.125</v>
      </c>
      <c r="E70" s="8">
        <v>-109.25</v>
      </c>
      <c r="F70" s="1"/>
      <c r="G70" s="1"/>
      <c r="H70" s="3" t="s">
        <v>203</v>
      </c>
      <c r="I70" s="3" t="s">
        <v>18</v>
      </c>
      <c r="J70" s="3" t="s">
        <v>204</v>
      </c>
      <c r="K70" s="1"/>
      <c r="L70" s="2" t="s">
        <v>205</v>
      </c>
      <c r="M70" s="3" t="s">
        <v>206</v>
      </c>
      <c r="N70" s="3" t="s">
        <v>43</v>
      </c>
      <c r="O70" s="4" t="s">
        <v>207</v>
      </c>
      <c r="P70" s="3" t="s">
        <v>24</v>
      </c>
      <c r="Q70" s="5" t="s">
        <v>208</v>
      </c>
      <c r="R70" s="10"/>
    </row>
    <row r="71">
      <c r="A71" s="11" t="s">
        <v>209</v>
      </c>
      <c r="B71" s="8"/>
      <c r="C71" s="8"/>
      <c r="D71" s="9"/>
      <c r="E71" s="9"/>
      <c r="F71" s="11">
        <v>1.0</v>
      </c>
      <c r="G71" s="11">
        <v>1.0</v>
      </c>
      <c r="H71" s="12">
        <v>1.0</v>
      </c>
      <c r="I71" s="12">
        <v>1.0</v>
      </c>
      <c r="J71" s="12">
        <v>1.0</v>
      </c>
      <c r="K71" s="12">
        <v>1.0</v>
      </c>
      <c r="L71" s="2"/>
      <c r="M71" s="12">
        <v>1.0</v>
      </c>
      <c r="N71" s="12">
        <v>1.0</v>
      </c>
      <c r="O71" s="13">
        <v>1.0</v>
      </c>
      <c r="P71" s="12">
        <v>1.0</v>
      </c>
      <c r="Q71" s="5"/>
      <c r="R71" s="10">
        <f>sum(F71:K71,M71:P71)/(COUNTIF(B71:P71, 1) + (COUNTIF(B71:P71, 0)) + COUNTIF(B71:P71, 0.5))</f>
        <v>1</v>
      </c>
    </row>
    <row r="72">
      <c r="A72" s="7">
        <v>26.0</v>
      </c>
      <c r="B72" s="8">
        <v>251.0</v>
      </c>
      <c r="C72" s="8">
        <v>203.0</v>
      </c>
      <c r="D72" s="9"/>
      <c r="E72" s="9"/>
      <c r="F72" s="7">
        <v>30.175</v>
      </c>
      <c r="G72" s="7">
        <v>-110.529</v>
      </c>
      <c r="H72" s="3" t="s">
        <v>210</v>
      </c>
      <c r="I72" s="12" t="s">
        <v>211</v>
      </c>
      <c r="J72" s="3" t="s">
        <v>212</v>
      </c>
      <c r="K72" s="1"/>
      <c r="L72" s="2" t="s">
        <v>213</v>
      </c>
      <c r="M72" s="3" t="s">
        <v>214</v>
      </c>
      <c r="N72" s="3" t="s">
        <v>43</v>
      </c>
      <c r="O72" s="4" t="s">
        <v>215</v>
      </c>
      <c r="P72" s="3" t="s">
        <v>65</v>
      </c>
      <c r="Q72" s="5" t="s">
        <v>216</v>
      </c>
      <c r="R72" s="10"/>
    </row>
    <row r="73">
      <c r="A73" s="11" t="s">
        <v>217</v>
      </c>
      <c r="B73" s="8"/>
      <c r="C73" s="8"/>
      <c r="D73" s="8"/>
      <c r="E73" s="8"/>
      <c r="F73" s="12">
        <v>1.0</v>
      </c>
      <c r="G73" s="12">
        <v>1.0</v>
      </c>
      <c r="H73" s="12">
        <v>1.0</v>
      </c>
      <c r="I73" s="12">
        <v>0.5</v>
      </c>
      <c r="J73" s="12">
        <v>1.0</v>
      </c>
      <c r="K73" s="12">
        <v>1.0</v>
      </c>
      <c r="L73" s="2"/>
      <c r="M73" s="12">
        <v>1.0</v>
      </c>
      <c r="N73" s="12">
        <v>1.0</v>
      </c>
      <c r="O73" s="13">
        <v>1.0</v>
      </c>
      <c r="P73" s="12">
        <v>1.0</v>
      </c>
      <c r="Q73" s="5"/>
      <c r="R73" s="10">
        <f>sum(F73:K73,M73:P73)/(COUNTIF(B73:P73, 1) + (COUNTIF(B73:P73, 0)) + COUNTIF(B73:P73, 0.5))</f>
        <v>0.95</v>
      </c>
    </row>
    <row r="74">
      <c r="A74" s="7">
        <v>414.0</v>
      </c>
      <c r="B74" s="8">
        <v>251.0</v>
      </c>
      <c r="C74" s="8">
        <v>410.0</v>
      </c>
      <c r="D74" s="8">
        <v>33.5</v>
      </c>
      <c r="E74" s="8">
        <v>-111.4</v>
      </c>
      <c r="F74" s="1"/>
      <c r="G74" s="1"/>
      <c r="H74" s="3" t="s">
        <v>218</v>
      </c>
      <c r="I74" s="12" t="s">
        <v>219</v>
      </c>
      <c r="J74" s="3" t="s">
        <v>220</v>
      </c>
      <c r="K74" s="1"/>
      <c r="L74" s="2" t="s">
        <v>221</v>
      </c>
      <c r="M74" s="3" t="s">
        <v>222</v>
      </c>
      <c r="N74" s="3" t="s">
        <v>43</v>
      </c>
      <c r="O74" s="4" t="s">
        <v>223</v>
      </c>
      <c r="P74" s="3" t="s">
        <v>24</v>
      </c>
      <c r="Q74" s="5" t="s">
        <v>224</v>
      </c>
      <c r="R74" s="10"/>
    </row>
    <row r="75">
      <c r="A75" s="11" t="s">
        <v>225</v>
      </c>
      <c r="B75" s="8"/>
      <c r="C75" s="8"/>
      <c r="D75" s="8"/>
      <c r="E75" s="8"/>
      <c r="F75" s="12">
        <v>1.0</v>
      </c>
      <c r="G75" s="12">
        <v>1.0</v>
      </c>
      <c r="H75" s="12">
        <v>1.0</v>
      </c>
      <c r="I75" s="12">
        <v>1.0</v>
      </c>
      <c r="J75" s="12">
        <v>1.0</v>
      </c>
      <c r="K75" s="12">
        <v>1.0</v>
      </c>
      <c r="L75" s="9"/>
      <c r="M75" s="12">
        <v>1.0</v>
      </c>
      <c r="N75" s="12">
        <v>1.0</v>
      </c>
      <c r="O75" s="13">
        <v>1.0</v>
      </c>
      <c r="P75" s="12">
        <v>1.0</v>
      </c>
      <c r="Q75" s="5"/>
      <c r="R75" s="10">
        <f>sum(F75:K75,M75:P75)/(COUNTIF(B75:P75, 1) + (COUNTIF(B75:P75, 0)) + COUNTIF(B75:P75, 0.5))</f>
        <v>1</v>
      </c>
    </row>
    <row r="76">
      <c r="A76" s="7">
        <v>203.0</v>
      </c>
      <c r="B76" s="8">
        <v>366.0</v>
      </c>
      <c r="C76" s="8">
        <v>195.0</v>
      </c>
      <c r="D76" s="8">
        <v>37.8</v>
      </c>
      <c r="E76" s="8">
        <v>-119.7</v>
      </c>
      <c r="F76" s="1"/>
      <c r="G76" s="1"/>
      <c r="H76" s="3" t="s">
        <v>226</v>
      </c>
      <c r="I76" s="12" t="s">
        <v>227</v>
      </c>
      <c r="J76" s="3" t="s">
        <v>228</v>
      </c>
      <c r="K76" s="3" t="s">
        <v>229</v>
      </c>
      <c r="L76" s="9"/>
      <c r="M76" s="3" t="s">
        <v>230</v>
      </c>
      <c r="N76" s="3" t="s">
        <v>54</v>
      </c>
      <c r="O76" s="4" t="s">
        <v>231</v>
      </c>
      <c r="P76" s="3" t="s">
        <v>65</v>
      </c>
      <c r="Q76" s="5" t="s">
        <v>232</v>
      </c>
      <c r="R76" s="10"/>
    </row>
    <row r="77">
      <c r="A77" s="11" t="s">
        <v>233</v>
      </c>
      <c r="B77" s="8"/>
      <c r="C77" s="8"/>
      <c r="D77" s="8"/>
      <c r="E77" s="8"/>
      <c r="F77" s="12">
        <v>1.0</v>
      </c>
      <c r="G77" s="12">
        <v>1.0</v>
      </c>
      <c r="H77" s="12">
        <v>1.0</v>
      </c>
      <c r="I77" s="12">
        <v>1.0</v>
      </c>
      <c r="J77" s="12">
        <v>1.0</v>
      </c>
      <c r="K77" s="12">
        <v>1.0</v>
      </c>
      <c r="L77" s="9"/>
      <c r="M77" s="12">
        <v>1.0</v>
      </c>
      <c r="N77" s="12">
        <v>1.0</v>
      </c>
      <c r="O77" s="13">
        <v>1.0</v>
      </c>
      <c r="P77" s="12">
        <v>1.0</v>
      </c>
      <c r="Q77" s="5"/>
      <c r="R77" s="10">
        <f>sum(F77:K77,M77:P77)/(COUNTIF(B77:P77, 1) + (COUNTIF(B77:P77, 0)) + COUNTIF(B77:P77, 0.5))</f>
        <v>1</v>
      </c>
    </row>
    <row r="78">
      <c r="A78" s="7">
        <v>204.0</v>
      </c>
      <c r="B78" s="8">
        <v>366.0</v>
      </c>
      <c r="C78" s="8">
        <v>195.0</v>
      </c>
      <c r="D78" s="8">
        <v>37.8</v>
      </c>
      <c r="E78" s="8">
        <v>-119.7</v>
      </c>
      <c r="F78" s="1"/>
      <c r="G78" s="1"/>
      <c r="H78" s="3" t="s">
        <v>234</v>
      </c>
      <c r="I78" s="12" t="s">
        <v>227</v>
      </c>
      <c r="J78" s="3" t="s">
        <v>235</v>
      </c>
      <c r="K78" s="3" t="s">
        <v>229</v>
      </c>
      <c r="L78" s="9"/>
      <c r="M78" s="3" t="s">
        <v>230</v>
      </c>
      <c r="N78" s="3" t="s">
        <v>54</v>
      </c>
      <c r="O78" s="4" t="s">
        <v>236</v>
      </c>
      <c r="P78" s="3" t="s">
        <v>24</v>
      </c>
      <c r="Q78" s="5" t="s">
        <v>237</v>
      </c>
      <c r="R78" s="10"/>
    </row>
    <row r="79">
      <c r="A79" s="11" t="s">
        <v>238</v>
      </c>
      <c r="B79" s="8"/>
      <c r="C79" s="8"/>
      <c r="D79" s="8"/>
      <c r="E79" s="8"/>
      <c r="F79" s="11">
        <v>1.0</v>
      </c>
      <c r="G79" s="11">
        <v>1.0</v>
      </c>
      <c r="H79" s="12">
        <v>1.0</v>
      </c>
      <c r="I79" s="12">
        <v>1.0</v>
      </c>
      <c r="J79" s="12">
        <v>1.0</v>
      </c>
      <c r="K79" s="12">
        <v>1.0</v>
      </c>
      <c r="L79" s="2"/>
      <c r="M79" s="12">
        <v>1.0</v>
      </c>
      <c r="N79" s="12">
        <v>1.0</v>
      </c>
      <c r="O79" s="13">
        <v>1.0</v>
      </c>
      <c r="P79" s="12">
        <v>1.0</v>
      </c>
      <c r="Q79" s="5"/>
      <c r="R79" s="10">
        <f>sum(F79:K79,M79:P79)/(COUNTIF(B79:P79, 1) + (COUNTIF(B79:P79, 0)) + COUNTIF(B79:P79, 0.5))</f>
        <v>1</v>
      </c>
    </row>
    <row r="80">
      <c r="A80" s="7">
        <v>165.0</v>
      </c>
      <c r="B80" s="8">
        <v>1061.0</v>
      </c>
      <c r="C80" s="8">
        <v>18.0</v>
      </c>
      <c r="D80" s="8">
        <v>38.5816</v>
      </c>
      <c r="E80" s="8">
        <v>-121.494</v>
      </c>
      <c r="F80" s="7">
        <v>38.5816</v>
      </c>
      <c r="G80" s="7">
        <v>-121.494</v>
      </c>
      <c r="H80" s="3" t="s">
        <v>239</v>
      </c>
      <c r="I80" s="1"/>
      <c r="J80" s="3" t="s">
        <v>240</v>
      </c>
      <c r="K80" s="1"/>
      <c r="L80" s="2" t="s">
        <v>241</v>
      </c>
      <c r="M80" s="1"/>
      <c r="N80" s="1"/>
      <c r="O80" s="4" t="s">
        <v>242</v>
      </c>
      <c r="P80" s="3" t="s">
        <v>243</v>
      </c>
      <c r="Q80" s="5" t="s">
        <v>244</v>
      </c>
      <c r="R80" s="10"/>
    </row>
    <row r="81">
      <c r="A81" s="11" t="s">
        <v>245</v>
      </c>
      <c r="B81" s="8"/>
      <c r="C81" s="8"/>
      <c r="D81" s="8"/>
      <c r="E81" s="8"/>
      <c r="F81" s="12">
        <v>0.5</v>
      </c>
      <c r="G81" s="12">
        <v>0.5</v>
      </c>
      <c r="H81" s="12">
        <v>1.0</v>
      </c>
      <c r="I81" s="12">
        <v>1.0</v>
      </c>
      <c r="J81" s="12">
        <v>1.0</v>
      </c>
      <c r="K81" s="12">
        <v>1.0</v>
      </c>
      <c r="L81" s="2"/>
      <c r="M81" s="12">
        <v>1.0</v>
      </c>
      <c r="N81" s="12">
        <v>1.0</v>
      </c>
      <c r="O81" s="13">
        <v>1.0</v>
      </c>
      <c r="P81" s="12">
        <v>1.0</v>
      </c>
      <c r="Q81" s="5"/>
      <c r="R81" s="10">
        <f>sum(F81:K81,M81:P81)/(COUNTIF(B81:P81, 1) + (COUNTIF(B81:P81, 0)) + COUNTIF(B81:P81, 0.5))</f>
        <v>0.9</v>
      </c>
    </row>
    <row r="82">
      <c r="A82" s="7">
        <v>247.0</v>
      </c>
      <c r="B82" s="8">
        <v>1072.0</v>
      </c>
      <c r="C82" s="8">
        <v>314.0</v>
      </c>
      <c r="D82" s="8">
        <v>33.2</v>
      </c>
      <c r="E82" s="8">
        <v>-115.9</v>
      </c>
      <c r="F82" s="1"/>
      <c r="G82" s="1"/>
      <c r="H82" s="3" t="s">
        <v>246</v>
      </c>
      <c r="I82" s="3" t="s">
        <v>18</v>
      </c>
      <c r="J82" s="3" t="s">
        <v>247</v>
      </c>
      <c r="K82" s="1"/>
      <c r="L82" s="2" t="s">
        <v>248</v>
      </c>
      <c r="M82" s="3" t="s">
        <v>249</v>
      </c>
      <c r="N82" s="3" t="s">
        <v>249</v>
      </c>
      <c r="O82" s="13" t="s">
        <v>250</v>
      </c>
      <c r="P82" s="3" t="s">
        <v>251</v>
      </c>
      <c r="Q82" s="5" t="s">
        <v>252</v>
      </c>
      <c r="R82" s="10"/>
    </row>
    <row r="83">
      <c r="A83" s="11" t="s">
        <v>253</v>
      </c>
      <c r="B83" s="8"/>
      <c r="C83" s="8"/>
      <c r="D83" s="8"/>
      <c r="E83" s="8"/>
      <c r="F83" s="12">
        <v>1.0</v>
      </c>
      <c r="G83" s="12">
        <v>1.0</v>
      </c>
      <c r="H83" s="12">
        <v>1.0</v>
      </c>
      <c r="I83" s="12">
        <v>1.0</v>
      </c>
      <c r="J83" s="12">
        <v>1.0</v>
      </c>
      <c r="K83" s="12">
        <v>1.0</v>
      </c>
      <c r="L83" s="2"/>
      <c r="M83" s="12">
        <v>1.0</v>
      </c>
      <c r="N83" s="11">
        <v>1.0</v>
      </c>
      <c r="O83" s="13">
        <v>1.0</v>
      </c>
      <c r="P83" s="12">
        <v>0.0</v>
      </c>
      <c r="Q83" s="5"/>
      <c r="R83" s="10">
        <f>sum(F83:K83,M83:P83)/(COUNTIF(B83:P83, 1) + (COUNTIF(B83:P83, 0)) + COUNTIF(B83:P83, 0.5))</f>
        <v>0.9</v>
      </c>
    </row>
    <row r="84">
      <c r="A84" s="7">
        <v>123.0</v>
      </c>
      <c r="B84" s="8">
        <v>1084.0</v>
      </c>
      <c r="C84" s="8">
        <v>122.0</v>
      </c>
      <c r="D84" s="8">
        <v>38.5816</v>
      </c>
      <c r="E84" s="8">
        <v>-121.494</v>
      </c>
      <c r="F84" s="1"/>
      <c r="G84" s="1"/>
      <c r="H84" s="3" t="s">
        <v>254</v>
      </c>
      <c r="I84" s="3" t="s">
        <v>18</v>
      </c>
      <c r="J84" s="3" t="s">
        <v>255</v>
      </c>
      <c r="K84" s="1"/>
      <c r="L84" s="2" t="s">
        <v>241</v>
      </c>
      <c r="M84" s="3" t="s">
        <v>256</v>
      </c>
      <c r="N84" s="7">
        <v>1911.0</v>
      </c>
      <c r="O84" s="13" t="s">
        <v>257</v>
      </c>
      <c r="P84" s="3" t="s">
        <v>56</v>
      </c>
      <c r="Q84" s="5" t="s">
        <v>258</v>
      </c>
      <c r="R84" s="10"/>
    </row>
    <row r="85">
      <c r="A85" s="11" t="s">
        <v>259</v>
      </c>
      <c r="B85" s="8"/>
      <c r="C85" s="8"/>
      <c r="D85" s="8"/>
      <c r="E85" s="8"/>
      <c r="F85" s="12">
        <v>1.0</v>
      </c>
      <c r="G85" s="12">
        <v>1.0</v>
      </c>
      <c r="H85" s="12">
        <v>1.0</v>
      </c>
      <c r="I85" s="12">
        <v>1.0</v>
      </c>
      <c r="J85" s="12">
        <v>1.0</v>
      </c>
      <c r="K85" s="12">
        <v>1.0</v>
      </c>
      <c r="L85" s="2"/>
      <c r="M85" s="12">
        <v>1.0</v>
      </c>
      <c r="N85" s="11">
        <v>0.0</v>
      </c>
      <c r="O85" s="13">
        <v>0.5</v>
      </c>
      <c r="P85" s="12">
        <v>1.0</v>
      </c>
      <c r="Q85" s="5"/>
      <c r="R85" s="10">
        <f>sum(F85:K85,M85:P85)/(COUNTIF(B85:P85, 1) + (COUNTIF(B85:P85, 0)) + COUNTIF(B85:P85, 0.5))</f>
        <v>0.85</v>
      </c>
    </row>
    <row r="86">
      <c r="A86" s="7">
        <v>124.0</v>
      </c>
      <c r="B86" s="8">
        <v>1084.0</v>
      </c>
      <c r="C86" s="8">
        <v>122.0</v>
      </c>
      <c r="D86" s="8">
        <v>38.5</v>
      </c>
      <c r="E86" s="8">
        <v>-121.5</v>
      </c>
      <c r="F86" s="1"/>
      <c r="G86" s="1"/>
      <c r="H86" s="3" t="s">
        <v>260</v>
      </c>
      <c r="I86" s="3" t="s">
        <v>18</v>
      </c>
      <c r="J86" s="3" t="s">
        <v>261</v>
      </c>
      <c r="K86" s="1"/>
      <c r="L86" s="2" t="s">
        <v>241</v>
      </c>
      <c r="M86" s="3" t="s">
        <v>256</v>
      </c>
      <c r="N86" s="7">
        <v>1911.0</v>
      </c>
      <c r="O86" s="13" t="s">
        <v>262</v>
      </c>
      <c r="P86" s="3" t="s">
        <v>263</v>
      </c>
      <c r="Q86" s="5" t="s">
        <v>264</v>
      </c>
      <c r="R86" s="10"/>
    </row>
    <row r="87">
      <c r="A87" s="11" t="s">
        <v>265</v>
      </c>
      <c r="B87" s="8"/>
      <c r="C87" s="8"/>
      <c r="D87" s="8"/>
      <c r="E87" s="8"/>
      <c r="F87" s="12">
        <v>1.0</v>
      </c>
      <c r="G87" s="12">
        <v>1.0</v>
      </c>
      <c r="H87" s="12">
        <v>1.0</v>
      </c>
      <c r="I87" s="12">
        <v>1.0</v>
      </c>
      <c r="J87" s="12">
        <v>1.0</v>
      </c>
      <c r="K87" s="12">
        <v>1.0</v>
      </c>
      <c r="L87" s="2"/>
      <c r="M87" s="12">
        <v>1.0</v>
      </c>
      <c r="N87" s="11">
        <v>0.0</v>
      </c>
      <c r="O87" s="13">
        <v>0.5</v>
      </c>
      <c r="P87" s="12">
        <v>0.5</v>
      </c>
      <c r="Q87" s="5"/>
      <c r="R87" s="10">
        <f>sum(F87:K87,M87:P87)/(COUNTIF(B87:P87, 1) + (COUNTIF(B87:P87, 0)) + COUNTIF(B87:P87, 0.5))</f>
        <v>0.8</v>
      </c>
    </row>
    <row r="88">
      <c r="A88" s="7">
        <v>125.0</v>
      </c>
      <c r="B88" s="8">
        <v>1084.0</v>
      </c>
      <c r="C88" s="8">
        <v>122.0</v>
      </c>
      <c r="D88" s="8">
        <v>38.7</v>
      </c>
      <c r="E88" s="8">
        <v>-121.3</v>
      </c>
      <c r="F88" s="1"/>
      <c r="G88" s="1"/>
      <c r="H88" s="3" t="s">
        <v>266</v>
      </c>
      <c r="I88" s="3" t="s">
        <v>18</v>
      </c>
      <c r="J88" s="3" t="s">
        <v>267</v>
      </c>
      <c r="K88" s="1"/>
      <c r="L88" s="2" t="s">
        <v>241</v>
      </c>
      <c r="M88" s="3" t="s">
        <v>256</v>
      </c>
      <c r="N88" s="7">
        <v>1911.0</v>
      </c>
      <c r="O88" s="4" t="s">
        <v>268</v>
      </c>
      <c r="P88" s="3" t="s">
        <v>263</v>
      </c>
      <c r="Q88" s="5" t="s">
        <v>269</v>
      </c>
      <c r="R88" s="10"/>
    </row>
    <row r="89">
      <c r="A89" s="11" t="s">
        <v>270</v>
      </c>
      <c r="B89" s="8"/>
      <c r="C89" s="8"/>
      <c r="D89" s="8"/>
      <c r="E89" s="8"/>
      <c r="F89" s="12">
        <v>1.0</v>
      </c>
      <c r="G89" s="12">
        <v>1.0</v>
      </c>
      <c r="H89" s="12">
        <v>0.0</v>
      </c>
      <c r="I89" s="12">
        <v>1.0</v>
      </c>
      <c r="J89" s="12">
        <v>0.0</v>
      </c>
      <c r="K89" s="12">
        <v>1.0</v>
      </c>
      <c r="L89" s="2"/>
      <c r="M89" s="12">
        <v>1.0</v>
      </c>
      <c r="N89" s="12">
        <v>0.0</v>
      </c>
      <c r="O89" s="13">
        <v>0.5</v>
      </c>
      <c r="P89" s="12">
        <v>0.5</v>
      </c>
      <c r="Q89" s="5"/>
      <c r="R89" s="10">
        <f>sum(F89:K89,M89:P89)/(COUNTIF(B89:P89, 1) + (COUNTIF(B89:P89, 0)) + COUNTIF(B89:P89, 0.5))</f>
        <v>0.6</v>
      </c>
    </row>
    <row r="90">
      <c r="A90" s="7">
        <v>77.0</v>
      </c>
      <c r="B90" s="8">
        <v>1084.0</v>
      </c>
      <c r="C90" s="8">
        <v>123.0</v>
      </c>
      <c r="D90" s="8">
        <v>38.5816</v>
      </c>
      <c r="E90" s="8">
        <v>-121.494</v>
      </c>
      <c r="F90" s="1"/>
      <c r="G90" s="1"/>
      <c r="H90" s="3" t="s">
        <v>271</v>
      </c>
      <c r="I90" s="3" t="s">
        <v>18</v>
      </c>
      <c r="J90" s="3" t="s">
        <v>272</v>
      </c>
      <c r="K90" s="1"/>
      <c r="L90" s="2" t="s">
        <v>273</v>
      </c>
      <c r="M90" s="3" t="s">
        <v>274</v>
      </c>
      <c r="N90" s="3" t="s">
        <v>274</v>
      </c>
      <c r="O90" s="4" t="s">
        <v>275</v>
      </c>
      <c r="P90" s="3" t="s">
        <v>251</v>
      </c>
      <c r="Q90" s="5" t="s">
        <v>276</v>
      </c>
      <c r="R90" s="10"/>
    </row>
    <row r="91">
      <c r="A91" s="11" t="s">
        <v>277</v>
      </c>
      <c r="B91" s="8"/>
      <c r="C91" s="8"/>
      <c r="D91" s="9"/>
      <c r="E91" s="9"/>
      <c r="F91" s="11">
        <v>1.0</v>
      </c>
      <c r="G91" s="11">
        <v>1.0</v>
      </c>
      <c r="H91" s="12">
        <v>1.0</v>
      </c>
      <c r="I91" s="12">
        <v>1.0</v>
      </c>
      <c r="J91" s="12">
        <v>1.0</v>
      </c>
      <c r="K91" s="12">
        <v>1.0</v>
      </c>
      <c r="L91" s="9"/>
      <c r="M91" s="12">
        <v>1.0</v>
      </c>
      <c r="N91" s="12">
        <v>1.0</v>
      </c>
      <c r="O91" s="13">
        <v>1.0</v>
      </c>
      <c r="P91" s="12">
        <v>1.0</v>
      </c>
      <c r="Q91" s="5"/>
      <c r="R91" s="10">
        <f>sum(F91:K91,M91:P91)/(COUNTIF(B91:P91, 1) + (COUNTIF(B91:P91, 0)) + COUNTIF(B91:P91, 0.5))</f>
        <v>1</v>
      </c>
    </row>
    <row r="92">
      <c r="A92" s="7">
        <v>350.0</v>
      </c>
      <c r="B92" s="8">
        <v>1084.0</v>
      </c>
      <c r="C92" s="8">
        <v>193.0</v>
      </c>
      <c r="D92" s="9"/>
      <c r="E92" s="9"/>
      <c r="F92" s="7">
        <v>39.131</v>
      </c>
      <c r="G92" s="7">
        <v>-121.587</v>
      </c>
      <c r="H92" s="3" t="s">
        <v>278</v>
      </c>
      <c r="I92" s="3" t="s">
        <v>279</v>
      </c>
      <c r="J92" s="3" t="s">
        <v>280</v>
      </c>
      <c r="K92" s="3" t="s">
        <v>281</v>
      </c>
      <c r="L92" s="9"/>
      <c r="M92" s="3" t="s">
        <v>282</v>
      </c>
      <c r="N92" s="3" t="s">
        <v>43</v>
      </c>
      <c r="O92" s="4" t="s">
        <v>275</v>
      </c>
      <c r="P92" s="3" t="s">
        <v>251</v>
      </c>
      <c r="Q92" s="5" t="s">
        <v>283</v>
      </c>
      <c r="R92" s="10"/>
    </row>
    <row r="93">
      <c r="A93" s="11" t="s">
        <v>284</v>
      </c>
      <c r="B93" s="8"/>
      <c r="C93" s="8"/>
      <c r="D93" s="9"/>
      <c r="E93" s="9"/>
      <c r="F93" s="11">
        <v>0.0</v>
      </c>
      <c r="G93" s="11">
        <v>0.0</v>
      </c>
      <c r="H93" s="12">
        <v>1.0</v>
      </c>
      <c r="I93" s="12">
        <v>0.5</v>
      </c>
      <c r="J93" s="12">
        <v>1.0</v>
      </c>
      <c r="K93" s="12">
        <v>0.0</v>
      </c>
      <c r="L93" s="9"/>
      <c r="M93" s="12">
        <v>1.0</v>
      </c>
      <c r="N93" s="12">
        <v>0.0</v>
      </c>
      <c r="O93" s="13">
        <v>1.0</v>
      </c>
      <c r="P93" s="12">
        <v>1.0</v>
      </c>
      <c r="Q93" s="5"/>
      <c r="R93" s="10">
        <f>sum(F93:K93,M93:P93)/(COUNTIF(B93:P93, 1) + (COUNTIF(B93:P93, 0)) + COUNTIF(B93:P93, 0.5))</f>
        <v>0.55</v>
      </c>
    </row>
    <row r="94">
      <c r="A94" s="7">
        <v>351.0</v>
      </c>
      <c r="B94" s="8">
        <v>1084.0</v>
      </c>
      <c r="C94" s="8">
        <v>193.0</v>
      </c>
      <c r="D94" s="9"/>
      <c r="E94" s="9"/>
      <c r="F94" s="7">
        <v>39.131</v>
      </c>
      <c r="G94" s="7">
        <v>-121.587</v>
      </c>
      <c r="H94" s="3" t="s">
        <v>285</v>
      </c>
      <c r="I94" s="3" t="s">
        <v>18</v>
      </c>
      <c r="J94" s="3" t="s">
        <v>286</v>
      </c>
      <c r="K94" s="3" t="s">
        <v>281</v>
      </c>
      <c r="L94" s="9"/>
      <c r="M94" s="1"/>
      <c r="N94" s="1"/>
      <c r="O94" s="4" t="s">
        <v>287</v>
      </c>
      <c r="P94" s="3" t="s">
        <v>56</v>
      </c>
      <c r="Q94" s="5" t="s">
        <v>288</v>
      </c>
      <c r="R94" s="10"/>
    </row>
    <row r="95">
      <c r="A95" s="11" t="s">
        <v>289</v>
      </c>
      <c r="B95" s="8"/>
      <c r="C95" s="8"/>
      <c r="D95" s="9"/>
      <c r="E95" s="9"/>
      <c r="F95" s="11">
        <v>0.0</v>
      </c>
      <c r="G95" s="11">
        <v>0.0</v>
      </c>
      <c r="H95" s="12">
        <v>1.0</v>
      </c>
      <c r="I95" s="12">
        <v>1.0</v>
      </c>
      <c r="J95" s="12">
        <v>1.0</v>
      </c>
      <c r="K95" s="12">
        <v>1.0</v>
      </c>
      <c r="L95" s="9"/>
      <c r="M95" s="12">
        <v>1.0</v>
      </c>
      <c r="N95" s="12">
        <v>1.0</v>
      </c>
      <c r="O95" s="13">
        <v>1.0</v>
      </c>
      <c r="P95" s="12">
        <v>1.0</v>
      </c>
      <c r="Q95" s="5"/>
      <c r="R95" s="10">
        <f>sum(F95:K95,M95:P95)/(COUNTIF(B95:P95, 1) + (COUNTIF(B95:P95, 0)) + COUNTIF(B95:P95, 0.5))</f>
        <v>0.8</v>
      </c>
    </row>
    <row r="96">
      <c r="A96" s="7">
        <v>352.0</v>
      </c>
      <c r="B96" s="8">
        <v>1084.0</v>
      </c>
      <c r="C96" s="8">
        <v>193.0</v>
      </c>
      <c r="D96" s="9"/>
      <c r="E96" s="9"/>
      <c r="F96" s="7">
        <v>39.131</v>
      </c>
      <c r="G96" s="7">
        <v>-121.587</v>
      </c>
      <c r="H96" s="3" t="s">
        <v>290</v>
      </c>
      <c r="I96" s="3" t="s">
        <v>18</v>
      </c>
      <c r="J96" s="3" t="s">
        <v>291</v>
      </c>
      <c r="K96" s="3" t="s">
        <v>281</v>
      </c>
      <c r="L96" s="9"/>
      <c r="M96" s="1"/>
      <c r="N96" s="1"/>
      <c r="O96" s="4" t="s">
        <v>287</v>
      </c>
      <c r="P96" s="3" t="s">
        <v>56</v>
      </c>
      <c r="Q96" s="5" t="s">
        <v>288</v>
      </c>
      <c r="R96" s="10"/>
    </row>
    <row r="97">
      <c r="A97" s="11" t="s">
        <v>292</v>
      </c>
      <c r="B97" s="8"/>
      <c r="C97" s="8"/>
      <c r="D97" s="9"/>
      <c r="E97" s="9"/>
      <c r="F97" s="11">
        <v>0.0</v>
      </c>
      <c r="G97" s="11">
        <v>0.0</v>
      </c>
      <c r="H97" s="12">
        <v>1.0</v>
      </c>
      <c r="I97" s="12">
        <v>1.0</v>
      </c>
      <c r="J97" s="12">
        <v>1.0</v>
      </c>
      <c r="K97" s="12">
        <v>1.0</v>
      </c>
      <c r="L97" s="9"/>
      <c r="M97" s="12">
        <v>1.0</v>
      </c>
      <c r="N97" s="12">
        <v>1.0</v>
      </c>
      <c r="O97" s="13">
        <v>1.0</v>
      </c>
      <c r="P97" s="12">
        <v>1.0</v>
      </c>
      <c r="Q97" s="5"/>
      <c r="R97" s="10">
        <f>sum(F97:K97,M97:P97)/(COUNTIF(B97:P97, 1) + (COUNTIF(B97:P97, 0)) + COUNTIF(B97:P97, 0.5))</f>
        <v>0.8</v>
      </c>
    </row>
    <row r="98">
      <c r="A98" s="7">
        <v>353.0</v>
      </c>
      <c r="B98" s="8">
        <v>1084.0</v>
      </c>
      <c r="C98" s="8">
        <v>193.0</v>
      </c>
      <c r="D98" s="9"/>
      <c r="E98" s="9"/>
      <c r="F98" s="7">
        <v>39.166</v>
      </c>
      <c r="G98" s="7">
        <v>-121.65</v>
      </c>
      <c r="H98" s="3" t="s">
        <v>293</v>
      </c>
      <c r="I98" s="3" t="s">
        <v>294</v>
      </c>
      <c r="J98" s="3" t="s">
        <v>295</v>
      </c>
      <c r="K98" s="3" t="s">
        <v>281</v>
      </c>
      <c r="L98" s="9"/>
      <c r="M98" s="1"/>
      <c r="N98" s="1"/>
      <c r="O98" s="4" t="s">
        <v>287</v>
      </c>
      <c r="P98" s="3" t="s">
        <v>56</v>
      </c>
      <c r="Q98" s="5" t="s">
        <v>288</v>
      </c>
      <c r="R98" s="10"/>
    </row>
    <row r="99">
      <c r="A99" s="11" t="s">
        <v>296</v>
      </c>
      <c r="B99" s="8"/>
      <c r="C99" s="8"/>
      <c r="D99" s="9"/>
      <c r="E99" s="9"/>
      <c r="F99" s="11">
        <v>0.0</v>
      </c>
      <c r="G99" s="11">
        <v>0.0</v>
      </c>
      <c r="H99" s="12">
        <v>1.0</v>
      </c>
      <c r="I99" s="12">
        <v>1.0</v>
      </c>
      <c r="J99" s="12">
        <v>1.0</v>
      </c>
      <c r="K99" s="12">
        <v>1.0</v>
      </c>
      <c r="L99" s="9"/>
      <c r="M99" s="12">
        <v>1.0</v>
      </c>
      <c r="N99" s="12">
        <v>1.0</v>
      </c>
      <c r="O99" s="13">
        <v>1.0</v>
      </c>
      <c r="P99" s="12">
        <v>1.0</v>
      </c>
      <c r="Q99" s="5"/>
      <c r="R99" s="10">
        <f>sum(F99:K99,M99:P99)/(COUNTIF(B99:P99, 1) + (COUNTIF(B99:P99, 0)) + COUNTIF(B99:P99, 0.5))</f>
        <v>0.8</v>
      </c>
    </row>
    <row r="100">
      <c r="A100" s="7">
        <v>367.0</v>
      </c>
      <c r="B100" s="8">
        <v>1084.0</v>
      </c>
      <c r="C100" s="8">
        <v>227.0</v>
      </c>
      <c r="D100" s="8">
        <v>39.5097</v>
      </c>
      <c r="E100" s="8">
        <v>-122.024</v>
      </c>
      <c r="F100" s="1"/>
      <c r="G100" s="1"/>
      <c r="H100" s="3" t="s">
        <v>297</v>
      </c>
      <c r="I100" s="3" t="s">
        <v>298</v>
      </c>
      <c r="J100" s="3" t="s">
        <v>299</v>
      </c>
      <c r="K100" s="3" t="s">
        <v>300</v>
      </c>
      <c r="L100" s="9"/>
      <c r="M100" s="3" t="s">
        <v>301</v>
      </c>
      <c r="N100" s="3" t="s">
        <v>302</v>
      </c>
      <c r="O100" s="4" t="s">
        <v>303</v>
      </c>
      <c r="P100" s="3" t="s">
        <v>251</v>
      </c>
      <c r="Q100" s="5" t="s">
        <v>304</v>
      </c>
      <c r="R100" s="10"/>
    </row>
    <row r="101">
      <c r="A101" s="11" t="s">
        <v>305</v>
      </c>
      <c r="B101" s="8"/>
      <c r="C101" s="8"/>
      <c r="D101" s="8"/>
      <c r="E101" s="8"/>
      <c r="F101" s="12">
        <v>1.0</v>
      </c>
      <c r="G101" s="12">
        <v>1.0</v>
      </c>
      <c r="H101" s="12">
        <v>1.0</v>
      </c>
      <c r="I101" s="12">
        <v>0.5</v>
      </c>
      <c r="J101" s="12">
        <v>1.0</v>
      </c>
      <c r="K101" s="12">
        <v>0.0</v>
      </c>
      <c r="L101" s="9"/>
      <c r="M101" s="12">
        <v>1.0</v>
      </c>
      <c r="N101" s="12">
        <v>1.0</v>
      </c>
      <c r="O101" s="13">
        <v>1.0</v>
      </c>
      <c r="P101" s="12">
        <v>1.0</v>
      </c>
      <c r="Q101" s="5"/>
      <c r="R101" s="10">
        <f>sum(F101:K101,M101:P101)/(COUNTIF(B101:P101, 1) + (COUNTIF(B101:P101, 0)) + COUNTIF(B101:P101, 0.5))</f>
        <v>0.85</v>
      </c>
    </row>
    <row r="102">
      <c r="A102" s="7">
        <v>368.0</v>
      </c>
      <c r="B102" s="8">
        <v>1084.0</v>
      </c>
      <c r="C102" s="8">
        <v>227.0</v>
      </c>
      <c r="D102" s="8">
        <v>39.5097</v>
      </c>
      <c r="E102" s="8">
        <v>-122.024</v>
      </c>
      <c r="F102" s="1"/>
      <c r="G102" s="1"/>
      <c r="H102" s="3" t="s">
        <v>306</v>
      </c>
      <c r="I102" s="3" t="s">
        <v>298</v>
      </c>
      <c r="J102" s="3" t="s">
        <v>307</v>
      </c>
      <c r="K102" s="3" t="s">
        <v>300</v>
      </c>
      <c r="L102" s="9"/>
      <c r="M102" s="3" t="s">
        <v>308</v>
      </c>
      <c r="N102" s="3" t="s">
        <v>302</v>
      </c>
      <c r="O102" s="4" t="s">
        <v>303</v>
      </c>
      <c r="P102" s="3" t="s">
        <v>251</v>
      </c>
      <c r="Q102" s="5" t="s">
        <v>304</v>
      </c>
      <c r="R102" s="10"/>
    </row>
    <row r="103">
      <c r="A103" s="11" t="s">
        <v>309</v>
      </c>
      <c r="B103" s="8"/>
      <c r="C103" s="8"/>
      <c r="D103" s="8"/>
      <c r="E103" s="8"/>
      <c r="F103" s="12">
        <v>1.0</v>
      </c>
      <c r="G103" s="12">
        <v>1.0</v>
      </c>
      <c r="H103" s="12">
        <v>1.0</v>
      </c>
      <c r="I103" s="12">
        <v>0.5</v>
      </c>
      <c r="J103" s="12">
        <v>1.0</v>
      </c>
      <c r="K103" s="12">
        <v>0.0</v>
      </c>
      <c r="L103" s="9"/>
      <c r="M103" s="12">
        <v>1.0</v>
      </c>
      <c r="N103" s="12">
        <v>1.0</v>
      </c>
      <c r="O103" s="13">
        <v>1.0</v>
      </c>
      <c r="P103" s="12">
        <v>1.0</v>
      </c>
      <c r="Q103" s="5"/>
      <c r="R103" s="10">
        <f>sum(F103:K103,M103:P103)/(COUNTIF(B103:P103, 1) + (COUNTIF(B103:P103, 0)) + COUNTIF(B103:P103, 0.5))</f>
        <v>0.85</v>
      </c>
    </row>
    <row r="104">
      <c r="A104" s="7">
        <v>369.0</v>
      </c>
      <c r="B104" s="8">
        <v>1084.0</v>
      </c>
      <c r="C104" s="8">
        <v>227.0</v>
      </c>
      <c r="D104" s="8">
        <v>39.4815</v>
      </c>
      <c r="E104" s="8">
        <v>-122.066</v>
      </c>
      <c r="F104" s="1"/>
      <c r="G104" s="1"/>
      <c r="H104" s="3" t="s">
        <v>306</v>
      </c>
      <c r="I104" s="3" t="s">
        <v>310</v>
      </c>
      <c r="J104" s="3" t="s">
        <v>311</v>
      </c>
      <c r="K104" s="3" t="s">
        <v>300</v>
      </c>
      <c r="L104" s="9"/>
      <c r="M104" s="3" t="s">
        <v>312</v>
      </c>
      <c r="N104" s="3" t="s">
        <v>302</v>
      </c>
      <c r="O104" s="4" t="s">
        <v>303</v>
      </c>
      <c r="P104" s="3" t="s">
        <v>251</v>
      </c>
      <c r="Q104" s="5" t="s">
        <v>304</v>
      </c>
      <c r="R104" s="10"/>
    </row>
    <row r="105">
      <c r="A105" s="11" t="s">
        <v>313</v>
      </c>
      <c r="B105" s="8"/>
      <c r="C105" s="8"/>
      <c r="D105" s="8"/>
      <c r="E105" s="8"/>
      <c r="F105" s="12">
        <v>1.0</v>
      </c>
      <c r="G105" s="12">
        <v>1.0</v>
      </c>
      <c r="H105" s="12">
        <v>1.0</v>
      </c>
      <c r="I105" s="12">
        <v>1.0</v>
      </c>
      <c r="J105" s="12">
        <v>1.0</v>
      </c>
      <c r="K105" s="12">
        <v>0.0</v>
      </c>
      <c r="L105" s="9"/>
      <c r="M105" s="12">
        <v>1.0</v>
      </c>
      <c r="N105" s="12">
        <v>1.0</v>
      </c>
      <c r="O105" s="13">
        <v>1.0</v>
      </c>
      <c r="P105" s="12">
        <v>1.0</v>
      </c>
      <c r="Q105" s="5"/>
      <c r="R105" s="10">
        <f>sum(F105:K105,M105:P105)/(COUNTIF(B105:P105, 1) + (COUNTIF(B105:P105, 0)) + COUNTIF(B105:P105, 0.5))</f>
        <v>0.9</v>
      </c>
    </row>
    <row r="106">
      <c r="A106" s="7">
        <v>370.0</v>
      </c>
      <c r="B106" s="8">
        <v>1084.0</v>
      </c>
      <c r="C106" s="8">
        <v>227.0</v>
      </c>
      <c r="D106" s="8">
        <v>39.4486</v>
      </c>
      <c r="E106" s="8">
        <v>-122.097</v>
      </c>
      <c r="F106" s="1"/>
      <c r="G106" s="1"/>
      <c r="H106" s="3" t="s">
        <v>306</v>
      </c>
      <c r="I106" s="3" t="s">
        <v>314</v>
      </c>
      <c r="J106" s="3" t="s">
        <v>315</v>
      </c>
      <c r="K106" s="3" t="s">
        <v>300</v>
      </c>
      <c r="L106" s="9"/>
      <c r="M106" s="3" t="s">
        <v>312</v>
      </c>
      <c r="N106" s="3" t="s">
        <v>302</v>
      </c>
      <c r="O106" s="4" t="s">
        <v>303</v>
      </c>
      <c r="P106" s="3" t="s">
        <v>251</v>
      </c>
      <c r="Q106" s="5" t="s">
        <v>304</v>
      </c>
      <c r="R106" s="10"/>
    </row>
    <row r="107">
      <c r="A107" s="11" t="s">
        <v>316</v>
      </c>
      <c r="B107" s="8"/>
      <c r="C107" s="8"/>
      <c r="D107" s="8"/>
      <c r="E107" s="8"/>
      <c r="F107" s="12">
        <v>1.0</v>
      </c>
      <c r="G107" s="12">
        <v>1.0</v>
      </c>
      <c r="H107" s="12">
        <v>1.0</v>
      </c>
      <c r="I107" s="12">
        <v>1.0</v>
      </c>
      <c r="J107" s="12">
        <v>1.0</v>
      </c>
      <c r="K107" s="12">
        <v>0.0</v>
      </c>
      <c r="L107" s="2"/>
      <c r="M107" s="12">
        <v>1.0</v>
      </c>
      <c r="N107" s="12">
        <v>1.0</v>
      </c>
      <c r="O107" s="13">
        <v>1.0</v>
      </c>
      <c r="P107" s="12">
        <v>1.0</v>
      </c>
      <c r="Q107" s="5"/>
      <c r="R107" s="10">
        <f>sum(F107:K107,M107:P107)/(COUNTIF(B107:P107, 1) + (COUNTIF(B107:P107, 0)) + COUNTIF(B107:P107, 0.5))</f>
        <v>0.9</v>
      </c>
    </row>
    <row r="108">
      <c r="A108" s="7">
        <v>336.0</v>
      </c>
      <c r="B108" s="8">
        <v>1084.0</v>
      </c>
      <c r="C108" s="8">
        <v>240.0</v>
      </c>
      <c r="D108" s="8">
        <v>39.1455</v>
      </c>
      <c r="E108" s="8">
        <v>-122.003</v>
      </c>
      <c r="F108" s="1"/>
      <c r="G108" s="1"/>
      <c r="H108" s="3" t="s">
        <v>317</v>
      </c>
      <c r="I108" s="3" t="s">
        <v>318</v>
      </c>
      <c r="J108" s="3" t="s">
        <v>319</v>
      </c>
      <c r="K108" s="3" t="s">
        <v>320</v>
      </c>
      <c r="L108" s="2" t="s">
        <v>320</v>
      </c>
      <c r="M108" s="3" t="s">
        <v>321</v>
      </c>
      <c r="N108" s="1"/>
      <c r="O108" s="4" t="s">
        <v>303</v>
      </c>
      <c r="P108" s="3" t="s">
        <v>251</v>
      </c>
      <c r="Q108" s="5" t="s">
        <v>322</v>
      </c>
      <c r="R108" s="10"/>
    </row>
    <row r="109">
      <c r="A109" s="11" t="s">
        <v>323</v>
      </c>
      <c r="B109" s="8"/>
      <c r="C109" s="8"/>
      <c r="D109" s="8"/>
      <c r="E109" s="8"/>
      <c r="F109" s="12">
        <v>1.0</v>
      </c>
      <c r="G109" s="12">
        <v>1.0</v>
      </c>
      <c r="H109" s="12">
        <v>1.0</v>
      </c>
      <c r="I109" s="12">
        <v>0.5</v>
      </c>
      <c r="J109" s="12">
        <v>1.0</v>
      </c>
      <c r="K109" s="12">
        <v>1.0</v>
      </c>
      <c r="L109" s="2"/>
      <c r="M109" s="11">
        <v>0.5</v>
      </c>
      <c r="N109" s="12">
        <v>1.0</v>
      </c>
      <c r="O109" s="13">
        <v>1.0</v>
      </c>
      <c r="P109" s="12">
        <v>1.0</v>
      </c>
      <c r="Q109" s="5"/>
      <c r="R109" s="10">
        <f>sum(F109:K109,M109:P109)/(COUNTIF(B109:P109, 1) + (COUNTIF(B109:P109, 0)) + COUNTIF(B109:P109, 0.5))</f>
        <v>0.9</v>
      </c>
    </row>
    <row r="110">
      <c r="A110" s="7">
        <v>337.0</v>
      </c>
      <c r="B110" s="8">
        <v>1084.0</v>
      </c>
      <c r="C110" s="8">
        <v>240.0</v>
      </c>
      <c r="D110" s="8">
        <v>39.1455</v>
      </c>
      <c r="E110" s="8">
        <v>-122.003</v>
      </c>
      <c r="F110" s="1"/>
      <c r="G110" s="1"/>
      <c r="H110" s="3" t="s">
        <v>324</v>
      </c>
      <c r="I110" s="3" t="s">
        <v>318</v>
      </c>
      <c r="J110" s="3" t="s">
        <v>325</v>
      </c>
      <c r="K110" s="3" t="s">
        <v>320</v>
      </c>
      <c r="L110" s="2" t="s">
        <v>320</v>
      </c>
      <c r="M110" s="23">
        <v>5045.0</v>
      </c>
      <c r="N110" s="1"/>
      <c r="O110" s="4" t="s">
        <v>303</v>
      </c>
      <c r="P110" s="3" t="s">
        <v>251</v>
      </c>
      <c r="Q110" s="5" t="s">
        <v>326</v>
      </c>
      <c r="R110" s="10"/>
    </row>
    <row r="111">
      <c r="A111" s="11" t="s">
        <v>327</v>
      </c>
      <c r="B111" s="8"/>
      <c r="C111" s="8"/>
      <c r="D111" s="8"/>
      <c r="E111" s="8"/>
      <c r="F111" s="12">
        <v>1.0</v>
      </c>
      <c r="G111" s="12">
        <v>1.0</v>
      </c>
      <c r="H111" s="12">
        <v>1.0</v>
      </c>
      <c r="I111" s="12">
        <v>0.5</v>
      </c>
      <c r="J111" s="12">
        <v>1.0</v>
      </c>
      <c r="K111" s="12">
        <v>1.0</v>
      </c>
      <c r="L111" s="2"/>
      <c r="M111" s="11">
        <v>1.0</v>
      </c>
      <c r="N111" s="12">
        <v>1.0</v>
      </c>
      <c r="O111" s="13">
        <v>1.0</v>
      </c>
      <c r="P111" s="12">
        <v>1.0</v>
      </c>
      <c r="Q111" s="5"/>
      <c r="R111" s="10">
        <f>sum(F111:K111,M111:P111)/(COUNTIF(B111:P111, 1) + (COUNTIF(B111:P111, 0)) + COUNTIF(B111:P111, 0.5))</f>
        <v>0.95</v>
      </c>
    </row>
    <row r="112">
      <c r="A112" s="7">
        <v>338.0</v>
      </c>
      <c r="B112" s="8">
        <v>1084.0</v>
      </c>
      <c r="C112" s="8">
        <v>240.0</v>
      </c>
      <c r="D112" s="8">
        <v>39.1455</v>
      </c>
      <c r="E112" s="8">
        <v>-122.003</v>
      </c>
      <c r="F112" s="1"/>
      <c r="G112" s="1"/>
      <c r="H112" s="3" t="s">
        <v>328</v>
      </c>
      <c r="I112" s="3" t="s">
        <v>318</v>
      </c>
      <c r="J112" s="3" t="s">
        <v>329</v>
      </c>
      <c r="K112" s="3" t="s">
        <v>320</v>
      </c>
      <c r="L112" s="2" t="s">
        <v>320</v>
      </c>
      <c r="M112" s="23">
        <v>4678.0</v>
      </c>
      <c r="N112" s="1"/>
      <c r="O112" s="4" t="s">
        <v>303</v>
      </c>
      <c r="P112" s="3" t="s">
        <v>251</v>
      </c>
      <c r="Q112" s="5" t="s">
        <v>330</v>
      </c>
      <c r="R112" s="10"/>
    </row>
    <row r="113">
      <c r="A113" s="11" t="s">
        <v>331</v>
      </c>
      <c r="B113" s="8"/>
      <c r="C113" s="8"/>
      <c r="D113" s="9"/>
      <c r="E113" s="9"/>
      <c r="F113" s="11">
        <v>1.0</v>
      </c>
      <c r="G113" s="11">
        <v>1.0</v>
      </c>
      <c r="H113" s="12">
        <v>1.0</v>
      </c>
      <c r="I113" s="12">
        <v>0.5</v>
      </c>
      <c r="J113" s="12">
        <v>1.0</v>
      </c>
      <c r="K113" s="12">
        <v>1.0</v>
      </c>
      <c r="L113" s="9"/>
      <c r="M113" s="12">
        <v>1.0</v>
      </c>
      <c r="N113" s="12">
        <v>1.0</v>
      </c>
      <c r="O113" s="13">
        <v>1.0</v>
      </c>
      <c r="P113" s="12">
        <v>1.0</v>
      </c>
      <c r="Q113" s="5"/>
      <c r="R113" s="10">
        <f>sum(F113:K113,M113:P113)/(COUNTIF(B113:P113, 1) + (COUNTIF(B113:P113, 0)) + COUNTIF(B113:P113, 0.5))</f>
        <v>0.95</v>
      </c>
    </row>
    <row r="114">
      <c r="A114" s="7">
        <v>132.0</v>
      </c>
      <c r="B114" s="8">
        <v>1109.0</v>
      </c>
      <c r="C114" s="8">
        <v>76.0</v>
      </c>
      <c r="D114" s="9"/>
      <c r="E114" s="9"/>
      <c r="F114" s="7">
        <v>39.1663</v>
      </c>
      <c r="G114" s="7">
        <v>-123.208</v>
      </c>
      <c r="H114" s="3" t="s">
        <v>332</v>
      </c>
      <c r="I114" s="3" t="s">
        <v>18</v>
      </c>
      <c r="J114" s="3" t="s">
        <v>333</v>
      </c>
      <c r="K114" s="3" t="s">
        <v>334</v>
      </c>
      <c r="L114" s="9"/>
      <c r="M114" s="3" t="s">
        <v>335</v>
      </c>
      <c r="N114" s="1"/>
      <c r="O114" s="4" t="s">
        <v>231</v>
      </c>
      <c r="P114" s="3" t="s">
        <v>251</v>
      </c>
      <c r="Q114" s="5" t="s">
        <v>336</v>
      </c>
      <c r="R114" s="10"/>
    </row>
    <row r="115">
      <c r="A115" s="11" t="s">
        <v>337</v>
      </c>
      <c r="B115" s="8"/>
      <c r="C115" s="8"/>
      <c r="D115" s="9"/>
      <c r="E115" s="9"/>
      <c r="F115" s="11">
        <v>0.0</v>
      </c>
      <c r="G115" s="11">
        <v>0.0</v>
      </c>
      <c r="H115" s="12">
        <v>1.0</v>
      </c>
      <c r="I115" s="12">
        <v>1.0</v>
      </c>
      <c r="J115" s="12">
        <v>1.0</v>
      </c>
      <c r="K115" s="12">
        <v>1.0</v>
      </c>
      <c r="L115" s="2"/>
      <c r="M115" s="12">
        <v>1.0</v>
      </c>
      <c r="N115" s="12">
        <v>1.0</v>
      </c>
      <c r="O115" s="13">
        <v>1.0</v>
      </c>
      <c r="P115" s="12">
        <v>0.5</v>
      </c>
      <c r="Q115" s="5"/>
      <c r="R115" s="10">
        <f>sum(F115:K115,M115:P115)/(COUNTIF(B115:P115, 1) + (COUNTIF(B115:P115, 0)) + COUNTIF(B115:P115, 0.5))</f>
        <v>0.75</v>
      </c>
    </row>
    <row r="116">
      <c r="A116" s="7">
        <v>133.0</v>
      </c>
      <c r="B116" s="8">
        <v>1109.0</v>
      </c>
      <c r="C116" s="8">
        <v>76.0</v>
      </c>
      <c r="D116" s="9"/>
      <c r="E116" s="9"/>
      <c r="F116" s="7">
        <v>39.1663</v>
      </c>
      <c r="G116" s="7">
        <v>-123.208</v>
      </c>
      <c r="H116" s="3" t="s">
        <v>332</v>
      </c>
      <c r="I116" s="3" t="s">
        <v>18</v>
      </c>
      <c r="J116" s="3" t="s">
        <v>338</v>
      </c>
      <c r="K116" s="1"/>
      <c r="L116" s="2" t="s">
        <v>334</v>
      </c>
      <c r="M116" s="3" t="s">
        <v>339</v>
      </c>
      <c r="N116" s="1"/>
      <c r="O116" s="4" t="s">
        <v>340</v>
      </c>
      <c r="P116" s="3" t="s">
        <v>341</v>
      </c>
      <c r="Q116" s="5" t="s">
        <v>342</v>
      </c>
      <c r="R116" s="10"/>
    </row>
    <row r="117">
      <c r="A117" s="11" t="s">
        <v>343</v>
      </c>
      <c r="B117" s="8"/>
      <c r="C117" s="8"/>
      <c r="D117" s="9"/>
      <c r="E117" s="9"/>
      <c r="F117" s="11">
        <v>0.0</v>
      </c>
      <c r="G117" s="11">
        <v>0.0</v>
      </c>
      <c r="H117" s="12">
        <v>1.0</v>
      </c>
      <c r="I117" s="12">
        <v>1.0</v>
      </c>
      <c r="J117" s="12">
        <v>1.0</v>
      </c>
      <c r="K117" s="12">
        <v>1.0</v>
      </c>
      <c r="L117" s="2"/>
      <c r="M117" s="12">
        <v>0.5</v>
      </c>
      <c r="N117" s="12">
        <v>0.0</v>
      </c>
      <c r="O117" s="13">
        <v>1.0</v>
      </c>
      <c r="P117" s="12">
        <v>0.0</v>
      </c>
      <c r="Q117" s="5"/>
      <c r="R117" s="10">
        <f>sum(F117:K117,M117:P117)/(COUNTIF(B117:P117, 1) + (COUNTIF(B117:P117, 0)) + COUNTIF(B117:P117, 0.5))</f>
        <v>0.55</v>
      </c>
    </row>
    <row r="118">
      <c r="A118" s="7">
        <v>134.0</v>
      </c>
      <c r="B118" s="8">
        <v>1109.0</v>
      </c>
      <c r="C118" s="8">
        <v>76.0</v>
      </c>
      <c r="D118" s="9"/>
      <c r="E118" s="9"/>
      <c r="F118" s="7">
        <v>39.1663</v>
      </c>
      <c r="G118" s="7">
        <v>-123.208</v>
      </c>
      <c r="H118" s="3" t="s">
        <v>332</v>
      </c>
      <c r="I118" s="3" t="s">
        <v>18</v>
      </c>
      <c r="J118" s="3" t="s">
        <v>344</v>
      </c>
      <c r="K118" s="1"/>
      <c r="L118" s="2" t="s">
        <v>334</v>
      </c>
      <c r="M118" s="1"/>
      <c r="N118" s="1"/>
      <c r="O118" s="4" t="s">
        <v>231</v>
      </c>
      <c r="P118" s="3" t="s">
        <v>345</v>
      </c>
      <c r="Q118" s="5" t="s">
        <v>346</v>
      </c>
      <c r="R118" s="10"/>
    </row>
    <row r="119">
      <c r="A119" s="11" t="s">
        <v>347</v>
      </c>
      <c r="B119" s="8"/>
      <c r="C119" s="8"/>
      <c r="D119" s="8"/>
      <c r="E119" s="8"/>
      <c r="F119" s="11">
        <v>0.0</v>
      </c>
      <c r="G119" s="11">
        <v>0.0</v>
      </c>
      <c r="H119" s="12">
        <v>1.0</v>
      </c>
      <c r="I119" s="12">
        <v>1.0</v>
      </c>
      <c r="J119" s="12">
        <v>0.0</v>
      </c>
      <c r="K119" s="12">
        <v>1.0</v>
      </c>
      <c r="L119" s="2"/>
      <c r="M119" s="12">
        <v>1.0</v>
      </c>
      <c r="N119" s="12">
        <v>1.0</v>
      </c>
      <c r="O119" s="13">
        <v>1.0</v>
      </c>
      <c r="P119" s="12">
        <v>0.0</v>
      </c>
      <c r="Q119" s="5"/>
      <c r="R119" s="10">
        <f>sum(F119:K119,M119:P119)/(COUNTIF(B119:P119, 1) + (COUNTIF(B119:P119, 0)) + COUNTIF(B119:P119, 0.5))</f>
        <v>0.6</v>
      </c>
    </row>
    <row r="120">
      <c r="A120" s="7">
        <v>306.0</v>
      </c>
      <c r="B120" s="8">
        <v>1110.0</v>
      </c>
      <c r="C120" s="8">
        <v>20.0</v>
      </c>
      <c r="D120" s="8">
        <v>38.4437</v>
      </c>
      <c r="E120" s="8">
        <v>-122.715</v>
      </c>
      <c r="F120" s="7">
        <v>38.4437</v>
      </c>
      <c r="G120" s="7">
        <v>-122.715</v>
      </c>
      <c r="H120" s="3" t="s">
        <v>348</v>
      </c>
      <c r="I120" s="1"/>
      <c r="J120" s="3" t="s">
        <v>349</v>
      </c>
      <c r="K120" s="3" t="s">
        <v>350</v>
      </c>
      <c r="L120" s="2" t="s">
        <v>350</v>
      </c>
      <c r="M120" s="3" t="s">
        <v>351</v>
      </c>
      <c r="N120" s="3" t="s">
        <v>43</v>
      </c>
      <c r="O120" s="4" t="s">
        <v>242</v>
      </c>
      <c r="P120" s="3" t="s">
        <v>243</v>
      </c>
      <c r="Q120" s="5" t="s">
        <v>352</v>
      </c>
      <c r="R120" s="10"/>
    </row>
    <row r="121">
      <c r="A121" s="11" t="s">
        <v>353</v>
      </c>
      <c r="B121" s="8"/>
      <c r="C121" s="8"/>
      <c r="D121" s="9"/>
      <c r="E121" s="9"/>
      <c r="F121" s="11">
        <v>0.0</v>
      </c>
      <c r="G121" s="11">
        <v>0.0</v>
      </c>
      <c r="H121" s="12">
        <v>1.0</v>
      </c>
      <c r="I121" s="12">
        <v>1.0</v>
      </c>
      <c r="J121" s="12">
        <v>1.0</v>
      </c>
      <c r="K121" s="12">
        <v>1.0</v>
      </c>
      <c r="L121" s="9"/>
      <c r="M121" s="12">
        <v>1.0</v>
      </c>
      <c r="N121" s="12">
        <v>1.0</v>
      </c>
      <c r="O121" s="13">
        <v>1.0</v>
      </c>
      <c r="P121" s="12">
        <v>1.0</v>
      </c>
      <c r="Q121" s="5"/>
      <c r="R121" s="10">
        <f>sum(F121:K121,M121:P121)/(COUNTIF(B121:P121, 1) + (COUNTIF(B121:P121, 0)) + COUNTIF(B121:P121, 0.5))</f>
        <v>0.8</v>
      </c>
    </row>
    <row r="122">
      <c r="A122" s="7">
        <v>349.0</v>
      </c>
      <c r="B122" s="8">
        <v>1110.0</v>
      </c>
      <c r="C122" s="8">
        <v>21.0</v>
      </c>
      <c r="D122" s="9"/>
      <c r="E122" s="9"/>
      <c r="F122" s="7">
        <v>38.4437</v>
      </c>
      <c r="G122" s="7">
        <v>-122.707</v>
      </c>
      <c r="H122" s="3" t="s">
        <v>354</v>
      </c>
      <c r="I122" s="3" t="s">
        <v>18</v>
      </c>
      <c r="J122" s="3" t="s">
        <v>349</v>
      </c>
      <c r="K122" s="3" t="s">
        <v>350</v>
      </c>
      <c r="L122" s="9"/>
      <c r="M122" s="3" t="s">
        <v>355</v>
      </c>
      <c r="N122" s="3" t="s">
        <v>356</v>
      </c>
      <c r="O122" s="4" t="s">
        <v>242</v>
      </c>
      <c r="P122" s="3" t="s">
        <v>243</v>
      </c>
      <c r="Q122" s="5" t="s">
        <v>357</v>
      </c>
      <c r="R122" s="10"/>
    </row>
    <row r="123">
      <c r="A123" s="11" t="s">
        <v>358</v>
      </c>
      <c r="B123" s="8"/>
      <c r="C123" s="8"/>
      <c r="D123" s="8"/>
      <c r="E123" s="8"/>
      <c r="F123" s="12">
        <v>0.0</v>
      </c>
      <c r="G123" s="12">
        <v>0.0</v>
      </c>
      <c r="H123" s="12">
        <v>0.5</v>
      </c>
      <c r="I123" s="12">
        <v>1.0</v>
      </c>
      <c r="J123" s="12">
        <v>1.0</v>
      </c>
      <c r="K123" s="12">
        <v>1.0</v>
      </c>
      <c r="L123" s="9"/>
      <c r="M123" s="12">
        <v>1.0</v>
      </c>
      <c r="N123" s="12">
        <v>1.0</v>
      </c>
      <c r="O123" s="13">
        <v>1.0</v>
      </c>
      <c r="P123" s="12">
        <v>1.0</v>
      </c>
      <c r="Q123" s="5"/>
      <c r="R123" s="10">
        <f>sum(F123:K123,M123:P123)/(COUNTIF(B123:P123, 1) + (COUNTIF(B123:P123, 0)) + COUNTIF(B123:P123, 0.5))</f>
        <v>0.75</v>
      </c>
    </row>
    <row r="124">
      <c r="A124" s="7">
        <v>0.0</v>
      </c>
      <c r="B124" s="8">
        <v>1110.0</v>
      </c>
      <c r="C124" s="8">
        <v>23.0</v>
      </c>
      <c r="D124" s="8">
        <v>38.5962</v>
      </c>
      <c r="E124" s="8">
        <v>-122.861</v>
      </c>
      <c r="F124" s="1"/>
      <c r="G124" s="1"/>
      <c r="H124" s="3" t="s">
        <v>359</v>
      </c>
      <c r="I124" s="3" t="s">
        <v>18</v>
      </c>
      <c r="J124" s="3" t="s">
        <v>360</v>
      </c>
      <c r="K124" s="3" t="s">
        <v>350</v>
      </c>
      <c r="L124" s="9"/>
      <c r="M124" s="3" t="s">
        <v>361</v>
      </c>
      <c r="N124" s="3" t="s">
        <v>362</v>
      </c>
      <c r="O124" s="4" t="s">
        <v>242</v>
      </c>
      <c r="P124" s="3" t="s">
        <v>243</v>
      </c>
      <c r="Q124" s="5" t="s">
        <v>363</v>
      </c>
      <c r="R124" s="10"/>
    </row>
    <row r="125">
      <c r="A125" s="11" t="s">
        <v>364</v>
      </c>
      <c r="B125" s="8"/>
      <c r="C125" s="8"/>
      <c r="D125" s="8"/>
      <c r="E125" s="8"/>
      <c r="F125" s="12">
        <v>1.0</v>
      </c>
      <c r="G125" s="12">
        <v>1.0</v>
      </c>
      <c r="H125" s="12">
        <v>1.0</v>
      </c>
      <c r="I125" s="12">
        <v>1.0</v>
      </c>
      <c r="J125" s="12">
        <v>1.0</v>
      </c>
      <c r="K125" s="12">
        <v>0.0</v>
      </c>
      <c r="L125" s="9"/>
      <c r="M125" s="12">
        <v>1.0</v>
      </c>
      <c r="N125" s="12">
        <v>1.0</v>
      </c>
      <c r="O125" s="13">
        <v>1.0</v>
      </c>
      <c r="P125" s="12">
        <v>1.0</v>
      </c>
      <c r="Q125" s="5"/>
      <c r="R125" s="10">
        <f>sum(F125:K125,M125:P125)/(COUNTIF(B125:P125, 1) + (COUNTIF(B125:P125, 0)) + COUNTIF(B125:P125, 0.5))</f>
        <v>0.9</v>
      </c>
    </row>
    <row r="126">
      <c r="A126" s="7">
        <v>1.0</v>
      </c>
      <c r="B126" s="8">
        <v>1110.0</v>
      </c>
      <c r="C126" s="8">
        <v>23.0</v>
      </c>
      <c r="D126" s="8">
        <v>38.4442</v>
      </c>
      <c r="E126" s="8">
        <v>-122.711</v>
      </c>
      <c r="F126" s="1"/>
      <c r="G126" s="1"/>
      <c r="H126" s="3" t="s">
        <v>359</v>
      </c>
      <c r="I126" s="3" t="s">
        <v>18</v>
      </c>
      <c r="J126" s="3" t="s">
        <v>365</v>
      </c>
      <c r="K126" s="3" t="s">
        <v>350</v>
      </c>
      <c r="L126" s="9"/>
      <c r="M126" s="3" t="s">
        <v>361</v>
      </c>
      <c r="N126" s="3" t="s">
        <v>362</v>
      </c>
      <c r="O126" s="4" t="s">
        <v>242</v>
      </c>
      <c r="P126" s="3" t="s">
        <v>243</v>
      </c>
      <c r="Q126" s="5" t="s">
        <v>363</v>
      </c>
      <c r="R126" s="10"/>
    </row>
    <row r="127">
      <c r="A127" s="11" t="s">
        <v>366</v>
      </c>
      <c r="B127" s="8"/>
      <c r="C127" s="8"/>
      <c r="D127" s="8"/>
      <c r="E127" s="8"/>
      <c r="F127" s="12">
        <v>1.0</v>
      </c>
      <c r="G127" s="12">
        <v>1.0</v>
      </c>
      <c r="H127" s="12">
        <v>1.0</v>
      </c>
      <c r="I127" s="12">
        <v>1.0</v>
      </c>
      <c r="J127" s="12">
        <v>1.0</v>
      </c>
      <c r="K127" s="12">
        <v>0.0</v>
      </c>
      <c r="L127" s="9"/>
      <c r="M127" s="12">
        <v>1.0</v>
      </c>
      <c r="N127" s="12">
        <v>1.0</v>
      </c>
      <c r="O127" s="13">
        <v>1.0</v>
      </c>
      <c r="P127" s="12">
        <v>1.0</v>
      </c>
      <c r="Q127" s="5"/>
      <c r="R127" s="10">
        <f>sum(F127:K127,M127:P127)/(COUNTIF(B127:P127, 1) + (COUNTIF(B127:P127, 0)) + COUNTIF(B127:P127, 0.5))</f>
        <v>0.9</v>
      </c>
    </row>
    <row r="128">
      <c r="A128" s="7">
        <v>2.0</v>
      </c>
      <c r="B128" s="8">
        <v>1110.0</v>
      </c>
      <c r="C128" s="8">
        <v>23.0</v>
      </c>
      <c r="D128" s="8">
        <v>38.4409</v>
      </c>
      <c r="E128" s="8">
        <v>-122.715</v>
      </c>
      <c r="F128" s="1"/>
      <c r="G128" s="1"/>
      <c r="H128" s="3" t="s">
        <v>359</v>
      </c>
      <c r="I128" s="3" t="s">
        <v>18</v>
      </c>
      <c r="J128" s="3" t="s">
        <v>349</v>
      </c>
      <c r="K128" s="3" t="s">
        <v>350</v>
      </c>
      <c r="L128" s="9"/>
      <c r="M128" s="3" t="s">
        <v>361</v>
      </c>
      <c r="N128" s="3" t="s">
        <v>362</v>
      </c>
      <c r="O128" s="4" t="s">
        <v>242</v>
      </c>
      <c r="P128" s="3" t="s">
        <v>243</v>
      </c>
      <c r="Q128" s="5" t="s">
        <v>363</v>
      </c>
      <c r="R128" s="10"/>
    </row>
    <row r="129">
      <c r="A129" s="11" t="s">
        <v>367</v>
      </c>
      <c r="B129" s="8"/>
      <c r="C129" s="8"/>
      <c r="D129" s="8"/>
      <c r="E129" s="8"/>
      <c r="F129" s="12">
        <v>1.0</v>
      </c>
      <c r="G129" s="12">
        <v>1.0</v>
      </c>
      <c r="H129" s="12">
        <v>1.0</v>
      </c>
      <c r="I129" s="12">
        <v>1.0</v>
      </c>
      <c r="J129" s="12">
        <v>1.0</v>
      </c>
      <c r="K129" s="12">
        <v>0.0</v>
      </c>
      <c r="L129" s="9"/>
      <c r="M129" s="12">
        <v>1.0</v>
      </c>
      <c r="N129" s="12">
        <v>1.0</v>
      </c>
      <c r="O129" s="13">
        <v>1.0</v>
      </c>
      <c r="P129" s="12">
        <v>1.0</v>
      </c>
      <c r="Q129" s="5"/>
      <c r="R129" s="10">
        <f>sum(F129:K129,M129:P129)/(COUNTIF(B129:P129, 1) + (COUNTIF(B129:P129, 0)) + COUNTIF(B129:P129, 0.5))</f>
        <v>0.9</v>
      </c>
    </row>
    <row r="130">
      <c r="A130" s="7">
        <v>3.0</v>
      </c>
      <c r="B130" s="8">
        <v>1110.0</v>
      </c>
      <c r="C130" s="8">
        <v>23.0</v>
      </c>
      <c r="D130" s="8">
        <v>38.242</v>
      </c>
      <c r="E130" s="8">
        <v>-122.641</v>
      </c>
      <c r="F130" s="1"/>
      <c r="G130" s="1"/>
      <c r="H130" s="3" t="s">
        <v>359</v>
      </c>
      <c r="I130" s="3" t="s">
        <v>18</v>
      </c>
      <c r="J130" s="3" t="s">
        <v>368</v>
      </c>
      <c r="K130" s="3" t="s">
        <v>350</v>
      </c>
      <c r="L130" s="9"/>
      <c r="M130" s="3" t="s">
        <v>361</v>
      </c>
      <c r="N130" s="3" t="s">
        <v>362</v>
      </c>
      <c r="O130" s="4" t="s">
        <v>242</v>
      </c>
      <c r="P130" s="3" t="s">
        <v>243</v>
      </c>
      <c r="Q130" s="5" t="s">
        <v>363</v>
      </c>
      <c r="R130" s="10"/>
    </row>
    <row r="131">
      <c r="A131" s="11" t="s">
        <v>369</v>
      </c>
      <c r="B131" s="8"/>
      <c r="C131" s="8"/>
      <c r="D131" s="8"/>
      <c r="E131" s="8"/>
      <c r="F131" s="12">
        <v>1.0</v>
      </c>
      <c r="G131" s="12">
        <v>1.0</v>
      </c>
      <c r="H131" s="12">
        <v>1.0</v>
      </c>
      <c r="I131" s="12">
        <v>1.0</v>
      </c>
      <c r="J131" s="12">
        <v>1.0</v>
      </c>
      <c r="K131" s="12">
        <v>0.0</v>
      </c>
      <c r="L131" s="2"/>
      <c r="M131" s="12">
        <v>1.0</v>
      </c>
      <c r="N131" s="12">
        <v>1.0</v>
      </c>
      <c r="O131" s="13">
        <v>1.0</v>
      </c>
      <c r="P131" s="12">
        <v>1.0</v>
      </c>
      <c r="Q131" s="5"/>
      <c r="R131" s="10">
        <f>sum(F131:K131,M131:P131)/(COUNTIF(B131:P131, 1) + (COUNTIF(B131:P131, 0)) + COUNTIF(B131:P131, 0.5))</f>
        <v>0.9</v>
      </c>
    </row>
    <row r="132">
      <c r="A132" s="7">
        <v>4.0</v>
      </c>
      <c r="B132" s="8">
        <v>1110.0</v>
      </c>
      <c r="C132" s="8">
        <v>23.0</v>
      </c>
      <c r="D132" s="8">
        <v>38.4372</v>
      </c>
      <c r="E132" s="8">
        <v>-122.703</v>
      </c>
      <c r="F132" s="1"/>
      <c r="G132" s="1"/>
      <c r="H132" s="3" t="s">
        <v>359</v>
      </c>
      <c r="I132" s="3" t="s">
        <v>18</v>
      </c>
      <c r="J132" s="3" t="s">
        <v>370</v>
      </c>
      <c r="K132" s="1"/>
      <c r="L132" s="2" t="s">
        <v>350</v>
      </c>
      <c r="M132" s="3" t="s">
        <v>371</v>
      </c>
      <c r="N132" s="3" t="s">
        <v>362</v>
      </c>
      <c r="O132" s="4" t="s">
        <v>242</v>
      </c>
      <c r="P132" s="3" t="s">
        <v>243</v>
      </c>
      <c r="Q132" s="5" t="s">
        <v>363</v>
      </c>
      <c r="R132" s="10"/>
    </row>
    <row r="133">
      <c r="A133" s="11" t="s">
        <v>372</v>
      </c>
      <c r="B133" s="8"/>
      <c r="C133" s="8"/>
      <c r="D133" s="9"/>
      <c r="E133" s="9"/>
      <c r="F133" s="11">
        <v>1.0</v>
      </c>
      <c r="G133" s="11">
        <v>1.0</v>
      </c>
      <c r="H133" s="12">
        <v>1.0</v>
      </c>
      <c r="I133" s="12">
        <v>1.0</v>
      </c>
      <c r="J133" s="12">
        <v>1.0</v>
      </c>
      <c r="K133" s="12">
        <v>1.0</v>
      </c>
      <c r="L133" s="9"/>
      <c r="M133" s="12">
        <v>1.0</v>
      </c>
      <c r="N133" s="12">
        <v>1.0</v>
      </c>
      <c r="O133" s="13">
        <v>1.0</v>
      </c>
      <c r="P133" s="12">
        <v>1.0</v>
      </c>
      <c r="Q133" s="5"/>
      <c r="R133" s="10">
        <f>sum(F133:K133,M133:P133)/(COUNTIF(B133:P133, 1) + (COUNTIF(B133:P133, 0)) + COUNTIF(B133:P133, 0.5))</f>
        <v>1</v>
      </c>
    </row>
    <row r="134">
      <c r="A134" s="7">
        <v>145.0</v>
      </c>
      <c r="B134" s="8">
        <v>1110.0</v>
      </c>
      <c r="C134" s="8">
        <v>130.0</v>
      </c>
      <c r="D134" s="9"/>
      <c r="E134" s="9"/>
      <c r="F134" s="7">
        <v>38.23</v>
      </c>
      <c r="G134" s="7">
        <v>-122.63</v>
      </c>
      <c r="H134" s="3" t="s">
        <v>373</v>
      </c>
      <c r="I134" s="1"/>
      <c r="J134" s="3" t="s">
        <v>374</v>
      </c>
      <c r="K134" s="3" t="s">
        <v>350</v>
      </c>
      <c r="L134" s="9"/>
      <c r="M134" s="3" t="s">
        <v>375</v>
      </c>
      <c r="N134" s="3" t="s">
        <v>139</v>
      </c>
      <c r="O134" s="4" t="s">
        <v>231</v>
      </c>
      <c r="P134" s="3" t="s">
        <v>251</v>
      </c>
      <c r="Q134" s="5" t="s">
        <v>376</v>
      </c>
      <c r="R134" s="10"/>
    </row>
    <row r="135">
      <c r="A135" s="11" t="s">
        <v>377</v>
      </c>
      <c r="B135" s="8"/>
      <c r="C135" s="8"/>
      <c r="D135" s="8"/>
      <c r="E135" s="8"/>
      <c r="F135" s="12">
        <v>0.0</v>
      </c>
      <c r="G135" s="12">
        <v>0.0</v>
      </c>
      <c r="H135" s="12">
        <v>1.0</v>
      </c>
      <c r="I135" s="12">
        <v>1.0</v>
      </c>
      <c r="J135" s="12">
        <v>1.0</v>
      </c>
      <c r="K135" s="12">
        <v>0.0</v>
      </c>
      <c r="L135" s="2"/>
      <c r="M135" s="12">
        <v>1.0</v>
      </c>
      <c r="N135" s="12">
        <v>1.0</v>
      </c>
      <c r="O135" s="13">
        <v>1.0</v>
      </c>
      <c r="P135" s="12">
        <v>1.0</v>
      </c>
      <c r="Q135" s="5"/>
      <c r="R135" s="10">
        <f>sum(F135:K135,M135:P135)/(COUNTIF(B135:P135, 1) + (COUNTIF(B135:P135, 0)) + COUNTIF(B135:P135, 0.5))</f>
        <v>0.7</v>
      </c>
    </row>
    <row r="136">
      <c r="A136" s="7">
        <v>300.0</v>
      </c>
      <c r="B136" s="8">
        <v>1128.0</v>
      </c>
      <c r="C136" s="8">
        <v>17.0</v>
      </c>
      <c r="D136" s="8">
        <v>38.7</v>
      </c>
      <c r="E136" s="8">
        <v>-121.9</v>
      </c>
      <c r="F136" s="1"/>
      <c r="G136" s="1"/>
      <c r="H136" s="3" t="s">
        <v>378</v>
      </c>
      <c r="I136" s="3" t="s">
        <v>18</v>
      </c>
      <c r="J136" s="3" t="s">
        <v>379</v>
      </c>
      <c r="K136" s="3" t="s">
        <v>380</v>
      </c>
      <c r="L136" s="2" t="s">
        <v>380</v>
      </c>
      <c r="M136" s="3" t="s">
        <v>381</v>
      </c>
      <c r="N136" s="3" t="s">
        <v>382</v>
      </c>
      <c r="O136" s="4" t="s">
        <v>383</v>
      </c>
      <c r="P136" s="3" t="s">
        <v>24</v>
      </c>
      <c r="Q136" s="5" t="s">
        <v>384</v>
      </c>
      <c r="R136" s="10"/>
    </row>
    <row r="137">
      <c r="A137" s="11" t="s">
        <v>385</v>
      </c>
      <c r="B137" s="8"/>
      <c r="C137" s="8"/>
      <c r="D137" s="8"/>
      <c r="E137" s="8"/>
      <c r="F137" s="12">
        <v>1.0</v>
      </c>
      <c r="G137" s="12">
        <v>1.0</v>
      </c>
      <c r="H137" s="12">
        <v>1.0</v>
      </c>
      <c r="I137" s="12">
        <v>1.0</v>
      </c>
      <c r="J137" s="12">
        <v>1.0</v>
      </c>
      <c r="K137" s="12">
        <v>1.0</v>
      </c>
      <c r="L137" s="2"/>
      <c r="M137" s="12">
        <v>1.0</v>
      </c>
      <c r="N137" s="12">
        <v>0.5</v>
      </c>
      <c r="O137" s="13">
        <v>1.0</v>
      </c>
      <c r="P137" s="12">
        <v>1.0</v>
      </c>
      <c r="Q137" s="5"/>
      <c r="R137" s="10">
        <f>sum(F137:K137,M137:P137)/(COUNTIF(B137:P137, 1) + (COUNTIF(B137:P137, 0)) + COUNTIF(B137:P137, 0.5))</f>
        <v>0.95</v>
      </c>
    </row>
    <row r="138">
      <c r="A138" s="7">
        <v>301.0</v>
      </c>
      <c r="B138" s="8">
        <v>1128.0</v>
      </c>
      <c r="C138" s="8">
        <v>17.0</v>
      </c>
      <c r="D138" s="8">
        <v>38.7</v>
      </c>
      <c r="E138" s="8">
        <v>-121.9</v>
      </c>
      <c r="F138" s="1"/>
      <c r="G138" s="1"/>
      <c r="H138" s="3" t="s">
        <v>386</v>
      </c>
      <c r="I138" s="3" t="s">
        <v>18</v>
      </c>
      <c r="J138" s="3" t="s">
        <v>387</v>
      </c>
      <c r="K138" s="3" t="s">
        <v>380</v>
      </c>
      <c r="L138" s="2" t="s">
        <v>380</v>
      </c>
      <c r="M138" s="3" t="s">
        <v>388</v>
      </c>
      <c r="N138" s="3" t="s">
        <v>382</v>
      </c>
      <c r="O138" s="4" t="s">
        <v>383</v>
      </c>
      <c r="P138" s="3" t="s">
        <v>24</v>
      </c>
      <c r="Q138" s="5" t="s">
        <v>384</v>
      </c>
      <c r="R138" s="10"/>
    </row>
    <row r="139">
      <c r="A139" s="11" t="s">
        <v>389</v>
      </c>
      <c r="B139" s="8"/>
      <c r="C139" s="8"/>
      <c r="D139" s="8"/>
      <c r="E139" s="8"/>
      <c r="F139" s="12">
        <v>1.0</v>
      </c>
      <c r="G139" s="12">
        <v>1.0</v>
      </c>
      <c r="H139" s="12">
        <v>1.0</v>
      </c>
      <c r="I139" s="12">
        <v>1.0</v>
      </c>
      <c r="J139" s="12">
        <v>1.0</v>
      </c>
      <c r="K139" s="12">
        <v>1.0</v>
      </c>
      <c r="L139" s="2"/>
      <c r="M139" s="12">
        <v>1.0</v>
      </c>
      <c r="N139" s="12">
        <v>0.5</v>
      </c>
      <c r="O139" s="13">
        <v>1.0</v>
      </c>
      <c r="P139" s="12">
        <v>1.0</v>
      </c>
      <c r="Q139" s="5"/>
      <c r="R139" s="10">
        <f>sum(F139:K139,M139:P139)/(COUNTIF(B139:P139, 1) + (COUNTIF(B139:P139, 0)) + COUNTIF(B139:P139, 0.5))</f>
        <v>0.95</v>
      </c>
    </row>
    <row r="140">
      <c r="A140" s="7">
        <v>302.0</v>
      </c>
      <c r="B140" s="8">
        <v>1128.0</v>
      </c>
      <c r="C140" s="8">
        <v>17.0</v>
      </c>
      <c r="D140" s="8">
        <v>38.7</v>
      </c>
      <c r="E140" s="8">
        <v>-121.9</v>
      </c>
      <c r="F140" s="1"/>
      <c r="G140" s="1"/>
      <c r="H140" s="3" t="s">
        <v>390</v>
      </c>
      <c r="I140" s="3" t="s">
        <v>18</v>
      </c>
      <c r="J140" s="3" t="s">
        <v>391</v>
      </c>
      <c r="K140" s="3" t="s">
        <v>380</v>
      </c>
      <c r="L140" s="2" t="s">
        <v>380</v>
      </c>
      <c r="M140" s="3" t="s">
        <v>392</v>
      </c>
      <c r="N140" s="3" t="s">
        <v>393</v>
      </c>
      <c r="O140" s="4" t="s">
        <v>383</v>
      </c>
      <c r="P140" s="3" t="s">
        <v>24</v>
      </c>
      <c r="Q140" s="5" t="s">
        <v>384</v>
      </c>
      <c r="R140" s="10"/>
    </row>
    <row r="141">
      <c r="A141" s="11" t="s">
        <v>394</v>
      </c>
      <c r="B141" s="8"/>
      <c r="C141" s="8"/>
      <c r="D141" s="8"/>
      <c r="E141" s="8"/>
      <c r="F141" s="12">
        <v>1.0</v>
      </c>
      <c r="G141" s="12">
        <v>1.0</v>
      </c>
      <c r="H141" s="12">
        <v>1.0</v>
      </c>
      <c r="I141" s="12">
        <v>1.0</v>
      </c>
      <c r="J141" s="12">
        <v>1.0</v>
      </c>
      <c r="K141" s="12">
        <v>1.0</v>
      </c>
      <c r="L141" s="2"/>
      <c r="M141" s="12">
        <v>0.5</v>
      </c>
      <c r="N141" s="12">
        <v>0.0</v>
      </c>
      <c r="O141" s="13">
        <v>1.0</v>
      </c>
      <c r="P141" s="12">
        <v>1.0</v>
      </c>
      <c r="Q141" s="24"/>
      <c r="R141" s="10">
        <f>sum(F141:K141,M141:P141)/(COUNTIF(B141:P141, 1) + (COUNTIF(B141:P141, 0)) + COUNTIF(B141:P141, 0.5))</f>
        <v>0.85</v>
      </c>
    </row>
    <row r="142">
      <c r="A142" s="7">
        <v>303.0</v>
      </c>
      <c r="B142" s="8">
        <v>1128.0</v>
      </c>
      <c r="C142" s="8">
        <v>17.0</v>
      </c>
      <c r="D142" s="8">
        <v>38.7</v>
      </c>
      <c r="E142" s="8">
        <v>-121.9</v>
      </c>
      <c r="F142" s="1"/>
      <c r="G142" s="1"/>
      <c r="H142" s="3" t="s">
        <v>390</v>
      </c>
      <c r="I142" s="3" t="s">
        <v>18</v>
      </c>
      <c r="J142" s="3" t="s">
        <v>395</v>
      </c>
      <c r="K142" s="3" t="s">
        <v>380</v>
      </c>
      <c r="L142" s="2" t="s">
        <v>380</v>
      </c>
      <c r="M142" s="3" t="s">
        <v>396</v>
      </c>
      <c r="N142" s="1"/>
      <c r="O142" s="4" t="s">
        <v>383</v>
      </c>
      <c r="P142" s="3" t="s">
        <v>24</v>
      </c>
      <c r="Q142" s="5" t="s">
        <v>384</v>
      </c>
      <c r="R142" s="10"/>
    </row>
    <row r="143">
      <c r="A143" s="11" t="s">
        <v>397</v>
      </c>
      <c r="B143" s="8"/>
      <c r="C143" s="8"/>
      <c r="D143" s="8"/>
      <c r="E143" s="8"/>
      <c r="F143" s="12">
        <v>1.0</v>
      </c>
      <c r="G143" s="12">
        <v>1.0</v>
      </c>
      <c r="H143" s="12">
        <v>1.0</v>
      </c>
      <c r="I143" s="12">
        <v>1.0</v>
      </c>
      <c r="J143" s="12">
        <v>1.0</v>
      </c>
      <c r="K143" s="12">
        <v>1.0</v>
      </c>
      <c r="L143" s="2"/>
      <c r="M143" s="12">
        <v>1.0</v>
      </c>
      <c r="N143" s="12">
        <v>1.0</v>
      </c>
      <c r="O143" s="13">
        <v>1.0</v>
      </c>
      <c r="P143" s="12">
        <v>1.0</v>
      </c>
      <c r="Q143" s="5"/>
      <c r="R143" s="10">
        <f>sum(F143:K143,M143:P143)/(COUNTIF(B143:P143, 1) + (COUNTIF(B143:P143, 0)) + COUNTIF(B143:P143, 0.5))</f>
        <v>1</v>
      </c>
    </row>
    <row r="144">
      <c r="A144" s="7">
        <v>304.0</v>
      </c>
      <c r="B144" s="8">
        <v>1128.0</v>
      </c>
      <c r="C144" s="8">
        <v>17.0</v>
      </c>
      <c r="D144" s="8">
        <v>38.7</v>
      </c>
      <c r="E144" s="8">
        <v>-121.9</v>
      </c>
      <c r="F144" s="1"/>
      <c r="G144" s="1"/>
      <c r="H144" s="3" t="s">
        <v>398</v>
      </c>
      <c r="I144" s="3" t="s">
        <v>18</v>
      </c>
      <c r="J144" s="3" t="s">
        <v>399</v>
      </c>
      <c r="K144" s="3" t="s">
        <v>380</v>
      </c>
      <c r="L144" s="2" t="s">
        <v>380</v>
      </c>
      <c r="M144" s="1"/>
      <c r="N144" s="1"/>
      <c r="O144" s="4" t="s">
        <v>400</v>
      </c>
      <c r="P144" s="3" t="s">
        <v>56</v>
      </c>
      <c r="Q144" s="5" t="s">
        <v>401</v>
      </c>
      <c r="R144" s="10"/>
    </row>
    <row r="145">
      <c r="A145" s="11" t="s">
        <v>402</v>
      </c>
      <c r="B145" s="8"/>
      <c r="C145" s="8"/>
      <c r="D145" s="8"/>
      <c r="E145" s="8"/>
      <c r="F145" s="11">
        <v>1.0</v>
      </c>
      <c r="G145" s="11">
        <v>1.0</v>
      </c>
      <c r="H145" s="12">
        <v>0.0</v>
      </c>
      <c r="I145" s="12">
        <v>1.0</v>
      </c>
      <c r="J145" s="12">
        <v>1.0</v>
      </c>
      <c r="K145" s="12">
        <v>1.0</v>
      </c>
      <c r="L145" s="2"/>
      <c r="M145" s="11">
        <v>1.0</v>
      </c>
      <c r="N145" s="12">
        <v>1.0</v>
      </c>
      <c r="O145" s="13">
        <v>1.0</v>
      </c>
      <c r="P145" s="12">
        <v>1.0</v>
      </c>
      <c r="Q145" s="5"/>
      <c r="R145" s="10">
        <f>sum(F145:K145,M145:P145)/(COUNTIF(B145:P145, 1) + (COUNTIF(B145:P145, 0)) + COUNTIF(B145:P145, 0.5))</f>
        <v>0.9</v>
      </c>
    </row>
    <row r="146">
      <c r="A146" s="7">
        <v>280.0</v>
      </c>
      <c r="B146" s="8">
        <v>1128.0</v>
      </c>
      <c r="C146" s="8">
        <v>26.0</v>
      </c>
      <c r="D146" s="8">
        <v>38.678</v>
      </c>
      <c r="E146" s="8">
        <v>-121.739</v>
      </c>
      <c r="F146" s="7">
        <v>38.678</v>
      </c>
      <c r="G146" s="7">
        <v>-121.739</v>
      </c>
      <c r="H146" s="3" t="s">
        <v>403</v>
      </c>
      <c r="I146" s="3" t="s">
        <v>18</v>
      </c>
      <c r="J146" s="3" t="s">
        <v>404</v>
      </c>
      <c r="K146" s="3" t="s">
        <v>405</v>
      </c>
      <c r="L146" s="2" t="s">
        <v>405</v>
      </c>
      <c r="M146" s="7">
        <v>1900.0</v>
      </c>
      <c r="N146" s="1"/>
      <c r="O146" s="4" t="s">
        <v>406</v>
      </c>
      <c r="P146" s="3" t="s">
        <v>251</v>
      </c>
      <c r="Q146" s="5" t="s">
        <v>407</v>
      </c>
      <c r="R146" s="10"/>
    </row>
    <row r="147">
      <c r="A147" s="11" t="s">
        <v>408</v>
      </c>
      <c r="B147" s="8"/>
      <c r="C147" s="8"/>
      <c r="D147" s="8"/>
      <c r="E147" s="8"/>
      <c r="F147" s="12">
        <v>0.0</v>
      </c>
      <c r="G147" s="12">
        <v>0.0</v>
      </c>
      <c r="H147" s="12">
        <v>1.0</v>
      </c>
      <c r="I147" s="12">
        <v>1.0</v>
      </c>
      <c r="J147" s="12">
        <v>1.0</v>
      </c>
      <c r="K147" s="12">
        <v>0.0</v>
      </c>
      <c r="L147" s="2"/>
      <c r="M147" s="12">
        <v>1.0</v>
      </c>
      <c r="N147" s="12">
        <v>1.0</v>
      </c>
      <c r="O147" s="13">
        <v>1.0</v>
      </c>
      <c r="P147" s="12">
        <v>1.0</v>
      </c>
      <c r="Q147" s="5"/>
      <c r="R147" s="10">
        <f>sum(F147:K147,M147:P147)/(COUNTIF(B147:P147, 1) + (COUNTIF(B147:P147, 0)) + COUNTIF(B147:P147, 0.5))</f>
        <v>0.7</v>
      </c>
    </row>
    <row r="148">
      <c r="A148" s="7">
        <v>421.0</v>
      </c>
      <c r="B148" s="8">
        <v>1137.0</v>
      </c>
      <c r="C148" s="8">
        <v>42.0</v>
      </c>
      <c r="D148" s="8">
        <v>32.6678</v>
      </c>
      <c r="E148" s="8">
        <v>-114.614</v>
      </c>
      <c r="F148" s="1"/>
      <c r="G148" s="1"/>
      <c r="H148" s="3" t="s">
        <v>409</v>
      </c>
      <c r="I148" s="3" t="s">
        <v>18</v>
      </c>
      <c r="J148" s="3" t="s">
        <v>410</v>
      </c>
      <c r="K148" s="1"/>
      <c r="L148" s="2" t="s">
        <v>411</v>
      </c>
      <c r="M148" s="3" t="s">
        <v>412</v>
      </c>
      <c r="N148" s="3" t="s">
        <v>43</v>
      </c>
      <c r="O148" s="4" t="s">
        <v>413</v>
      </c>
      <c r="P148" s="3" t="s">
        <v>56</v>
      </c>
      <c r="Q148" s="5" t="s">
        <v>414</v>
      </c>
      <c r="R148" s="10"/>
    </row>
    <row r="149">
      <c r="A149" s="11" t="s">
        <v>415</v>
      </c>
      <c r="B149" s="8"/>
      <c r="C149" s="8"/>
      <c r="D149" s="8"/>
      <c r="E149" s="8"/>
      <c r="F149" s="12">
        <v>1.0</v>
      </c>
      <c r="G149" s="12">
        <v>1.0</v>
      </c>
      <c r="H149" s="12">
        <v>1.0</v>
      </c>
      <c r="I149" s="12">
        <v>1.0</v>
      </c>
      <c r="J149" s="12">
        <v>1.0</v>
      </c>
      <c r="K149" s="12">
        <v>1.0</v>
      </c>
      <c r="L149" s="2"/>
      <c r="M149" s="12">
        <v>1.0</v>
      </c>
      <c r="N149" s="12">
        <v>1.0</v>
      </c>
      <c r="O149" s="13">
        <v>1.0</v>
      </c>
      <c r="P149" s="12">
        <v>1.0</v>
      </c>
      <c r="Q149" s="5"/>
      <c r="R149" s="10">
        <f>sum(F149:K149,M149:P149)/(COUNTIF(B149:P149, 1) + (COUNTIF(B149:P149, 0)) + COUNTIF(B149:P149, 0.5))</f>
        <v>1</v>
      </c>
    </row>
    <row r="150">
      <c r="A150" s="7">
        <v>284.0</v>
      </c>
      <c r="B150" s="8">
        <v>1137.0</v>
      </c>
      <c r="C150" s="8">
        <v>43.0</v>
      </c>
      <c r="D150" s="8">
        <v>32.6949</v>
      </c>
      <c r="E150" s="8">
        <v>-114.64</v>
      </c>
      <c r="F150" s="1"/>
      <c r="G150" s="1"/>
      <c r="H150" s="3" t="s">
        <v>409</v>
      </c>
      <c r="I150" s="3" t="s">
        <v>18</v>
      </c>
      <c r="J150" s="3" t="s">
        <v>416</v>
      </c>
      <c r="K150" s="1"/>
      <c r="L150" s="2" t="s">
        <v>145</v>
      </c>
      <c r="M150" s="3" t="s">
        <v>417</v>
      </c>
      <c r="N150" s="3" t="s">
        <v>43</v>
      </c>
      <c r="O150" s="4" t="s">
        <v>418</v>
      </c>
      <c r="P150" s="3" t="s">
        <v>56</v>
      </c>
      <c r="Q150" s="5" t="s">
        <v>419</v>
      </c>
      <c r="R150" s="10"/>
    </row>
    <row r="151">
      <c r="A151" s="11" t="s">
        <v>420</v>
      </c>
      <c r="B151" s="8"/>
      <c r="C151" s="8"/>
      <c r="D151" s="8"/>
      <c r="E151" s="8"/>
      <c r="F151" s="12">
        <v>1.0</v>
      </c>
      <c r="G151" s="12">
        <v>1.0</v>
      </c>
      <c r="H151" s="12">
        <v>1.0</v>
      </c>
      <c r="I151" s="12">
        <v>1.0</v>
      </c>
      <c r="J151" s="12">
        <v>1.0</v>
      </c>
      <c r="K151" s="12">
        <v>1.0</v>
      </c>
      <c r="L151" s="2"/>
      <c r="M151" s="12">
        <v>1.0</v>
      </c>
      <c r="N151" s="12">
        <v>1.0</v>
      </c>
      <c r="O151" s="13">
        <v>1.0</v>
      </c>
      <c r="P151" s="12">
        <v>1.0</v>
      </c>
      <c r="Q151" s="5"/>
      <c r="R151" s="10">
        <f>sum(F151:K151,M151:P151)/(COUNTIF(B151:P151, 1) + (COUNTIF(B151:P151, 0)) + COUNTIF(B151:P151, 0.5))</f>
        <v>1</v>
      </c>
    </row>
    <row r="152">
      <c r="A152" s="7">
        <v>285.0</v>
      </c>
      <c r="B152" s="8">
        <v>1137.0</v>
      </c>
      <c r="C152" s="8">
        <v>43.0</v>
      </c>
      <c r="D152" s="8">
        <v>32.6949</v>
      </c>
      <c r="E152" s="8">
        <v>-114.64</v>
      </c>
      <c r="F152" s="1"/>
      <c r="G152" s="1"/>
      <c r="H152" s="3" t="s">
        <v>421</v>
      </c>
      <c r="I152" s="3" t="s">
        <v>18</v>
      </c>
      <c r="J152" s="3" t="s">
        <v>422</v>
      </c>
      <c r="K152" s="1"/>
      <c r="L152" s="2" t="s">
        <v>145</v>
      </c>
      <c r="M152" s="3" t="s">
        <v>417</v>
      </c>
      <c r="N152" s="3" t="s">
        <v>43</v>
      </c>
      <c r="O152" s="4" t="s">
        <v>418</v>
      </c>
      <c r="P152" s="3" t="s">
        <v>56</v>
      </c>
      <c r="Q152" s="5" t="s">
        <v>423</v>
      </c>
      <c r="R152" s="10"/>
    </row>
    <row r="153">
      <c r="A153" s="11" t="s">
        <v>424</v>
      </c>
      <c r="B153" s="8"/>
      <c r="C153" s="8"/>
      <c r="D153" s="8"/>
      <c r="E153" s="8"/>
      <c r="F153" s="12">
        <v>1.0</v>
      </c>
      <c r="G153" s="12">
        <v>1.0</v>
      </c>
      <c r="H153" s="12">
        <v>1.0</v>
      </c>
      <c r="I153" s="12">
        <v>1.0</v>
      </c>
      <c r="J153" s="12">
        <v>0.5</v>
      </c>
      <c r="K153" s="12">
        <v>1.0</v>
      </c>
      <c r="L153" s="2"/>
      <c r="M153" s="12">
        <v>1.0</v>
      </c>
      <c r="N153" s="12">
        <v>1.0</v>
      </c>
      <c r="O153" s="13">
        <v>1.0</v>
      </c>
      <c r="P153" s="12">
        <v>1.0</v>
      </c>
      <c r="Q153" s="5"/>
      <c r="R153" s="10">
        <f>sum(F153:K153,M153:P153)/(COUNTIF(B153:P153, 1) + (COUNTIF(B153:P153, 0)) + COUNTIF(B153:P153, 0.5))</f>
        <v>0.95</v>
      </c>
    </row>
    <row r="154">
      <c r="A154" s="7">
        <v>25.0</v>
      </c>
      <c r="B154" s="8">
        <v>1166.0</v>
      </c>
      <c r="C154" s="8">
        <v>50.0</v>
      </c>
      <c r="D154" s="8">
        <v>33.0</v>
      </c>
      <c r="E154" s="8">
        <v>-112.1</v>
      </c>
      <c r="F154" s="1"/>
      <c r="G154" s="1"/>
      <c r="H154" s="3" t="s">
        <v>425</v>
      </c>
      <c r="I154" s="3" t="s">
        <v>18</v>
      </c>
      <c r="J154" s="3" t="s">
        <v>426</v>
      </c>
      <c r="K154" s="3" t="s">
        <v>249</v>
      </c>
      <c r="L154" s="2" t="s">
        <v>427</v>
      </c>
      <c r="M154" s="1"/>
      <c r="N154" s="1"/>
      <c r="O154" s="4" t="s">
        <v>428</v>
      </c>
      <c r="P154" s="3" t="s">
        <v>65</v>
      </c>
      <c r="Q154" s="5" t="s">
        <v>429</v>
      </c>
      <c r="R154" s="10"/>
    </row>
    <row r="155">
      <c r="A155" s="11" t="s">
        <v>430</v>
      </c>
      <c r="B155" s="8"/>
      <c r="C155" s="8"/>
      <c r="D155" s="8"/>
      <c r="E155" s="8"/>
      <c r="F155" s="12">
        <v>1.0</v>
      </c>
      <c r="G155" s="12">
        <v>1.0</v>
      </c>
      <c r="H155" s="12">
        <v>1.0</v>
      </c>
      <c r="I155" s="12">
        <v>1.0</v>
      </c>
      <c r="J155" s="12">
        <v>1.0</v>
      </c>
      <c r="K155" s="12">
        <v>1.0</v>
      </c>
      <c r="L155" s="2"/>
      <c r="M155" s="12">
        <v>1.0</v>
      </c>
      <c r="N155" s="12">
        <v>1.0</v>
      </c>
      <c r="O155" s="13">
        <v>1.0</v>
      </c>
      <c r="P155" s="12">
        <v>1.0</v>
      </c>
      <c r="Q155" s="5"/>
      <c r="R155" s="10">
        <f>sum(F155:K155,M155:P155)/(COUNTIF(B155:P155, 1) + (COUNTIF(B155:P155, 0)) + COUNTIF(B155:P155, 0.5))</f>
        <v>1</v>
      </c>
    </row>
    <row r="156">
      <c r="A156" s="7">
        <v>422.0</v>
      </c>
      <c r="B156" s="8">
        <v>1257.0</v>
      </c>
      <c r="C156" s="8">
        <v>63.0</v>
      </c>
      <c r="D156" s="8">
        <v>35.65</v>
      </c>
      <c r="E156" s="8">
        <v>-119.22</v>
      </c>
      <c r="F156" s="1"/>
      <c r="G156" s="1"/>
      <c r="H156" s="3" t="s">
        <v>431</v>
      </c>
      <c r="I156" s="3" t="s">
        <v>18</v>
      </c>
      <c r="J156" s="3" t="s">
        <v>432</v>
      </c>
      <c r="K156" s="1"/>
      <c r="L156" s="2" t="s">
        <v>106</v>
      </c>
      <c r="M156" s="3" t="s">
        <v>433</v>
      </c>
      <c r="N156" s="3" t="s">
        <v>434</v>
      </c>
      <c r="O156" s="4" t="s">
        <v>231</v>
      </c>
      <c r="P156" s="3" t="s">
        <v>251</v>
      </c>
      <c r="Q156" s="5" t="s">
        <v>435</v>
      </c>
      <c r="R156" s="10"/>
    </row>
    <row r="157">
      <c r="A157" s="11" t="s">
        <v>436</v>
      </c>
      <c r="B157" s="8"/>
      <c r="C157" s="8"/>
      <c r="D157" s="8"/>
      <c r="E157" s="8"/>
      <c r="F157" s="12">
        <v>1.0</v>
      </c>
      <c r="G157" s="12">
        <v>1.0</v>
      </c>
      <c r="H157" s="12">
        <v>1.0</v>
      </c>
      <c r="I157" s="12">
        <v>1.0</v>
      </c>
      <c r="J157" s="12">
        <v>1.0</v>
      </c>
      <c r="K157" s="12">
        <v>1.0</v>
      </c>
      <c r="L157" s="2"/>
      <c r="M157" s="12">
        <v>1.0</v>
      </c>
      <c r="N157" s="12">
        <v>1.0</v>
      </c>
      <c r="O157" s="13">
        <v>1.0</v>
      </c>
      <c r="P157" s="12">
        <v>1.0</v>
      </c>
      <c r="Q157" s="5"/>
      <c r="R157" s="10">
        <f>sum(F157:K157,M157:P157)/(COUNTIF(B157:P157, 1) + (COUNTIF(B157:P157, 0)) + COUNTIF(B157:P157, 0.5))</f>
        <v>1</v>
      </c>
    </row>
    <row r="158">
      <c r="A158" s="7">
        <v>423.0</v>
      </c>
      <c r="B158" s="8">
        <v>1257.0</v>
      </c>
      <c r="C158" s="8">
        <v>63.0</v>
      </c>
      <c r="D158" s="8">
        <v>35.65</v>
      </c>
      <c r="E158" s="8">
        <v>-119.22</v>
      </c>
      <c r="F158" s="1"/>
      <c r="G158" s="1"/>
      <c r="H158" s="3" t="s">
        <v>431</v>
      </c>
      <c r="I158" s="3" t="s">
        <v>18</v>
      </c>
      <c r="J158" s="3" t="s">
        <v>437</v>
      </c>
      <c r="K158" s="1"/>
      <c r="L158" s="2" t="s">
        <v>106</v>
      </c>
      <c r="M158" s="3" t="s">
        <v>438</v>
      </c>
      <c r="N158" s="3" t="s">
        <v>439</v>
      </c>
      <c r="O158" s="22"/>
      <c r="P158" s="3" t="s">
        <v>440</v>
      </c>
      <c r="Q158" s="5" t="s">
        <v>441</v>
      </c>
      <c r="R158" s="10"/>
    </row>
    <row r="159">
      <c r="A159" s="11" t="s">
        <v>442</v>
      </c>
      <c r="B159" s="8"/>
      <c r="C159" s="8"/>
      <c r="D159" s="8"/>
      <c r="E159" s="8"/>
      <c r="F159" s="12">
        <v>1.0</v>
      </c>
      <c r="G159" s="12">
        <v>1.0</v>
      </c>
      <c r="H159" s="12">
        <v>1.0</v>
      </c>
      <c r="I159" s="12">
        <v>1.0</v>
      </c>
      <c r="J159" s="12">
        <v>0.5</v>
      </c>
      <c r="K159" s="12">
        <v>1.0</v>
      </c>
      <c r="L159" s="2"/>
      <c r="M159" s="12">
        <v>1.0</v>
      </c>
      <c r="N159" s="12">
        <v>1.0</v>
      </c>
      <c r="O159" s="13">
        <v>0.0</v>
      </c>
      <c r="P159" s="12">
        <v>0.0</v>
      </c>
      <c r="Q159" s="5"/>
      <c r="R159" s="10">
        <f>sum(F159:K159,M159:P159)/(COUNTIF(B159:P159, 1) + (COUNTIF(B159:P159, 0)) + COUNTIF(B159:P159, 0.5))</f>
        <v>0.75</v>
      </c>
    </row>
    <row r="160">
      <c r="A160" s="7">
        <v>205.0</v>
      </c>
      <c r="B160" s="8">
        <v>1257.0</v>
      </c>
      <c r="C160" s="8">
        <v>127.0</v>
      </c>
      <c r="D160" s="8">
        <v>37.0</v>
      </c>
      <c r="E160" s="8">
        <v>-120.0</v>
      </c>
      <c r="F160" s="1"/>
      <c r="G160" s="1"/>
      <c r="H160" s="3" t="s">
        <v>443</v>
      </c>
      <c r="I160" s="3" t="s">
        <v>444</v>
      </c>
      <c r="J160" s="3" t="s">
        <v>445</v>
      </c>
      <c r="K160" s="1"/>
      <c r="L160" s="2" t="s">
        <v>446</v>
      </c>
      <c r="M160" s="3" t="s">
        <v>447</v>
      </c>
      <c r="N160" s="3" t="s">
        <v>249</v>
      </c>
      <c r="O160" s="13" t="s">
        <v>448</v>
      </c>
      <c r="P160" s="3" t="s">
        <v>251</v>
      </c>
      <c r="Q160" s="5" t="s">
        <v>449</v>
      </c>
      <c r="R160" s="10"/>
    </row>
    <row r="161">
      <c r="A161" s="11" t="s">
        <v>450</v>
      </c>
      <c r="B161" s="8"/>
      <c r="C161" s="8"/>
      <c r="D161" s="8"/>
      <c r="E161" s="8"/>
      <c r="F161" s="12">
        <v>1.0</v>
      </c>
      <c r="G161" s="12">
        <v>1.0</v>
      </c>
      <c r="H161" s="12">
        <v>1.0</v>
      </c>
      <c r="I161" s="12">
        <v>0.0</v>
      </c>
      <c r="J161" s="12">
        <v>1.0</v>
      </c>
      <c r="K161" s="12">
        <v>1.0</v>
      </c>
      <c r="L161" s="2"/>
      <c r="M161" s="12">
        <v>1.0</v>
      </c>
      <c r="N161" s="12">
        <v>1.0</v>
      </c>
      <c r="O161" s="13">
        <v>1.0</v>
      </c>
      <c r="P161" s="12">
        <v>1.0</v>
      </c>
      <c r="Q161" s="5"/>
      <c r="R161" s="10">
        <f>sum(F161:K161,M161:P161)/(COUNTIF(B161:P161, 1) + (COUNTIF(B161:P161, 0)) + COUNTIF(B161:P161, 0.5))</f>
        <v>0.9</v>
      </c>
    </row>
    <row r="162">
      <c r="A162" s="7">
        <v>206.0</v>
      </c>
      <c r="B162" s="8">
        <v>1257.0</v>
      </c>
      <c r="C162" s="8">
        <v>127.0</v>
      </c>
      <c r="D162" s="8">
        <v>37.0</v>
      </c>
      <c r="E162" s="8">
        <v>-120.0</v>
      </c>
      <c r="F162" s="1"/>
      <c r="G162" s="1"/>
      <c r="H162" s="3" t="s">
        <v>443</v>
      </c>
      <c r="I162" s="3" t="s">
        <v>451</v>
      </c>
      <c r="J162" s="3" t="s">
        <v>452</v>
      </c>
      <c r="K162" s="1"/>
      <c r="L162" s="2" t="s">
        <v>446</v>
      </c>
      <c r="M162" s="3" t="s">
        <v>453</v>
      </c>
      <c r="N162" s="3" t="s">
        <v>249</v>
      </c>
      <c r="O162" s="4" t="s">
        <v>448</v>
      </c>
      <c r="P162" s="3" t="s">
        <v>251</v>
      </c>
      <c r="Q162" s="5" t="s">
        <v>449</v>
      </c>
      <c r="R162" s="10"/>
    </row>
    <row r="163">
      <c r="A163" s="11" t="s">
        <v>454</v>
      </c>
      <c r="B163" s="8"/>
      <c r="C163" s="8"/>
      <c r="D163" s="8"/>
      <c r="E163" s="8"/>
      <c r="F163" s="12">
        <v>1.0</v>
      </c>
      <c r="G163" s="12">
        <v>1.0</v>
      </c>
      <c r="H163" s="12">
        <v>1.0</v>
      </c>
      <c r="I163" s="12">
        <v>0.0</v>
      </c>
      <c r="J163" s="12">
        <v>1.0</v>
      </c>
      <c r="K163" s="12">
        <v>1.0</v>
      </c>
      <c r="L163" s="2"/>
      <c r="M163" s="12">
        <v>1.0</v>
      </c>
      <c r="N163" s="12">
        <v>1.0</v>
      </c>
      <c r="O163" s="13">
        <v>1.0</v>
      </c>
      <c r="P163" s="12">
        <v>1.0</v>
      </c>
      <c r="Q163" s="5"/>
      <c r="R163" s="10">
        <f>sum(F163:K163,M163:P163)/(COUNTIF(B163:P163, 1) + (COUNTIF(B163:P163, 0)) + COUNTIF(B163:P163, 0.5))</f>
        <v>0.9</v>
      </c>
    </row>
    <row r="164">
      <c r="A164" s="7">
        <v>207.0</v>
      </c>
      <c r="B164" s="8">
        <v>1257.0</v>
      </c>
      <c r="C164" s="8">
        <v>127.0</v>
      </c>
      <c r="D164" s="8">
        <v>37.0</v>
      </c>
      <c r="E164" s="8">
        <v>-120.0</v>
      </c>
      <c r="F164" s="1"/>
      <c r="G164" s="1"/>
      <c r="H164" s="3" t="s">
        <v>443</v>
      </c>
      <c r="I164" s="3" t="s">
        <v>451</v>
      </c>
      <c r="J164" s="3" t="s">
        <v>455</v>
      </c>
      <c r="K164" s="1"/>
      <c r="L164" s="2" t="s">
        <v>446</v>
      </c>
      <c r="M164" s="3" t="s">
        <v>453</v>
      </c>
      <c r="N164" s="3" t="s">
        <v>249</v>
      </c>
      <c r="O164" s="4" t="s">
        <v>448</v>
      </c>
      <c r="P164" s="3" t="s">
        <v>251</v>
      </c>
      <c r="Q164" s="5" t="s">
        <v>449</v>
      </c>
      <c r="R164" s="10"/>
    </row>
    <row r="165">
      <c r="A165" s="11" t="s">
        <v>456</v>
      </c>
      <c r="B165" s="8"/>
      <c r="C165" s="8"/>
      <c r="D165" s="8"/>
      <c r="E165" s="8"/>
      <c r="F165" s="12">
        <v>1.0</v>
      </c>
      <c r="G165" s="12">
        <v>1.0</v>
      </c>
      <c r="H165" s="12">
        <v>1.0</v>
      </c>
      <c r="I165" s="12">
        <v>0.0</v>
      </c>
      <c r="J165" s="12">
        <v>1.0</v>
      </c>
      <c r="K165" s="12">
        <v>1.0</v>
      </c>
      <c r="L165" s="2"/>
      <c r="M165" s="12">
        <v>1.0</v>
      </c>
      <c r="N165" s="12">
        <v>1.0</v>
      </c>
      <c r="O165" s="13">
        <v>1.0</v>
      </c>
      <c r="P165" s="12">
        <v>1.0</v>
      </c>
      <c r="Q165" s="5"/>
      <c r="R165" s="10">
        <f>sum(F165:K165,M165:P165)/(COUNTIF(B165:P165, 1) + (COUNTIF(B165:P165, 0)) + COUNTIF(B165:P165, 0.5))</f>
        <v>0.9</v>
      </c>
    </row>
    <row r="166">
      <c r="A166" s="7">
        <v>208.0</v>
      </c>
      <c r="B166" s="8">
        <v>1257.0</v>
      </c>
      <c r="C166" s="8">
        <v>127.0</v>
      </c>
      <c r="D166" s="8">
        <v>37.0</v>
      </c>
      <c r="E166" s="8">
        <v>-120.0</v>
      </c>
      <c r="F166" s="1"/>
      <c r="G166" s="1"/>
      <c r="H166" s="3" t="s">
        <v>443</v>
      </c>
      <c r="I166" s="3" t="s">
        <v>457</v>
      </c>
      <c r="J166" s="3" t="s">
        <v>458</v>
      </c>
      <c r="K166" s="1"/>
      <c r="L166" s="2" t="s">
        <v>446</v>
      </c>
      <c r="M166" s="3" t="s">
        <v>447</v>
      </c>
      <c r="N166" s="3" t="s">
        <v>249</v>
      </c>
      <c r="O166" s="4" t="s">
        <v>448</v>
      </c>
      <c r="P166" s="3" t="s">
        <v>251</v>
      </c>
      <c r="Q166" s="5" t="s">
        <v>449</v>
      </c>
      <c r="R166" s="10"/>
    </row>
    <row r="167">
      <c r="A167" s="11" t="s">
        <v>459</v>
      </c>
      <c r="B167" s="8"/>
      <c r="C167" s="8"/>
      <c r="D167" s="8"/>
      <c r="E167" s="8"/>
      <c r="F167" s="12">
        <v>1.0</v>
      </c>
      <c r="G167" s="12">
        <v>1.0</v>
      </c>
      <c r="H167" s="12">
        <v>1.0</v>
      </c>
      <c r="I167" s="12">
        <v>0.0</v>
      </c>
      <c r="J167" s="12">
        <v>1.0</v>
      </c>
      <c r="K167" s="12">
        <v>1.0</v>
      </c>
      <c r="L167" s="2"/>
      <c r="M167" s="12">
        <v>1.0</v>
      </c>
      <c r="N167" s="12">
        <v>1.0</v>
      </c>
      <c r="O167" s="13">
        <v>1.0</v>
      </c>
      <c r="P167" s="12">
        <v>1.0</v>
      </c>
      <c r="Q167" s="5"/>
      <c r="R167" s="10">
        <f>sum(F167:K167,M167:P167)/(COUNTIF(B167:P167, 1) + (COUNTIF(B167:P167, 0)) + COUNTIF(B167:P167, 0.5))</f>
        <v>0.9</v>
      </c>
    </row>
    <row r="168">
      <c r="A168" s="7">
        <v>209.0</v>
      </c>
      <c r="B168" s="8">
        <v>1257.0</v>
      </c>
      <c r="C168" s="8">
        <v>127.0</v>
      </c>
      <c r="D168" s="8">
        <v>37.0</v>
      </c>
      <c r="E168" s="8">
        <v>-120.0</v>
      </c>
      <c r="F168" s="1"/>
      <c r="G168" s="1"/>
      <c r="H168" s="3" t="s">
        <v>443</v>
      </c>
      <c r="I168" s="3" t="s">
        <v>460</v>
      </c>
      <c r="J168" s="3" t="s">
        <v>461</v>
      </c>
      <c r="K168" s="1"/>
      <c r="L168" s="2" t="s">
        <v>446</v>
      </c>
      <c r="M168" s="3" t="s">
        <v>447</v>
      </c>
      <c r="N168" s="3" t="s">
        <v>249</v>
      </c>
      <c r="O168" s="4" t="s">
        <v>448</v>
      </c>
      <c r="P168" s="3" t="s">
        <v>251</v>
      </c>
      <c r="Q168" s="5" t="s">
        <v>449</v>
      </c>
      <c r="R168" s="10"/>
    </row>
    <row r="169">
      <c r="A169" s="11" t="s">
        <v>462</v>
      </c>
      <c r="B169" s="8"/>
      <c r="C169" s="8"/>
      <c r="D169" s="8"/>
      <c r="E169" s="8"/>
      <c r="F169" s="12">
        <v>1.0</v>
      </c>
      <c r="G169" s="12">
        <v>1.0</v>
      </c>
      <c r="H169" s="12">
        <v>1.0</v>
      </c>
      <c r="I169" s="12">
        <v>0.0</v>
      </c>
      <c r="J169" s="12">
        <v>1.0</v>
      </c>
      <c r="K169" s="12">
        <v>1.0</v>
      </c>
      <c r="L169" s="2"/>
      <c r="M169" s="12">
        <v>1.0</v>
      </c>
      <c r="N169" s="12">
        <v>1.0</v>
      </c>
      <c r="O169" s="13">
        <v>1.0</v>
      </c>
      <c r="P169" s="12">
        <v>1.0</v>
      </c>
      <c r="Q169" s="5"/>
      <c r="R169" s="10">
        <f>sum(F169:K169,M169:P169)/(COUNTIF(B169:P169, 1) + (COUNTIF(B169:P169, 0)) + COUNTIF(B169:P169, 0.5))</f>
        <v>0.9</v>
      </c>
    </row>
    <row r="170">
      <c r="A170" s="7">
        <v>210.0</v>
      </c>
      <c r="B170" s="8">
        <v>1257.0</v>
      </c>
      <c r="C170" s="8">
        <v>127.0</v>
      </c>
      <c r="D170" s="8">
        <v>37.0</v>
      </c>
      <c r="E170" s="8">
        <v>-120.0</v>
      </c>
      <c r="F170" s="1"/>
      <c r="G170" s="1"/>
      <c r="H170" s="3" t="s">
        <v>443</v>
      </c>
      <c r="I170" s="3" t="s">
        <v>463</v>
      </c>
      <c r="J170" s="3" t="s">
        <v>464</v>
      </c>
      <c r="K170" s="1"/>
      <c r="L170" s="2" t="s">
        <v>446</v>
      </c>
      <c r="M170" s="3" t="s">
        <v>447</v>
      </c>
      <c r="N170" s="3" t="s">
        <v>249</v>
      </c>
      <c r="O170" s="4" t="s">
        <v>448</v>
      </c>
      <c r="P170" s="3" t="s">
        <v>251</v>
      </c>
      <c r="Q170" s="5" t="s">
        <v>449</v>
      </c>
      <c r="R170" s="10"/>
    </row>
    <row r="171">
      <c r="A171" s="11" t="s">
        <v>465</v>
      </c>
      <c r="B171" s="8"/>
      <c r="C171" s="8"/>
      <c r="D171" s="8"/>
      <c r="E171" s="8"/>
      <c r="F171" s="12">
        <v>1.0</v>
      </c>
      <c r="G171" s="12">
        <v>1.0</v>
      </c>
      <c r="H171" s="12">
        <v>1.0</v>
      </c>
      <c r="I171" s="12">
        <v>0.0</v>
      </c>
      <c r="J171" s="12">
        <v>1.0</v>
      </c>
      <c r="K171" s="12">
        <v>1.0</v>
      </c>
      <c r="L171" s="2"/>
      <c r="M171" s="12">
        <v>1.0</v>
      </c>
      <c r="N171" s="12">
        <v>1.0</v>
      </c>
      <c r="O171" s="13">
        <v>1.0</v>
      </c>
      <c r="P171" s="12">
        <v>1.0</v>
      </c>
      <c r="Q171" s="5"/>
      <c r="R171" s="10">
        <f>sum(F171:K171,M171:P171)/(COUNTIF(B171:P171, 1) + (COUNTIF(B171:P171, 0)) + COUNTIF(B171:P171, 0.5))</f>
        <v>0.9</v>
      </c>
    </row>
    <row r="172">
      <c r="A172" s="7">
        <v>211.0</v>
      </c>
      <c r="B172" s="8">
        <v>1257.0</v>
      </c>
      <c r="C172" s="8">
        <v>127.0</v>
      </c>
      <c r="D172" s="8">
        <v>37.0</v>
      </c>
      <c r="E172" s="8">
        <v>-120.0</v>
      </c>
      <c r="F172" s="1"/>
      <c r="G172" s="1"/>
      <c r="H172" s="3" t="s">
        <v>443</v>
      </c>
      <c r="I172" s="3" t="s">
        <v>466</v>
      </c>
      <c r="J172" s="3" t="s">
        <v>467</v>
      </c>
      <c r="K172" s="1"/>
      <c r="L172" s="2" t="s">
        <v>446</v>
      </c>
      <c r="M172" s="3" t="s">
        <v>447</v>
      </c>
      <c r="N172" s="3" t="s">
        <v>249</v>
      </c>
      <c r="O172" s="4" t="s">
        <v>448</v>
      </c>
      <c r="P172" s="3" t="s">
        <v>251</v>
      </c>
      <c r="Q172" s="5" t="s">
        <v>449</v>
      </c>
      <c r="R172" s="10"/>
    </row>
    <row r="173">
      <c r="A173" s="11" t="s">
        <v>468</v>
      </c>
      <c r="B173" s="8"/>
      <c r="C173" s="8"/>
      <c r="D173" s="8"/>
      <c r="E173" s="8"/>
      <c r="F173" s="12">
        <v>1.0</v>
      </c>
      <c r="G173" s="12">
        <v>1.0</v>
      </c>
      <c r="H173" s="12">
        <v>1.0</v>
      </c>
      <c r="I173" s="12">
        <v>0.0</v>
      </c>
      <c r="J173" s="12">
        <v>1.0</v>
      </c>
      <c r="K173" s="12">
        <v>1.0</v>
      </c>
      <c r="L173" s="2"/>
      <c r="M173" s="12">
        <v>1.0</v>
      </c>
      <c r="N173" s="12">
        <v>1.0</v>
      </c>
      <c r="O173" s="13">
        <v>1.0</v>
      </c>
      <c r="P173" s="12">
        <v>1.0</v>
      </c>
      <c r="Q173" s="5"/>
      <c r="R173" s="10">
        <f>sum(F173:K173,M173:P173)/(COUNTIF(B173:P173, 1) + (COUNTIF(B173:P173, 0)) + COUNTIF(B173:P173, 0.5))</f>
        <v>0.9</v>
      </c>
    </row>
    <row r="174">
      <c r="A174" s="7">
        <v>212.0</v>
      </c>
      <c r="B174" s="8">
        <v>1257.0</v>
      </c>
      <c r="C174" s="8">
        <v>127.0</v>
      </c>
      <c r="D174" s="8">
        <v>37.0</v>
      </c>
      <c r="E174" s="8">
        <v>-120.0</v>
      </c>
      <c r="F174" s="1"/>
      <c r="G174" s="1"/>
      <c r="H174" s="3" t="s">
        <v>443</v>
      </c>
      <c r="I174" s="3" t="s">
        <v>469</v>
      </c>
      <c r="J174" s="3" t="s">
        <v>470</v>
      </c>
      <c r="K174" s="1"/>
      <c r="L174" s="2" t="s">
        <v>446</v>
      </c>
      <c r="M174" s="3" t="s">
        <v>447</v>
      </c>
      <c r="N174" s="3" t="s">
        <v>249</v>
      </c>
      <c r="O174" s="4" t="s">
        <v>448</v>
      </c>
      <c r="P174" s="3" t="s">
        <v>251</v>
      </c>
      <c r="Q174" s="5" t="s">
        <v>449</v>
      </c>
      <c r="R174" s="10"/>
    </row>
    <row r="175">
      <c r="A175" s="11" t="s">
        <v>471</v>
      </c>
      <c r="B175" s="8"/>
      <c r="C175" s="8"/>
      <c r="D175" s="8"/>
      <c r="E175" s="8"/>
      <c r="F175" s="12">
        <v>1.0</v>
      </c>
      <c r="G175" s="12">
        <v>1.0</v>
      </c>
      <c r="H175" s="12">
        <v>1.0</v>
      </c>
      <c r="I175" s="12">
        <v>0.0</v>
      </c>
      <c r="J175" s="12">
        <v>1.0</v>
      </c>
      <c r="K175" s="12">
        <v>1.0</v>
      </c>
      <c r="L175" s="2"/>
      <c r="M175" s="12">
        <v>1.0</v>
      </c>
      <c r="N175" s="12">
        <v>1.0</v>
      </c>
      <c r="O175" s="13">
        <v>1.0</v>
      </c>
      <c r="P175" s="12">
        <v>1.0</v>
      </c>
      <c r="Q175" s="5"/>
      <c r="R175" s="10">
        <f>sum(F175:K175,M175:P175)/(COUNTIF(B175:P175, 1) + (COUNTIF(B175:P175, 0)) + COUNTIF(B175:P175, 0.5))</f>
        <v>0.9</v>
      </c>
    </row>
    <row r="176">
      <c r="A176" s="7">
        <v>213.0</v>
      </c>
      <c r="B176" s="8">
        <v>1257.0</v>
      </c>
      <c r="C176" s="8">
        <v>127.0</v>
      </c>
      <c r="D176" s="8">
        <v>37.0</v>
      </c>
      <c r="E176" s="8">
        <v>-120.0</v>
      </c>
      <c r="F176" s="1"/>
      <c r="G176" s="1"/>
      <c r="H176" s="3" t="s">
        <v>443</v>
      </c>
      <c r="I176" s="3" t="s">
        <v>469</v>
      </c>
      <c r="J176" s="3" t="s">
        <v>472</v>
      </c>
      <c r="K176" s="1"/>
      <c r="L176" s="2" t="s">
        <v>446</v>
      </c>
      <c r="M176" s="3" t="s">
        <v>447</v>
      </c>
      <c r="N176" s="3" t="s">
        <v>249</v>
      </c>
      <c r="O176" s="4" t="s">
        <v>448</v>
      </c>
      <c r="P176" s="3" t="s">
        <v>251</v>
      </c>
      <c r="Q176" s="5" t="s">
        <v>449</v>
      </c>
      <c r="R176" s="10"/>
    </row>
    <row r="177">
      <c r="A177" s="11" t="s">
        <v>473</v>
      </c>
      <c r="B177" s="8"/>
      <c r="C177" s="8"/>
      <c r="D177" s="8"/>
      <c r="E177" s="8"/>
      <c r="F177" s="12">
        <v>1.0</v>
      </c>
      <c r="G177" s="12">
        <v>1.0</v>
      </c>
      <c r="H177" s="12">
        <v>1.0</v>
      </c>
      <c r="I177" s="12">
        <v>0.0</v>
      </c>
      <c r="J177" s="12">
        <v>1.0</v>
      </c>
      <c r="K177" s="12">
        <v>1.0</v>
      </c>
      <c r="L177" s="2"/>
      <c r="M177" s="12">
        <v>1.0</v>
      </c>
      <c r="N177" s="12">
        <v>1.0</v>
      </c>
      <c r="O177" s="13">
        <v>1.0</v>
      </c>
      <c r="P177" s="12">
        <v>1.0</v>
      </c>
      <c r="Q177" s="5"/>
      <c r="R177" s="10">
        <f>sum(F177:K177,M177:P177)/(COUNTIF(B177:P177, 1) + (COUNTIF(B177:P177, 0)) + COUNTIF(B177:P177, 0.5))</f>
        <v>0.9</v>
      </c>
    </row>
    <row r="178">
      <c r="A178" s="7">
        <v>214.0</v>
      </c>
      <c r="B178" s="8">
        <v>1257.0</v>
      </c>
      <c r="C178" s="8">
        <v>127.0</v>
      </c>
      <c r="D178" s="8">
        <v>37.0</v>
      </c>
      <c r="E178" s="8">
        <v>-120.0</v>
      </c>
      <c r="F178" s="1"/>
      <c r="G178" s="1"/>
      <c r="H178" s="3" t="s">
        <v>443</v>
      </c>
      <c r="I178" s="3" t="s">
        <v>474</v>
      </c>
      <c r="J178" s="3" t="s">
        <v>475</v>
      </c>
      <c r="K178" s="1"/>
      <c r="L178" s="2" t="s">
        <v>446</v>
      </c>
      <c r="M178" s="3" t="s">
        <v>447</v>
      </c>
      <c r="N178" s="3" t="s">
        <v>249</v>
      </c>
      <c r="O178" s="4" t="s">
        <v>448</v>
      </c>
      <c r="P178" s="3" t="s">
        <v>251</v>
      </c>
      <c r="Q178" s="5" t="s">
        <v>449</v>
      </c>
      <c r="R178" s="10"/>
    </row>
    <row r="179">
      <c r="A179" s="11" t="s">
        <v>476</v>
      </c>
      <c r="B179" s="8"/>
      <c r="C179" s="8"/>
      <c r="D179" s="8"/>
      <c r="E179" s="8"/>
      <c r="F179" s="12">
        <v>1.0</v>
      </c>
      <c r="G179" s="12">
        <v>1.0</v>
      </c>
      <c r="H179" s="12">
        <v>1.0</v>
      </c>
      <c r="I179" s="12">
        <v>0.0</v>
      </c>
      <c r="J179" s="12">
        <v>1.0</v>
      </c>
      <c r="K179" s="12">
        <v>1.0</v>
      </c>
      <c r="L179" s="2"/>
      <c r="M179" s="12">
        <v>1.0</v>
      </c>
      <c r="N179" s="12">
        <v>1.0</v>
      </c>
      <c r="O179" s="13">
        <v>1.0</v>
      </c>
      <c r="P179" s="12">
        <v>1.0</v>
      </c>
      <c r="Q179" s="5"/>
      <c r="R179" s="10">
        <f>sum(F179:K179,M179:P179)/(COUNTIF(B179:P179, 1) + (COUNTIF(B179:P179, 0)) + COUNTIF(B179:P179, 0.5))</f>
        <v>0.9</v>
      </c>
    </row>
    <row r="180">
      <c r="A180" s="7">
        <v>215.0</v>
      </c>
      <c r="B180" s="8">
        <v>1257.0</v>
      </c>
      <c r="C180" s="8">
        <v>127.0</v>
      </c>
      <c r="D180" s="8">
        <v>37.0</v>
      </c>
      <c r="E180" s="8">
        <v>-120.0</v>
      </c>
      <c r="F180" s="1"/>
      <c r="G180" s="1"/>
      <c r="H180" s="3" t="s">
        <v>443</v>
      </c>
      <c r="I180" s="3" t="s">
        <v>477</v>
      </c>
      <c r="J180" s="3" t="s">
        <v>478</v>
      </c>
      <c r="K180" s="1"/>
      <c r="L180" s="2" t="s">
        <v>446</v>
      </c>
      <c r="M180" s="3" t="s">
        <v>447</v>
      </c>
      <c r="N180" s="3" t="s">
        <v>249</v>
      </c>
      <c r="O180" s="4" t="s">
        <v>448</v>
      </c>
      <c r="P180" s="3" t="s">
        <v>251</v>
      </c>
      <c r="Q180" s="5" t="s">
        <v>449</v>
      </c>
      <c r="R180" s="10"/>
    </row>
    <row r="181">
      <c r="A181" s="11" t="s">
        <v>479</v>
      </c>
      <c r="B181" s="8"/>
      <c r="C181" s="8"/>
      <c r="D181" s="8"/>
      <c r="E181" s="8"/>
      <c r="F181" s="12">
        <v>1.0</v>
      </c>
      <c r="G181" s="12">
        <v>1.0</v>
      </c>
      <c r="H181" s="12">
        <v>1.0</v>
      </c>
      <c r="I181" s="12">
        <v>0.0</v>
      </c>
      <c r="J181" s="12">
        <v>1.0</v>
      </c>
      <c r="K181" s="12">
        <v>1.0</v>
      </c>
      <c r="L181" s="2"/>
      <c r="M181" s="12">
        <v>1.0</v>
      </c>
      <c r="N181" s="12">
        <v>1.0</v>
      </c>
      <c r="O181" s="13">
        <v>1.0</v>
      </c>
      <c r="P181" s="12">
        <v>1.0</v>
      </c>
      <c r="Q181" s="5"/>
      <c r="R181" s="10">
        <f>sum(F181:K181,M181:P181)/(COUNTIF(B181:P181, 1) + (COUNTIF(B181:P181, 0)) + COUNTIF(B181:P181, 0.5))</f>
        <v>0.9</v>
      </c>
    </row>
    <row r="182">
      <c r="A182" s="7">
        <v>216.0</v>
      </c>
      <c r="B182" s="8">
        <v>1257.0</v>
      </c>
      <c r="C182" s="8">
        <v>127.0</v>
      </c>
      <c r="D182" s="8">
        <v>37.0</v>
      </c>
      <c r="E182" s="8">
        <v>-120.0</v>
      </c>
      <c r="F182" s="1"/>
      <c r="G182" s="1"/>
      <c r="H182" s="3" t="s">
        <v>443</v>
      </c>
      <c r="I182" s="3" t="s">
        <v>480</v>
      </c>
      <c r="J182" s="3" t="s">
        <v>481</v>
      </c>
      <c r="K182" s="1"/>
      <c r="L182" s="2" t="s">
        <v>446</v>
      </c>
      <c r="M182" s="3" t="s">
        <v>453</v>
      </c>
      <c r="N182" s="3" t="s">
        <v>249</v>
      </c>
      <c r="O182" s="4" t="s">
        <v>448</v>
      </c>
      <c r="P182" s="3" t="s">
        <v>251</v>
      </c>
      <c r="Q182" s="5" t="s">
        <v>449</v>
      </c>
      <c r="R182" s="10"/>
    </row>
    <row r="183">
      <c r="A183" s="11" t="s">
        <v>482</v>
      </c>
      <c r="B183" s="8"/>
      <c r="C183" s="8"/>
      <c r="D183" s="8"/>
      <c r="E183" s="8"/>
      <c r="F183" s="12">
        <v>1.0</v>
      </c>
      <c r="G183" s="12">
        <v>1.0</v>
      </c>
      <c r="H183" s="12">
        <v>1.0</v>
      </c>
      <c r="I183" s="12">
        <v>0.0</v>
      </c>
      <c r="J183" s="12">
        <v>1.0</v>
      </c>
      <c r="K183" s="12">
        <v>1.0</v>
      </c>
      <c r="L183" s="2"/>
      <c r="M183" s="12">
        <v>1.0</v>
      </c>
      <c r="N183" s="12">
        <v>1.0</v>
      </c>
      <c r="O183" s="13">
        <v>1.0</v>
      </c>
      <c r="P183" s="12">
        <v>1.0</v>
      </c>
      <c r="Q183" s="5"/>
      <c r="R183" s="10">
        <f>sum(F183:K183,M183:P183)/(COUNTIF(B183:P183, 1) + (COUNTIF(B183:P183, 0)) + COUNTIF(B183:P183, 0.5))</f>
        <v>0.9</v>
      </c>
    </row>
    <row r="184">
      <c r="A184" s="7">
        <v>217.0</v>
      </c>
      <c r="B184" s="8">
        <v>1257.0</v>
      </c>
      <c r="C184" s="8">
        <v>127.0</v>
      </c>
      <c r="D184" s="8">
        <v>37.0</v>
      </c>
      <c r="E184" s="8">
        <v>-120.0</v>
      </c>
      <c r="F184" s="1"/>
      <c r="G184" s="1"/>
      <c r="H184" s="3" t="s">
        <v>443</v>
      </c>
      <c r="I184" s="3" t="s">
        <v>483</v>
      </c>
      <c r="J184" s="3" t="s">
        <v>484</v>
      </c>
      <c r="K184" s="1"/>
      <c r="L184" s="2" t="s">
        <v>446</v>
      </c>
      <c r="M184" s="3" t="s">
        <v>447</v>
      </c>
      <c r="N184" s="3" t="s">
        <v>249</v>
      </c>
      <c r="O184" s="4" t="s">
        <v>448</v>
      </c>
      <c r="P184" s="3" t="s">
        <v>251</v>
      </c>
      <c r="Q184" s="5" t="s">
        <v>449</v>
      </c>
      <c r="R184" s="10"/>
    </row>
    <row r="185">
      <c r="A185" s="11" t="s">
        <v>485</v>
      </c>
      <c r="B185" s="8"/>
      <c r="C185" s="8"/>
      <c r="D185" s="8"/>
      <c r="E185" s="8"/>
      <c r="F185" s="12">
        <v>1.0</v>
      </c>
      <c r="G185" s="12">
        <v>1.0</v>
      </c>
      <c r="H185" s="12">
        <v>1.0</v>
      </c>
      <c r="I185" s="12">
        <v>0.0</v>
      </c>
      <c r="J185" s="12">
        <v>1.0</v>
      </c>
      <c r="K185" s="12">
        <v>1.0</v>
      </c>
      <c r="L185" s="2"/>
      <c r="M185" s="12">
        <v>1.0</v>
      </c>
      <c r="N185" s="12">
        <v>1.0</v>
      </c>
      <c r="O185" s="13">
        <v>1.0</v>
      </c>
      <c r="P185" s="12">
        <v>1.0</v>
      </c>
      <c r="Q185" s="5"/>
      <c r="R185" s="10">
        <f>sum(F185:K185,M185:P185)/(COUNTIF(B185:P185, 1) + (COUNTIF(B185:P185, 0)) + COUNTIF(B185:P185, 0.5))</f>
        <v>0.9</v>
      </c>
    </row>
    <row r="186">
      <c r="A186" s="7">
        <v>218.0</v>
      </c>
      <c r="B186" s="8">
        <v>1257.0</v>
      </c>
      <c r="C186" s="8">
        <v>127.0</v>
      </c>
      <c r="D186" s="8">
        <v>37.0</v>
      </c>
      <c r="E186" s="8">
        <v>-120.0</v>
      </c>
      <c r="F186" s="1"/>
      <c r="G186" s="1"/>
      <c r="H186" s="3" t="s">
        <v>443</v>
      </c>
      <c r="I186" s="3" t="s">
        <v>486</v>
      </c>
      <c r="J186" s="3" t="s">
        <v>487</v>
      </c>
      <c r="K186" s="1"/>
      <c r="L186" s="2" t="s">
        <v>446</v>
      </c>
      <c r="M186" s="3" t="s">
        <v>453</v>
      </c>
      <c r="N186" s="3" t="s">
        <v>249</v>
      </c>
      <c r="O186" s="4" t="s">
        <v>448</v>
      </c>
      <c r="P186" s="3" t="s">
        <v>251</v>
      </c>
      <c r="Q186" s="5" t="s">
        <v>449</v>
      </c>
      <c r="R186" s="10"/>
    </row>
    <row r="187">
      <c r="A187" s="11" t="s">
        <v>488</v>
      </c>
      <c r="B187" s="8"/>
      <c r="C187" s="8"/>
      <c r="D187" s="8"/>
      <c r="E187" s="8"/>
      <c r="F187" s="12">
        <v>1.0</v>
      </c>
      <c r="G187" s="12">
        <v>1.0</v>
      </c>
      <c r="H187" s="12">
        <v>1.0</v>
      </c>
      <c r="I187" s="12">
        <v>0.0</v>
      </c>
      <c r="J187" s="12">
        <v>1.0</v>
      </c>
      <c r="K187" s="12">
        <v>1.0</v>
      </c>
      <c r="L187" s="2"/>
      <c r="M187" s="12">
        <v>1.0</v>
      </c>
      <c r="N187" s="12">
        <v>1.0</v>
      </c>
      <c r="O187" s="13">
        <v>1.0</v>
      </c>
      <c r="P187" s="12">
        <v>1.0</v>
      </c>
      <c r="Q187" s="5"/>
      <c r="R187" s="10">
        <f>sum(F187:K187,M187:P187)/(COUNTIF(B187:P187, 1) + (COUNTIF(B187:P187, 0)) + COUNTIF(B187:P187, 0.5))</f>
        <v>0.9</v>
      </c>
    </row>
    <row r="188">
      <c r="A188" s="7">
        <v>415.0</v>
      </c>
      <c r="B188" s="8">
        <v>1258.0</v>
      </c>
      <c r="C188" s="8">
        <v>72.0</v>
      </c>
      <c r="D188" s="8">
        <v>36.7684</v>
      </c>
      <c r="E188" s="8">
        <v>-119.418</v>
      </c>
      <c r="F188" s="1"/>
      <c r="G188" s="1"/>
      <c r="H188" s="3" t="s">
        <v>489</v>
      </c>
      <c r="I188" s="3" t="s">
        <v>18</v>
      </c>
      <c r="J188" s="3" t="s">
        <v>490</v>
      </c>
      <c r="K188" s="1"/>
      <c r="L188" s="2" t="s">
        <v>491</v>
      </c>
      <c r="M188" s="3" t="s">
        <v>492</v>
      </c>
      <c r="N188" s="3" t="s">
        <v>493</v>
      </c>
      <c r="O188" s="4" t="s">
        <v>494</v>
      </c>
      <c r="P188" s="3" t="s">
        <v>56</v>
      </c>
      <c r="Q188" s="5" t="s">
        <v>495</v>
      </c>
      <c r="R188" s="10"/>
    </row>
    <row r="189">
      <c r="A189" s="11" t="s">
        <v>496</v>
      </c>
      <c r="B189" s="8"/>
      <c r="C189" s="8"/>
      <c r="D189" s="8"/>
      <c r="E189" s="8"/>
      <c r="F189" s="18">
        <v>1.0</v>
      </c>
      <c r="G189" s="12">
        <v>1.0</v>
      </c>
      <c r="H189" s="12">
        <v>1.0</v>
      </c>
      <c r="I189" s="12">
        <v>1.0</v>
      </c>
      <c r="J189" s="12">
        <v>1.0</v>
      </c>
      <c r="K189" s="12">
        <v>1.0</v>
      </c>
      <c r="L189" s="2"/>
      <c r="M189" s="12">
        <v>1.0</v>
      </c>
      <c r="N189" s="12">
        <v>1.0</v>
      </c>
      <c r="O189" s="13">
        <v>1.0</v>
      </c>
      <c r="P189" s="12">
        <v>0.0</v>
      </c>
      <c r="Q189" s="5"/>
      <c r="R189" s="10">
        <f>sum(F189:K189,M189:P189)/(COUNTIF(B189:P189, 1) + (COUNTIF(B189:P189, 0)) + COUNTIF(B189:P189, 0.5))</f>
        <v>0.9</v>
      </c>
    </row>
    <row r="190">
      <c r="A190" s="7">
        <v>149.0</v>
      </c>
      <c r="B190" s="8">
        <v>1258.0</v>
      </c>
      <c r="C190" s="8">
        <v>80.0</v>
      </c>
      <c r="D190" s="8">
        <v>36.5</v>
      </c>
      <c r="E190" s="8">
        <v>-119.7</v>
      </c>
      <c r="F190" s="1"/>
      <c r="G190" s="1"/>
      <c r="H190" s="3" t="s">
        <v>489</v>
      </c>
      <c r="I190" s="3" t="s">
        <v>18</v>
      </c>
      <c r="J190" s="3" t="s">
        <v>497</v>
      </c>
      <c r="K190" s="3" t="s">
        <v>498</v>
      </c>
      <c r="L190" s="2" t="s">
        <v>499</v>
      </c>
      <c r="M190" s="3" t="s">
        <v>500</v>
      </c>
      <c r="N190" s="3" t="s">
        <v>501</v>
      </c>
      <c r="O190" s="4" t="s">
        <v>502</v>
      </c>
      <c r="P190" s="3" t="s">
        <v>251</v>
      </c>
      <c r="Q190" s="5" t="s">
        <v>503</v>
      </c>
      <c r="R190" s="10"/>
    </row>
    <row r="191">
      <c r="A191" s="11" t="s">
        <v>504</v>
      </c>
      <c r="B191" s="8"/>
      <c r="C191" s="8"/>
      <c r="D191" s="8"/>
      <c r="E191" s="8"/>
      <c r="F191" s="12">
        <v>1.0</v>
      </c>
      <c r="G191" s="12">
        <v>1.0</v>
      </c>
      <c r="H191" s="12">
        <v>1.0</v>
      </c>
      <c r="I191" s="12">
        <v>1.0</v>
      </c>
      <c r="J191" s="12">
        <v>1.0</v>
      </c>
      <c r="K191" s="12">
        <v>0.0</v>
      </c>
      <c r="L191" s="9"/>
      <c r="M191" s="12">
        <v>1.0</v>
      </c>
      <c r="N191" s="12">
        <v>1.0</v>
      </c>
      <c r="O191" s="13">
        <v>1.0</v>
      </c>
      <c r="P191" s="12">
        <v>1.0</v>
      </c>
      <c r="Q191" s="5"/>
      <c r="R191" s="10">
        <f>sum(F191:K191,M191:P191)/(COUNTIF(B191:P191, 1) + (COUNTIF(B191:P191, 0)) + COUNTIF(B191:P191, 0.5))</f>
        <v>0.9</v>
      </c>
    </row>
    <row r="192">
      <c r="A192" s="7">
        <v>328.0</v>
      </c>
      <c r="B192" s="8">
        <v>1258.0</v>
      </c>
      <c r="C192" s="8">
        <v>104.0</v>
      </c>
      <c r="D192" s="8">
        <v>37.2881</v>
      </c>
      <c r="E192" s="8">
        <v>-119.704</v>
      </c>
      <c r="F192" s="1"/>
      <c r="G192" s="1"/>
      <c r="H192" s="3" t="s">
        <v>489</v>
      </c>
      <c r="I192" s="3" t="s">
        <v>18</v>
      </c>
      <c r="J192" s="3" t="s">
        <v>505</v>
      </c>
      <c r="K192" s="3" t="s">
        <v>446</v>
      </c>
      <c r="L192" s="9"/>
      <c r="M192" s="3" t="s">
        <v>506</v>
      </c>
      <c r="N192" s="3" t="s">
        <v>507</v>
      </c>
      <c r="O192" s="4" t="s">
        <v>508</v>
      </c>
      <c r="P192" s="3" t="s">
        <v>251</v>
      </c>
      <c r="Q192" s="5" t="s">
        <v>509</v>
      </c>
      <c r="R192" s="10"/>
    </row>
    <row r="193">
      <c r="A193" s="11" t="s">
        <v>510</v>
      </c>
      <c r="B193" s="8"/>
      <c r="C193" s="8"/>
      <c r="D193" s="8"/>
      <c r="E193" s="8"/>
      <c r="F193" s="12">
        <v>1.0</v>
      </c>
      <c r="G193" s="12">
        <v>1.0</v>
      </c>
      <c r="H193" s="12">
        <v>1.0</v>
      </c>
      <c r="I193" s="12">
        <v>1.0</v>
      </c>
      <c r="J193" s="12">
        <v>1.0</v>
      </c>
      <c r="K193" s="12">
        <v>1.0</v>
      </c>
      <c r="L193" s="2"/>
      <c r="M193" s="12">
        <v>1.0</v>
      </c>
      <c r="N193" s="12">
        <v>1.0</v>
      </c>
      <c r="O193" s="18">
        <v>1.0</v>
      </c>
      <c r="P193" s="12">
        <v>1.0</v>
      </c>
      <c r="Q193" s="5"/>
      <c r="R193" s="10">
        <f>sum(F193:K193,M193:P193)/(COUNTIF(B193:P193, 1) + (COUNTIF(B193:P193, 0)) + COUNTIF(B193:P193, 0.5))</f>
        <v>1</v>
      </c>
    </row>
    <row r="194">
      <c r="A194" s="7">
        <v>192.0</v>
      </c>
      <c r="B194" s="8">
        <v>1258.0</v>
      </c>
      <c r="C194" s="8">
        <v>106.0</v>
      </c>
      <c r="D194" s="8">
        <v>36.7772</v>
      </c>
      <c r="E194" s="8">
        <v>-119.764</v>
      </c>
      <c r="F194" s="1"/>
      <c r="G194" s="1"/>
      <c r="H194" s="3" t="s">
        <v>511</v>
      </c>
      <c r="I194" s="3" t="s">
        <v>18</v>
      </c>
      <c r="J194" s="3" t="s">
        <v>512</v>
      </c>
      <c r="K194" s="1"/>
      <c r="L194" s="2" t="s">
        <v>513</v>
      </c>
      <c r="M194" s="3" t="s">
        <v>506</v>
      </c>
      <c r="N194" s="3" t="s">
        <v>514</v>
      </c>
      <c r="O194" s="4" t="s">
        <v>515</v>
      </c>
      <c r="P194" s="3" t="s">
        <v>251</v>
      </c>
      <c r="Q194" s="5" t="s">
        <v>516</v>
      </c>
      <c r="R194" s="10"/>
    </row>
    <row r="195">
      <c r="A195" s="11" t="s">
        <v>517</v>
      </c>
      <c r="B195" s="8"/>
      <c r="C195" s="8"/>
      <c r="D195" s="8"/>
      <c r="E195" s="8"/>
      <c r="F195" s="12">
        <v>1.0</v>
      </c>
      <c r="G195" s="12">
        <v>1.0</v>
      </c>
      <c r="H195" s="12">
        <v>1.0</v>
      </c>
      <c r="I195" s="12">
        <v>1.0</v>
      </c>
      <c r="J195" s="12">
        <v>1.0</v>
      </c>
      <c r="K195" s="12">
        <v>1.0</v>
      </c>
      <c r="L195" s="2"/>
      <c r="M195" s="12">
        <v>1.0</v>
      </c>
      <c r="N195" s="12">
        <v>1.0</v>
      </c>
      <c r="O195" s="13">
        <v>1.0</v>
      </c>
      <c r="P195" s="12">
        <v>1.0</v>
      </c>
      <c r="Q195" s="5"/>
      <c r="R195" s="10">
        <f>sum(F195:K195,M195:P195)/(COUNTIF(B195:P195, 1) + (COUNTIF(B195:P195, 0)) + COUNTIF(B195:P195, 0.5))</f>
        <v>1</v>
      </c>
    </row>
    <row r="196">
      <c r="A196" s="7">
        <v>193.0</v>
      </c>
      <c r="B196" s="8">
        <v>1258.0</v>
      </c>
      <c r="C196" s="8">
        <v>106.0</v>
      </c>
      <c r="D196" s="8">
        <v>36.7772</v>
      </c>
      <c r="E196" s="8">
        <v>-119.764</v>
      </c>
      <c r="F196" s="1"/>
      <c r="G196" s="1"/>
      <c r="H196" s="3" t="s">
        <v>518</v>
      </c>
      <c r="I196" s="3" t="s">
        <v>18</v>
      </c>
      <c r="J196" s="3" t="s">
        <v>519</v>
      </c>
      <c r="K196" s="1"/>
      <c r="L196" s="2" t="s">
        <v>513</v>
      </c>
      <c r="M196" s="1"/>
      <c r="N196" s="1"/>
      <c r="O196" s="4" t="s">
        <v>520</v>
      </c>
      <c r="P196" s="3" t="s">
        <v>251</v>
      </c>
      <c r="Q196" s="5" t="s">
        <v>521</v>
      </c>
      <c r="R196" s="10"/>
    </row>
    <row r="197">
      <c r="A197" s="11" t="s">
        <v>522</v>
      </c>
      <c r="B197" s="8"/>
      <c r="C197" s="8"/>
      <c r="D197" s="8"/>
      <c r="E197" s="8"/>
      <c r="F197" s="12">
        <v>1.0</v>
      </c>
      <c r="G197" s="12">
        <v>1.0</v>
      </c>
      <c r="H197" s="12">
        <v>1.0</v>
      </c>
      <c r="I197" s="12">
        <v>1.0</v>
      </c>
      <c r="J197" s="12">
        <v>0.5</v>
      </c>
      <c r="K197" s="12">
        <v>1.0</v>
      </c>
      <c r="L197" s="2"/>
      <c r="M197" s="12">
        <v>1.0</v>
      </c>
      <c r="N197" s="12">
        <v>1.0</v>
      </c>
      <c r="O197" s="13">
        <v>1.0</v>
      </c>
      <c r="P197" s="12">
        <v>1.0</v>
      </c>
      <c r="Q197" s="5"/>
      <c r="R197" s="10">
        <f>sum(F197:K197,M197:P197)/(COUNTIF(B197:P197, 1) + (COUNTIF(B197:P197, 0)) + COUNTIF(B197:P197, 0.5))</f>
        <v>0.95</v>
      </c>
    </row>
    <row r="198">
      <c r="A198" s="7">
        <v>416.0</v>
      </c>
      <c r="B198" s="8">
        <v>1258.0</v>
      </c>
      <c r="C198" s="8">
        <v>109.0</v>
      </c>
      <c r="D198" s="8">
        <v>36.7333</v>
      </c>
      <c r="E198" s="8">
        <v>-119.767</v>
      </c>
      <c r="F198" s="1"/>
      <c r="G198" s="1"/>
      <c r="H198" s="3" t="s">
        <v>523</v>
      </c>
      <c r="I198" s="3" t="s">
        <v>18</v>
      </c>
      <c r="J198" s="3" t="s">
        <v>524</v>
      </c>
      <c r="K198" s="3" t="s">
        <v>491</v>
      </c>
      <c r="L198" s="2" t="s">
        <v>491</v>
      </c>
      <c r="M198" s="3" t="s">
        <v>525</v>
      </c>
      <c r="N198" s="3" t="s">
        <v>526</v>
      </c>
      <c r="O198" s="4" t="s">
        <v>231</v>
      </c>
      <c r="P198" s="3" t="s">
        <v>24</v>
      </c>
      <c r="Q198" s="5" t="s">
        <v>527</v>
      </c>
      <c r="R198" s="10"/>
    </row>
    <row r="199">
      <c r="A199" s="11" t="s">
        <v>528</v>
      </c>
      <c r="B199" s="8"/>
      <c r="C199" s="8"/>
      <c r="D199" s="8"/>
      <c r="E199" s="8"/>
      <c r="F199" s="12">
        <v>1.0</v>
      </c>
      <c r="G199" s="12">
        <v>1.0</v>
      </c>
      <c r="H199" s="12">
        <v>1.0</v>
      </c>
      <c r="I199" s="12">
        <v>1.0</v>
      </c>
      <c r="J199" s="12">
        <v>1.0</v>
      </c>
      <c r="K199" s="12">
        <v>1.0</v>
      </c>
      <c r="L199" s="2"/>
      <c r="M199" s="12">
        <v>1.0</v>
      </c>
      <c r="N199" s="12">
        <v>1.0</v>
      </c>
      <c r="O199" s="13">
        <v>1.0</v>
      </c>
      <c r="P199" s="12">
        <v>1.0</v>
      </c>
      <c r="Q199" s="5"/>
      <c r="R199" s="10">
        <f>sum(F199:K199,M199:P199)/(COUNTIF(B199:P199, 1) + (COUNTIF(B199:P199, 0)) + COUNTIF(B199:P199, 0.5))</f>
        <v>1</v>
      </c>
    </row>
    <row r="200">
      <c r="A200" s="7">
        <v>417.0</v>
      </c>
      <c r="B200" s="8">
        <v>1258.0</v>
      </c>
      <c r="C200" s="8">
        <v>109.0</v>
      </c>
      <c r="D200" s="8">
        <v>36.7333</v>
      </c>
      <c r="E200" s="8">
        <v>-119.767</v>
      </c>
      <c r="F200" s="1"/>
      <c r="G200" s="1"/>
      <c r="H200" s="3" t="s">
        <v>523</v>
      </c>
      <c r="I200" s="3" t="s">
        <v>18</v>
      </c>
      <c r="J200" s="3" t="s">
        <v>529</v>
      </c>
      <c r="K200" s="3" t="s">
        <v>491</v>
      </c>
      <c r="L200" s="2" t="s">
        <v>491</v>
      </c>
      <c r="M200" s="3" t="s">
        <v>525</v>
      </c>
      <c r="N200" s="3" t="s">
        <v>526</v>
      </c>
      <c r="O200" s="4" t="s">
        <v>231</v>
      </c>
      <c r="P200" s="3" t="s">
        <v>24</v>
      </c>
      <c r="Q200" s="5" t="s">
        <v>530</v>
      </c>
      <c r="R200" s="10"/>
    </row>
    <row r="201">
      <c r="A201" s="11" t="s">
        <v>531</v>
      </c>
      <c r="B201" s="8"/>
      <c r="C201" s="8"/>
      <c r="D201" s="8"/>
      <c r="E201" s="8"/>
      <c r="F201" s="12">
        <v>1.0</v>
      </c>
      <c r="G201" s="12">
        <v>1.0</v>
      </c>
      <c r="H201" s="12">
        <v>1.0</v>
      </c>
      <c r="I201" s="12">
        <v>1.0</v>
      </c>
      <c r="J201" s="12">
        <v>1.0</v>
      </c>
      <c r="K201" s="12">
        <v>1.0</v>
      </c>
      <c r="L201" s="9"/>
      <c r="M201" s="12">
        <v>1.0</v>
      </c>
      <c r="N201" s="12">
        <v>1.0</v>
      </c>
      <c r="O201" s="13">
        <v>1.0</v>
      </c>
      <c r="P201" s="12">
        <v>1.0</v>
      </c>
      <c r="Q201" s="5"/>
      <c r="R201" s="10">
        <f>sum(F201:K201,M201:P201)/(COUNTIF(B201:P201, 1) + (COUNTIF(B201:P201, 0)) + COUNTIF(B201:P201, 0.5))</f>
        <v>1</v>
      </c>
    </row>
    <row r="202">
      <c r="A202" s="7">
        <v>248.0</v>
      </c>
      <c r="B202" s="8">
        <v>1258.0</v>
      </c>
      <c r="C202" s="8">
        <v>114.0</v>
      </c>
      <c r="D202" s="8">
        <v>36.75</v>
      </c>
      <c r="E202" s="8">
        <v>-119.75</v>
      </c>
      <c r="F202" s="1"/>
      <c r="G202" s="1"/>
      <c r="H202" s="3" t="s">
        <v>489</v>
      </c>
      <c r="I202" s="3" t="s">
        <v>18</v>
      </c>
      <c r="J202" s="3" t="s">
        <v>532</v>
      </c>
      <c r="K202" s="3" t="s">
        <v>491</v>
      </c>
      <c r="L202" s="9"/>
      <c r="M202" s="3" t="s">
        <v>533</v>
      </c>
      <c r="N202" s="3" t="s">
        <v>526</v>
      </c>
      <c r="O202" s="4" t="s">
        <v>534</v>
      </c>
      <c r="P202" s="3" t="s">
        <v>251</v>
      </c>
      <c r="Q202" s="5" t="s">
        <v>535</v>
      </c>
      <c r="R202" s="10"/>
    </row>
    <row r="203">
      <c r="A203" s="11" t="s">
        <v>536</v>
      </c>
      <c r="B203" s="8"/>
      <c r="C203" s="8"/>
      <c r="D203" s="8"/>
      <c r="E203" s="8"/>
      <c r="F203" s="12">
        <v>1.0</v>
      </c>
      <c r="G203" s="12">
        <v>1.0</v>
      </c>
      <c r="H203" s="12">
        <v>1.0</v>
      </c>
      <c r="I203" s="12">
        <v>1.0</v>
      </c>
      <c r="J203" s="12">
        <v>1.0</v>
      </c>
      <c r="K203" s="12">
        <v>1.0</v>
      </c>
      <c r="L203" s="9"/>
      <c r="M203" s="12">
        <v>1.0</v>
      </c>
      <c r="N203" s="12">
        <v>1.0</v>
      </c>
      <c r="O203" s="13">
        <v>1.0</v>
      </c>
      <c r="P203" s="12">
        <v>1.0</v>
      </c>
      <c r="Q203" s="5"/>
      <c r="R203" s="10">
        <f>sum(F203:K203,M203:P203)/(COUNTIF(B203:P203, 1) + (COUNTIF(B203:P203, 0)) + COUNTIF(B203:P203, 0.5))</f>
        <v>1</v>
      </c>
    </row>
    <row r="204">
      <c r="A204" s="7">
        <v>249.0</v>
      </c>
      <c r="B204" s="8">
        <v>1258.0</v>
      </c>
      <c r="C204" s="8">
        <v>114.0</v>
      </c>
      <c r="D204" s="8">
        <v>36.75</v>
      </c>
      <c r="E204" s="8">
        <v>-119.75</v>
      </c>
      <c r="F204" s="1"/>
      <c r="G204" s="1"/>
      <c r="H204" s="3" t="s">
        <v>489</v>
      </c>
      <c r="I204" s="3" t="s">
        <v>18</v>
      </c>
      <c r="J204" s="3" t="s">
        <v>537</v>
      </c>
      <c r="K204" s="3" t="s">
        <v>491</v>
      </c>
      <c r="L204" s="9"/>
      <c r="M204" s="3" t="s">
        <v>533</v>
      </c>
      <c r="N204" s="3" t="s">
        <v>526</v>
      </c>
      <c r="O204" s="4" t="s">
        <v>534</v>
      </c>
      <c r="P204" s="3" t="s">
        <v>251</v>
      </c>
      <c r="Q204" s="5" t="s">
        <v>535</v>
      </c>
      <c r="R204" s="10"/>
    </row>
    <row r="205">
      <c r="A205" s="11" t="s">
        <v>538</v>
      </c>
      <c r="B205" s="8"/>
      <c r="C205" s="8"/>
      <c r="D205" s="8"/>
      <c r="E205" s="8"/>
      <c r="F205" s="12">
        <v>1.0</v>
      </c>
      <c r="G205" s="12">
        <v>1.0</v>
      </c>
      <c r="H205" s="12">
        <v>1.0</v>
      </c>
      <c r="I205" s="12">
        <v>1.0</v>
      </c>
      <c r="J205" s="12">
        <v>1.0</v>
      </c>
      <c r="K205" s="12">
        <v>1.0</v>
      </c>
      <c r="L205" s="9"/>
      <c r="M205" s="12">
        <v>1.0</v>
      </c>
      <c r="N205" s="12">
        <v>1.0</v>
      </c>
      <c r="O205" s="13">
        <v>1.0</v>
      </c>
      <c r="P205" s="12">
        <v>1.0</v>
      </c>
      <c r="Q205" s="5"/>
      <c r="R205" s="10">
        <f>sum(F205:K205,M205:P205)/(COUNTIF(B205:P205, 1) + (COUNTIF(B205:P205, 0)) + COUNTIF(B205:P205, 0.5))</f>
        <v>1</v>
      </c>
    </row>
    <row r="206">
      <c r="A206" s="7">
        <v>250.0</v>
      </c>
      <c r="B206" s="8">
        <v>1258.0</v>
      </c>
      <c r="C206" s="8">
        <v>114.0</v>
      </c>
      <c r="D206" s="8">
        <v>35.75</v>
      </c>
      <c r="E206" s="8">
        <v>-118.5</v>
      </c>
      <c r="F206" s="1"/>
      <c r="G206" s="1"/>
      <c r="H206" s="3" t="s">
        <v>489</v>
      </c>
      <c r="I206" s="3" t="s">
        <v>18</v>
      </c>
      <c r="J206" s="3" t="s">
        <v>539</v>
      </c>
      <c r="K206" s="3" t="s">
        <v>114</v>
      </c>
      <c r="L206" s="9"/>
      <c r="M206" s="1"/>
      <c r="N206" s="1"/>
      <c r="O206" s="4" t="s">
        <v>540</v>
      </c>
      <c r="P206" s="3" t="s">
        <v>440</v>
      </c>
      <c r="Q206" s="5" t="s">
        <v>541</v>
      </c>
      <c r="R206" s="10"/>
    </row>
    <row r="207">
      <c r="A207" s="11" t="s">
        <v>542</v>
      </c>
      <c r="B207" s="8"/>
      <c r="C207" s="8"/>
      <c r="D207" s="8"/>
      <c r="E207" s="8"/>
      <c r="F207" s="12">
        <v>1.0</v>
      </c>
      <c r="G207" s="12">
        <v>1.0</v>
      </c>
      <c r="H207" s="12">
        <v>1.0</v>
      </c>
      <c r="I207" s="12">
        <v>1.0</v>
      </c>
      <c r="J207" s="12">
        <v>1.0</v>
      </c>
      <c r="K207" s="12">
        <v>0.0</v>
      </c>
      <c r="L207" s="9"/>
      <c r="M207" s="12">
        <v>1.0</v>
      </c>
      <c r="N207" s="12">
        <v>1.0</v>
      </c>
      <c r="O207" s="13">
        <v>1.0</v>
      </c>
      <c r="P207" s="12">
        <v>1.0</v>
      </c>
      <c r="Q207" s="5"/>
      <c r="R207" s="10">
        <f>sum(F207:K207,M207:P207)/(COUNTIF(B207:P207, 1) + (COUNTIF(B207:P207, 0)) + COUNTIF(B207:P207, 0.5))</f>
        <v>0.9</v>
      </c>
    </row>
    <row r="208">
      <c r="A208" s="7">
        <v>371.0</v>
      </c>
      <c r="B208" s="8">
        <v>1258.0</v>
      </c>
      <c r="C208" s="8">
        <v>119.0</v>
      </c>
      <c r="D208" s="8">
        <v>35.5</v>
      </c>
      <c r="E208" s="8">
        <v>-118.75</v>
      </c>
      <c r="F208" s="1"/>
      <c r="G208" s="1"/>
      <c r="H208" s="3" t="s">
        <v>543</v>
      </c>
      <c r="I208" s="3" t="s">
        <v>544</v>
      </c>
      <c r="J208" s="3" t="s">
        <v>104</v>
      </c>
      <c r="K208" s="3" t="s">
        <v>106</v>
      </c>
      <c r="L208" s="9"/>
      <c r="M208" s="3" t="s">
        <v>545</v>
      </c>
      <c r="N208" s="3" t="s">
        <v>546</v>
      </c>
      <c r="O208" s="4" t="s">
        <v>231</v>
      </c>
      <c r="P208" s="3" t="s">
        <v>251</v>
      </c>
      <c r="Q208" s="5" t="s">
        <v>547</v>
      </c>
      <c r="R208" s="10"/>
    </row>
    <row r="209">
      <c r="A209" s="11" t="s">
        <v>548</v>
      </c>
      <c r="B209" s="8"/>
      <c r="C209" s="8"/>
      <c r="D209" s="9"/>
      <c r="E209" s="9"/>
      <c r="F209" s="11">
        <v>1.0</v>
      </c>
      <c r="G209" s="11">
        <v>1.0</v>
      </c>
      <c r="H209" s="12">
        <v>1.0</v>
      </c>
      <c r="I209" s="12">
        <v>0.0</v>
      </c>
      <c r="J209" s="12">
        <v>1.0</v>
      </c>
      <c r="K209" s="12">
        <v>1.0</v>
      </c>
      <c r="L209" s="9"/>
      <c r="M209" s="12">
        <v>1.0</v>
      </c>
      <c r="N209" s="12">
        <v>1.0</v>
      </c>
      <c r="O209" s="13">
        <v>1.0</v>
      </c>
      <c r="P209" s="12">
        <v>1.0</v>
      </c>
      <c r="Q209" s="5"/>
      <c r="R209" s="10">
        <f>sum(F209:K209,M209:P209)/(COUNTIF(B209:P209, 1) + (COUNTIF(B209:P209, 0)) + COUNTIF(B209:P209, 0.5))</f>
        <v>0.9</v>
      </c>
    </row>
    <row r="210">
      <c r="A210" s="7">
        <v>293.0</v>
      </c>
      <c r="B210" s="8">
        <v>1258.0</v>
      </c>
      <c r="C210" s="8">
        <v>121.0</v>
      </c>
      <c r="D210" s="9"/>
      <c r="E210" s="9"/>
      <c r="F210" s="7">
        <v>35.6762</v>
      </c>
      <c r="G210" s="7">
        <v>-118.876</v>
      </c>
      <c r="H210" s="3" t="s">
        <v>549</v>
      </c>
      <c r="I210" s="3" t="s">
        <v>18</v>
      </c>
      <c r="J210" s="3" t="s">
        <v>550</v>
      </c>
      <c r="K210" s="3" t="s">
        <v>114</v>
      </c>
      <c r="L210" s="9"/>
      <c r="M210" s="3" t="s">
        <v>545</v>
      </c>
      <c r="N210" s="3" t="s">
        <v>551</v>
      </c>
      <c r="O210" s="4" t="s">
        <v>231</v>
      </c>
      <c r="P210" s="3" t="s">
        <v>65</v>
      </c>
      <c r="Q210" s="5" t="s">
        <v>552</v>
      </c>
      <c r="R210" s="10"/>
    </row>
    <row r="211">
      <c r="A211" s="11" t="s">
        <v>553</v>
      </c>
      <c r="B211" s="8"/>
      <c r="C211" s="8"/>
      <c r="D211" s="9"/>
      <c r="E211" s="9"/>
      <c r="F211" s="11">
        <v>0.0</v>
      </c>
      <c r="G211" s="11">
        <v>0.0</v>
      </c>
      <c r="H211" s="12">
        <v>1.0</v>
      </c>
      <c r="I211" s="12">
        <v>1.0</v>
      </c>
      <c r="J211" s="12">
        <v>1.0</v>
      </c>
      <c r="K211" s="12">
        <v>0.0</v>
      </c>
      <c r="L211" s="9"/>
      <c r="M211" s="12">
        <v>1.0</v>
      </c>
      <c r="N211" s="12">
        <v>0.0</v>
      </c>
      <c r="O211" s="13">
        <v>1.0</v>
      </c>
      <c r="P211" s="12">
        <v>0.5</v>
      </c>
      <c r="Q211" s="5"/>
      <c r="R211" s="10">
        <f>sum(F211:K211,M211:P211)/(COUNTIF(B211:P211, 1) + (COUNTIF(B211:P211, 0)) + COUNTIF(B211:P211, 0.5))</f>
        <v>0.55</v>
      </c>
    </row>
    <row r="212">
      <c r="A212" s="7">
        <v>294.0</v>
      </c>
      <c r="B212" s="8">
        <v>1258.0</v>
      </c>
      <c r="C212" s="8">
        <v>121.0</v>
      </c>
      <c r="D212" s="9"/>
      <c r="E212" s="9"/>
      <c r="F212" s="7">
        <v>35.6762</v>
      </c>
      <c r="G212" s="7">
        <v>-118.876</v>
      </c>
      <c r="H212" s="3" t="s">
        <v>554</v>
      </c>
      <c r="I212" s="3" t="s">
        <v>18</v>
      </c>
      <c r="J212" s="3" t="s">
        <v>555</v>
      </c>
      <c r="K212" s="3" t="s">
        <v>114</v>
      </c>
      <c r="L212" s="9"/>
      <c r="M212" s="3" t="s">
        <v>545</v>
      </c>
      <c r="N212" s="3" t="s">
        <v>551</v>
      </c>
      <c r="O212" s="4" t="s">
        <v>231</v>
      </c>
      <c r="P212" s="3" t="s">
        <v>65</v>
      </c>
      <c r="Q212" s="5" t="s">
        <v>556</v>
      </c>
      <c r="R212" s="10"/>
    </row>
    <row r="213">
      <c r="A213" s="11" t="s">
        <v>557</v>
      </c>
      <c r="B213" s="8"/>
      <c r="C213" s="8"/>
      <c r="D213" s="9"/>
      <c r="E213" s="9"/>
      <c r="F213" s="11">
        <v>0.0</v>
      </c>
      <c r="G213" s="11">
        <v>0.0</v>
      </c>
      <c r="H213" s="12">
        <v>1.0</v>
      </c>
      <c r="I213" s="12">
        <v>1.0</v>
      </c>
      <c r="J213" s="12">
        <v>1.0</v>
      </c>
      <c r="K213" s="12">
        <v>0.0</v>
      </c>
      <c r="L213" s="9"/>
      <c r="M213" s="12">
        <v>1.0</v>
      </c>
      <c r="N213" s="12">
        <v>0.0</v>
      </c>
      <c r="O213" s="13">
        <v>1.0</v>
      </c>
      <c r="P213" s="12">
        <v>0.5</v>
      </c>
      <c r="Q213" s="5"/>
      <c r="R213" s="10">
        <f>sum(F213:K213,M213:P213)/(COUNTIF(B213:P213, 1) + (COUNTIF(B213:P213, 0)) + COUNTIF(B213:P213, 0.5))</f>
        <v>0.55</v>
      </c>
    </row>
    <row r="214">
      <c r="A214" s="7">
        <v>295.0</v>
      </c>
      <c r="B214" s="8">
        <v>1258.0</v>
      </c>
      <c r="C214" s="8">
        <v>121.0</v>
      </c>
      <c r="D214" s="9"/>
      <c r="E214" s="9"/>
      <c r="F214" s="7">
        <v>35.6762</v>
      </c>
      <c r="G214" s="7">
        <v>-118.876</v>
      </c>
      <c r="H214" s="3" t="s">
        <v>558</v>
      </c>
      <c r="I214" s="3" t="s">
        <v>18</v>
      </c>
      <c r="J214" s="3" t="s">
        <v>559</v>
      </c>
      <c r="K214" s="3" t="s">
        <v>114</v>
      </c>
      <c r="L214" s="9"/>
      <c r="M214" s="3" t="s">
        <v>545</v>
      </c>
      <c r="N214" s="3" t="s">
        <v>551</v>
      </c>
      <c r="O214" s="4" t="s">
        <v>231</v>
      </c>
      <c r="P214" s="3" t="s">
        <v>65</v>
      </c>
      <c r="Q214" s="5" t="s">
        <v>556</v>
      </c>
      <c r="R214" s="10"/>
    </row>
    <row r="215">
      <c r="A215" s="11" t="s">
        <v>560</v>
      </c>
      <c r="B215" s="8"/>
      <c r="C215" s="8"/>
      <c r="D215" s="9"/>
      <c r="E215" s="9"/>
      <c r="F215" s="11">
        <v>0.0</v>
      </c>
      <c r="G215" s="11">
        <v>0.0</v>
      </c>
      <c r="H215" s="12">
        <v>1.0</v>
      </c>
      <c r="I215" s="12">
        <v>1.0</v>
      </c>
      <c r="J215" s="12">
        <v>1.0</v>
      </c>
      <c r="K215" s="12">
        <v>0.0</v>
      </c>
      <c r="L215" s="9"/>
      <c r="M215" s="12">
        <v>1.0</v>
      </c>
      <c r="N215" s="12">
        <v>0.0</v>
      </c>
      <c r="O215" s="13">
        <v>1.0</v>
      </c>
      <c r="P215" s="12">
        <v>0.5</v>
      </c>
      <c r="Q215" s="5"/>
      <c r="R215" s="10">
        <f>sum(F215:K215,M215:P215)/(COUNTIF(B215:P215, 1) + (COUNTIF(B215:P215, 0)) + COUNTIF(B215:P215, 0.5))</f>
        <v>0.55</v>
      </c>
    </row>
    <row r="216">
      <c r="A216" s="7">
        <v>296.0</v>
      </c>
      <c r="B216" s="8">
        <v>1258.0</v>
      </c>
      <c r="C216" s="8">
        <v>121.0</v>
      </c>
      <c r="D216" s="9"/>
      <c r="E216" s="9"/>
      <c r="F216" s="7">
        <v>35.6762</v>
      </c>
      <c r="G216" s="7">
        <v>-118.876</v>
      </c>
      <c r="H216" s="3" t="s">
        <v>561</v>
      </c>
      <c r="I216" s="3" t="s">
        <v>18</v>
      </c>
      <c r="J216" s="3" t="s">
        <v>562</v>
      </c>
      <c r="K216" s="3" t="s">
        <v>114</v>
      </c>
      <c r="L216" s="9"/>
      <c r="M216" s="3" t="s">
        <v>545</v>
      </c>
      <c r="N216" s="3" t="s">
        <v>551</v>
      </c>
      <c r="O216" s="4" t="s">
        <v>231</v>
      </c>
      <c r="P216" s="3" t="s">
        <v>65</v>
      </c>
      <c r="Q216" s="5" t="s">
        <v>556</v>
      </c>
      <c r="R216" s="10"/>
    </row>
    <row r="217">
      <c r="A217" s="11" t="s">
        <v>563</v>
      </c>
      <c r="B217" s="8"/>
      <c r="C217" s="8"/>
      <c r="D217" s="9"/>
      <c r="E217" s="9"/>
      <c r="F217" s="11">
        <v>0.0</v>
      </c>
      <c r="G217" s="11">
        <v>0.0</v>
      </c>
      <c r="H217" s="12">
        <v>1.0</v>
      </c>
      <c r="I217" s="12">
        <v>1.0</v>
      </c>
      <c r="J217" s="12">
        <v>1.0</v>
      </c>
      <c r="K217" s="12">
        <v>0.0</v>
      </c>
      <c r="L217" s="9"/>
      <c r="M217" s="12">
        <v>1.0</v>
      </c>
      <c r="N217" s="12">
        <v>0.0</v>
      </c>
      <c r="O217" s="13">
        <v>1.0</v>
      </c>
      <c r="P217" s="12">
        <v>0.5</v>
      </c>
      <c r="Q217" s="5"/>
      <c r="R217" s="10">
        <f>sum(F217:K217,M217:P217)/(COUNTIF(B217:P217, 1) + (COUNTIF(B217:P217, 0)) + COUNTIF(B217:P217, 0.5))</f>
        <v>0.55</v>
      </c>
    </row>
    <row r="218">
      <c r="A218" s="7">
        <v>297.0</v>
      </c>
      <c r="B218" s="8">
        <v>1258.0</v>
      </c>
      <c r="C218" s="8">
        <v>121.0</v>
      </c>
      <c r="D218" s="9"/>
      <c r="E218" s="9"/>
      <c r="F218" s="7">
        <v>35.6762</v>
      </c>
      <c r="G218" s="7">
        <v>-118.876</v>
      </c>
      <c r="H218" s="3" t="s">
        <v>564</v>
      </c>
      <c r="I218" s="3" t="s">
        <v>18</v>
      </c>
      <c r="J218" s="3" t="s">
        <v>565</v>
      </c>
      <c r="K218" s="3" t="s">
        <v>114</v>
      </c>
      <c r="L218" s="9"/>
      <c r="M218" s="3" t="s">
        <v>545</v>
      </c>
      <c r="N218" s="3" t="s">
        <v>551</v>
      </c>
      <c r="O218" s="4" t="s">
        <v>231</v>
      </c>
      <c r="P218" s="3" t="s">
        <v>65</v>
      </c>
      <c r="Q218" s="5" t="s">
        <v>556</v>
      </c>
      <c r="R218" s="10"/>
    </row>
    <row r="219">
      <c r="A219" s="11" t="s">
        <v>566</v>
      </c>
      <c r="B219" s="8"/>
      <c r="C219" s="8"/>
      <c r="D219" s="9"/>
      <c r="E219" s="9"/>
      <c r="F219" s="11">
        <v>0.0</v>
      </c>
      <c r="G219" s="11">
        <v>0.0</v>
      </c>
      <c r="H219" s="12">
        <v>1.0</v>
      </c>
      <c r="I219" s="12">
        <v>1.0</v>
      </c>
      <c r="J219" s="12">
        <v>1.0</v>
      </c>
      <c r="K219" s="12">
        <v>0.0</v>
      </c>
      <c r="L219" s="9"/>
      <c r="M219" s="12">
        <v>1.0</v>
      </c>
      <c r="N219" s="12">
        <v>0.0</v>
      </c>
      <c r="O219" s="13">
        <v>1.0</v>
      </c>
      <c r="P219" s="12">
        <v>0.5</v>
      </c>
      <c r="Q219" s="5"/>
      <c r="R219" s="10">
        <f>sum(F219:K219,M219:P219)/(COUNTIF(B219:P219, 1) + (COUNTIF(B219:P219, 0)) + COUNTIF(B219:P219, 0.5))</f>
        <v>0.55</v>
      </c>
    </row>
    <row r="220">
      <c r="A220" s="7">
        <v>298.0</v>
      </c>
      <c r="B220" s="8">
        <v>1258.0</v>
      </c>
      <c r="C220" s="8">
        <v>121.0</v>
      </c>
      <c r="D220" s="9"/>
      <c r="E220" s="9"/>
      <c r="F220" s="7">
        <v>35.6818</v>
      </c>
      <c r="G220" s="7">
        <v>-119.284</v>
      </c>
      <c r="H220" s="3" t="s">
        <v>567</v>
      </c>
      <c r="I220" s="3" t="s">
        <v>18</v>
      </c>
      <c r="J220" s="3" t="s">
        <v>568</v>
      </c>
      <c r="K220" s="3" t="s">
        <v>114</v>
      </c>
      <c r="L220" s="9"/>
      <c r="M220" s="3" t="s">
        <v>545</v>
      </c>
      <c r="N220" s="3" t="s">
        <v>551</v>
      </c>
      <c r="O220" s="4" t="s">
        <v>231</v>
      </c>
      <c r="P220" s="3" t="s">
        <v>56</v>
      </c>
      <c r="Q220" s="5" t="s">
        <v>556</v>
      </c>
      <c r="R220" s="10"/>
    </row>
    <row r="221">
      <c r="A221" s="11" t="s">
        <v>569</v>
      </c>
      <c r="B221" s="8"/>
      <c r="C221" s="8"/>
      <c r="D221" s="8"/>
      <c r="E221" s="8"/>
      <c r="F221" s="11">
        <v>0.0</v>
      </c>
      <c r="G221" s="11">
        <v>0.0</v>
      </c>
      <c r="H221" s="12">
        <v>1.0</v>
      </c>
      <c r="I221" s="12">
        <v>1.0</v>
      </c>
      <c r="J221" s="12">
        <v>1.0</v>
      </c>
      <c r="K221" s="12">
        <v>0.0</v>
      </c>
      <c r="L221" s="9"/>
      <c r="M221" s="12">
        <v>1.0</v>
      </c>
      <c r="N221" s="12">
        <v>0.0</v>
      </c>
      <c r="O221" s="13">
        <v>1.0</v>
      </c>
      <c r="P221" s="12">
        <v>1.0</v>
      </c>
      <c r="Q221" s="5"/>
      <c r="R221" s="10">
        <f>sum(F221:K221,M221:P221)/(COUNTIF(B221:P221, 1) + (COUNTIF(B221:P221, 0)) + COUNTIF(B221:P221, 0.5))</f>
        <v>0.6</v>
      </c>
    </row>
    <row r="222">
      <c r="A222" s="7">
        <v>150.0</v>
      </c>
      <c r="B222" s="8">
        <v>1258.0</v>
      </c>
      <c r="C222" s="8">
        <v>123.0</v>
      </c>
      <c r="D222" s="8">
        <v>35.3</v>
      </c>
      <c r="E222" s="8">
        <v>-118.9</v>
      </c>
      <c r="F222" s="1"/>
      <c r="G222" s="1"/>
      <c r="H222" s="3" t="s">
        <v>354</v>
      </c>
      <c r="I222" s="3" t="s">
        <v>18</v>
      </c>
      <c r="J222" s="3" t="s">
        <v>104</v>
      </c>
      <c r="K222" s="3" t="s">
        <v>106</v>
      </c>
      <c r="L222" s="9"/>
      <c r="M222" s="3" t="s">
        <v>570</v>
      </c>
      <c r="N222" s="3" t="s">
        <v>571</v>
      </c>
      <c r="O222" s="4" t="s">
        <v>572</v>
      </c>
      <c r="P222" s="3" t="s">
        <v>56</v>
      </c>
      <c r="Q222" s="5" t="s">
        <v>573</v>
      </c>
      <c r="R222" s="10"/>
    </row>
    <row r="223">
      <c r="A223" s="11" t="s">
        <v>574</v>
      </c>
      <c r="B223" s="8"/>
      <c r="C223" s="8"/>
      <c r="D223" s="8"/>
      <c r="E223" s="8"/>
      <c r="F223" s="12">
        <v>1.0</v>
      </c>
      <c r="G223" s="12">
        <v>1.0</v>
      </c>
      <c r="H223" s="12">
        <v>1.0</v>
      </c>
      <c r="I223" s="12">
        <v>1.0</v>
      </c>
      <c r="J223" s="12">
        <v>1.0</v>
      </c>
      <c r="K223" s="12">
        <v>1.0</v>
      </c>
      <c r="L223" s="2"/>
      <c r="M223" s="12">
        <v>1.0</v>
      </c>
      <c r="N223" s="12">
        <v>1.0</v>
      </c>
      <c r="O223" s="13">
        <v>1.0</v>
      </c>
      <c r="P223" s="12">
        <v>1.0</v>
      </c>
      <c r="Q223" s="5"/>
      <c r="R223" s="10">
        <f>sum(F223:K223,M223:P223)/(COUNTIF(B223:P223, 1) + (COUNTIF(B223:P223, 0)) + COUNTIF(B223:P223, 0.5))</f>
        <v>1</v>
      </c>
    </row>
    <row r="224">
      <c r="A224" s="7">
        <v>409.0</v>
      </c>
      <c r="B224" s="8">
        <v>1258.0</v>
      </c>
      <c r="C224" s="8">
        <v>124.0</v>
      </c>
      <c r="D224" s="8">
        <v>35.7</v>
      </c>
      <c r="E224" s="8">
        <v>-119.5</v>
      </c>
      <c r="F224" s="1"/>
      <c r="G224" s="1"/>
      <c r="H224" s="3" t="s">
        <v>489</v>
      </c>
      <c r="I224" s="3" t="s">
        <v>575</v>
      </c>
      <c r="J224" s="3" t="s">
        <v>555</v>
      </c>
      <c r="K224" s="3" t="s">
        <v>106</v>
      </c>
      <c r="L224" s="2" t="s">
        <v>106</v>
      </c>
      <c r="M224" s="3" t="s">
        <v>545</v>
      </c>
      <c r="N224" s="3" t="s">
        <v>551</v>
      </c>
      <c r="O224" s="4" t="s">
        <v>231</v>
      </c>
      <c r="P224" s="3" t="s">
        <v>251</v>
      </c>
      <c r="Q224" s="5" t="s">
        <v>576</v>
      </c>
      <c r="R224" s="10"/>
    </row>
    <row r="225">
      <c r="A225" s="11" t="s">
        <v>577</v>
      </c>
      <c r="B225" s="8"/>
      <c r="C225" s="8"/>
      <c r="D225" s="8"/>
      <c r="E225" s="8"/>
      <c r="F225" s="12">
        <v>1.0</v>
      </c>
      <c r="G225" s="12">
        <v>1.0</v>
      </c>
      <c r="H225" s="12">
        <v>1.0</v>
      </c>
      <c r="I225" s="12">
        <v>0.0</v>
      </c>
      <c r="J225" s="12">
        <v>1.0</v>
      </c>
      <c r="K225" s="12">
        <v>1.0</v>
      </c>
      <c r="L225" s="2"/>
      <c r="M225" s="12">
        <v>1.0</v>
      </c>
      <c r="N225" s="12">
        <v>0.0</v>
      </c>
      <c r="O225" s="13">
        <v>1.0</v>
      </c>
      <c r="P225" s="12">
        <v>1.0</v>
      </c>
      <c r="Q225" s="5"/>
      <c r="R225" s="10">
        <f>sum(F225:K225,M225:P225)/(COUNTIF(B225:P225, 1) + (COUNTIF(B225:P225, 0)) + COUNTIF(B225:P225, 0.5))</f>
        <v>0.8</v>
      </c>
    </row>
    <row r="226">
      <c r="A226" s="7">
        <v>410.0</v>
      </c>
      <c r="B226" s="8">
        <v>1258.0</v>
      </c>
      <c r="C226" s="8">
        <v>124.0</v>
      </c>
      <c r="D226" s="8">
        <v>35.7</v>
      </c>
      <c r="E226" s="8">
        <v>-119.5</v>
      </c>
      <c r="F226" s="1"/>
      <c r="G226" s="1"/>
      <c r="H226" s="3" t="s">
        <v>489</v>
      </c>
      <c r="I226" s="3" t="s">
        <v>575</v>
      </c>
      <c r="J226" s="3" t="s">
        <v>559</v>
      </c>
      <c r="K226" s="3" t="s">
        <v>106</v>
      </c>
      <c r="L226" s="2" t="s">
        <v>106</v>
      </c>
      <c r="M226" s="3" t="s">
        <v>545</v>
      </c>
      <c r="N226" s="3" t="s">
        <v>551</v>
      </c>
      <c r="O226" s="4" t="s">
        <v>231</v>
      </c>
      <c r="P226" s="3" t="s">
        <v>251</v>
      </c>
      <c r="Q226" s="5" t="s">
        <v>576</v>
      </c>
      <c r="R226" s="10"/>
    </row>
    <row r="227">
      <c r="A227" s="11" t="s">
        <v>578</v>
      </c>
      <c r="B227" s="8"/>
      <c r="C227" s="8"/>
      <c r="D227" s="8"/>
      <c r="E227" s="8"/>
      <c r="F227" s="12">
        <v>1.0</v>
      </c>
      <c r="G227" s="12">
        <v>1.0</v>
      </c>
      <c r="H227" s="12">
        <v>1.0</v>
      </c>
      <c r="I227" s="12">
        <v>0.0</v>
      </c>
      <c r="J227" s="12">
        <v>1.0</v>
      </c>
      <c r="K227" s="12">
        <v>1.0</v>
      </c>
      <c r="L227" s="2"/>
      <c r="M227" s="12">
        <v>1.0</v>
      </c>
      <c r="N227" s="12">
        <v>0.0</v>
      </c>
      <c r="O227" s="13">
        <v>1.0</v>
      </c>
      <c r="P227" s="12">
        <v>1.0</v>
      </c>
      <c r="Q227" s="5"/>
      <c r="R227" s="10">
        <f>sum(F227:K227,M227:P227)/(COUNTIF(B227:P227, 1) + (COUNTIF(B227:P227, 0)) + COUNTIF(B227:P227, 0.5))</f>
        <v>0.8</v>
      </c>
    </row>
    <row r="228">
      <c r="A228" s="7">
        <v>411.0</v>
      </c>
      <c r="B228" s="8">
        <v>1258.0</v>
      </c>
      <c r="C228" s="8">
        <v>124.0</v>
      </c>
      <c r="D228" s="8">
        <v>35.7</v>
      </c>
      <c r="E228" s="8">
        <v>-119.5</v>
      </c>
      <c r="F228" s="1"/>
      <c r="G228" s="1"/>
      <c r="H228" s="3" t="s">
        <v>489</v>
      </c>
      <c r="I228" s="3" t="s">
        <v>575</v>
      </c>
      <c r="J228" s="3" t="s">
        <v>562</v>
      </c>
      <c r="K228" s="3" t="s">
        <v>106</v>
      </c>
      <c r="L228" s="2" t="s">
        <v>106</v>
      </c>
      <c r="M228" s="3" t="s">
        <v>545</v>
      </c>
      <c r="N228" s="3" t="s">
        <v>551</v>
      </c>
      <c r="O228" s="4" t="s">
        <v>231</v>
      </c>
      <c r="P228" s="3" t="s">
        <v>251</v>
      </c>
      <c r="Q228" s="5" t="s">
        <v>576</v>
      </c>
      <c r="R228" s="10"/>
    </row>
    <row r="229">
      <c r="A229" s="11" t="s">
        <v>579</v>
      </c>
      <c r="B229" s="8"/>
      <c r="C229" s="8"/>
      <c r="D229" s="8"/>
      <c r="E229" s="8"/>
      <c r="F229" s="12">
        <v>1.0</v>
      </c>
      <c r="G229" s="12">
        <v>1.0</v>
      </c>
      <c r="H229" s="12">
        <v>1.0</v>
      </c>
      <c r="I229" s="12">
        <v>0.0</v>
      </c>
      <c r="J229" s="12">
        <v>1.0</v>
      </c>
      <c r="K229" s="12">
        <v>1.0</v>
      </c>
      <c r="L229" s="2"/>
      <c r="M229" s="12">
        <v>1.0</v>
      </c>
      <c r="N229" s="12">
        <v>0.0</v>
      </c>
      <c r="O229" s="13">
        <v>1.0</v>
      </c>
      <c r="P229" s="12">
        <v>1.0</v>
      </c>
      <c r="Q229" s="5"/>
      <c r="R229" s="10">
        <f>sum(F229:K229,M229:P229)/(COUNTIF(B229:P229, 1) + (COUNTIF(B229:P229, 0)) + COUNTIF(B229:P229, 0.5))</f>
        <v>0.8</v>
      </c>
    </row>
    <row r="230">
      <c r="A230" s="7">
        <v>412.0</v>
      </c>
      <c r="B230" s="8">
        <v>1258.0</v>
      </c>
      <c r="C230" s="8">
        <v>124.0</v>
      </c>
      <c r="D230" s="8">
        <v>35.7</v>
      </c>
      <c r="E230" s="8">
        <v>-119.5</v>
      </c>
      <c r="F230" s="1"/>
      <c r="G230" s="1"/>
      <c r="H230" s="3" t="s">
        <v>489</v>
      </c>
      <c r="I230" s="3" t="s">
        <v>575</v>
      </c>
      <c r="J230" s="3" t="s">
        <v>565</v>
      </c>
      <c r="K230" s="3" t="s">
        <v>106</v>
      </c>
      <c r="L230" s="2" t="s">
        <v>106</v>
      </c>
      <c r="M230" s="3" t="s">
        <v>545</v>
      </c>
      <c r="N230" s="3" t="s">
        <v>551</v>
      </c>
      <c r="O230" s="4" t="s">
        <v>231</v>
      </c>
      <c r="P230" s="3" t="s">
        <v>251</v>
      </c>
      <c r="Q230" s="5" t="s">
        <v>576</v>
      </c>
      <c r="R230" s="10"/>
    </row>
    <row r="231">
      <c r="A231" s="11" t="s">
        <v>580</v>
      </c>
      <c r="B231" s="8"/>
      <c r="C231" s="8"/>
      <c r="D231" s="8"/>
      <c r="E231" s="8"/>
      <c r="F231" s="12">
        <v>1.0</v>
      </c>
      <c r="G231" s="12">
        <v>1.0</v>
      </c>
      <c r="H231" s="12">
        <v>1.0</v>
      </c>
      <c r="I231" s="12">
        <v>0.0</v>
      </c>
      <c r="J231" s="12">
        <v>1.0</v>
      </c>
      <c r="K231" s="12">
        <v>1.0</v>
      </c>
      <c r="L231" s="2"/>
      <c r="M231" s="12">
        <v>1.0</v>
      </c>
      <c r="N231" s="12">
        <v>0.0</v>
      </c>
      <c r="O231" s="13">
        <v>1.0</v>
      </c>
      <c r="P231" s="12">
        <v>1.0</v>
      </c>
      <c r="Q231" s="5"/>
      <c r="R231" s="10">
        <f>sum(F231:K231,M231:P231)/(COUNTIF(B231:P231, 1) + (COUNTIF(B231:P231, 0)) + COUNTIF(B231:P231, 0.5))</f>
        <v>0.8</v>
      </c>
    </row>
    <row r="232">
      <c r="A232" s="7">
        <v>413.0</v>
      </c>
      <c r="B232" s="8">
        <v>1258.0</v>
      </c>
      <c r="C232" s="8">
        <v>124.0</v>
      </c>
      <c r="D232" s="8">
        <v>35.7</v>
      </c>
      <c r="E232" s="8">
        <v>-119.5</v>
      </c>
      <c r="F232" s="1"/>
      <c r="G232" s="1"/>
      <c r="H232" s="3" t="s">
        <v>489</v>
      </c>
      <c r="I232" s="3" t="s">
        <v>575</v>
      </c>
      <c r="J232" s="3" t="s">
        <v>568</v>
      </c>
      <c r="K232" s="3" t="s">
        <v>106</v>
      </c>
      <c r="L232" s="2" t="s">
        <v>106</v>
      </c>
      <c r="M232" s="3" t="s">
        <v>545</v>
      </c>
      <c r="N232" s="3" t="s">
        <v>551</v>
      </c>
      <c r="O232" s="4" t="s">
        <v>231</v>
      </c>
      <c r="P232" s="3" t="s">
        <v>251</v>
      </c>
      <c r="Q232" s="5" t="s">
        <v>576</v>
      </c>
      <c r="R232" s="10"/>
    </row>
    <row r="233">
      <c r="A233" s="11" t="s">
        <v>581</v>
      </c>
      <c r="B233" s="8"/>
      <c r="C233" s="8"/>
      <c r="D233" s="9"/>
      <c r="E233" s="9"/>
      <c r="F233" s="12">
        <v>1.0</v>
      </c>
      <c r="G233" s="12">
        <v>1.0</v>
      </c>
      <c r="H233" s="12">
        <v>1.0</v>
      </c>
      <c r="I233" s="12">
        <v>0.0</v>
      </c>
      <c r="J233" s="12">
        <v>1.0</v>
      </c>
      <c r="K233" s="12">
        <v>1.0</v>
      </c>
      <c r="L233" s="2"/>
      <c r="M233" s="12">
        <v>1.0</v>
      </c>
      <c r="N233" s="12">
        <v>0.0</v>
      </c>
      <c r="O233" s="13">
        <v>1.0</v>
      </c>
      <c r="P233" s="12">
        <v>1.0</v>
      </c>
      <c r="Q233" s="5"/>
      <c r="R233" s="10">
        <f>sum(F233:K233,M233:P233)/(COUNTIF(B233:P233, 1) + (COUNTIF(B233:P233, 0)) + COUNTIF(B233:P233, 0.5))</f>
        <v>0.8</v>
      </c>
    </row>
    <row r="234">
      <c r="A234" s="7">
        <v>69.0</v>
      </c>
      <c r="B234" s="8">
        <v>1298.0</v>
      </c>
      <c r="C234" s="8">
        <v>11.0</v>
      </c>
      <c r="D234" s="9"/>
      <c r="E234" s="9"/>
      <c r="F234" s="7">
        <v>34.1084</v>
      </c>
      <c r="G234" s="7">
        <v>-117.29</v>
      </c>
      <c r="H234" s="3" t="s">
        <v>582</v>
      </c>
      <c r="I234" s="3" t="s">
        <v>583</v>
      </c>
      <c r="J234" s="3" t="s">
        <v>584</v>
      </c>
      <c r="K234" s="3" t="s">
        <v>585</v>
      </c>
      <c r="L234" s="2" t="s">
        <v>585</v>
      </c>
      <c r="M234" s="3" t="s">
        <v>586</v>
      </c>
      <c r="N234" s="3" t="s">
        <v>587</v>
      </c>
      <c r="O234" s="4" t="s">
        <v>242</v>
      </c>
      <c r="P234" s="3" t="s">
        <v>243</v>
      </c>
      <c r="Q234" s="5" t="s">
        <v>588</v>
      </c>
      <c r="R234" s="10"/>
    </row>
    <row r="235">
      <c r="A235" s="11" t="s">
        <v>589</v>
      </c>
      <c r="B235" s="8"/>
      <c r="C235" s="8"/>
      <c r="D235" s="9"/>
      <c r="E235" s="9"/>
      <c r="F235" s="12">
        <v>0.0</v>
      </c>
      <c r="G235" s="12">
        <v>0.0</v>
      </c>
      <c r="H235" s="12">
        <v>1.0</v>
      </c>
      <c r="I235" s="12">
        <v>1.0</v>
      </c>
      <c r="J235" s="12">
        <v>1.0</v>
      </c>
      <c r="K235" s="12">
        <v>0.0</v>
      </c>
      <c r="L235" s="9"/>
      <c r="M235" s="12">
        <v>1.0</v>
      </c>
      <c r="N235" s="12">
        <v>1.0</v>
      </c>
      <c r="O235" s="13">
        <v>1.0</v>
      </c>
      <c r="P235" s="12">
        <v>1.0</v>
      </c>
      <c r="Q235" s="5"/>
      <c r="R235" s="10">
        <f>sum(F235:K235,M235:P235)/(COUNTIF(B235:P235, 1) + (COUNTIF(B235:P235, 0)) + COUNTIF(B235:P235, 0.5))</f>
        <v>0.7</v>
      </c>
    </row>
    <row r="236">
      <c r="A236" s="7">
        <v>383.0</v>
      </c>
      <c r="B236" s="8">
        <v>1312.0</v>
      </c>
      <c r="C236" s="8">
        <v>178.0</v>
      </c>
      <c r="D236" s="9"/>
      <c r="E236" s="9"/>
      <c r="G236" s="1"/>
      <c r="H236" s="3" t="s">
        <v>590</v>
      </c>
      <c r="I236" s="1"/>
      <c r="J236" s="3" t="s">
        <v>591</v>
      </c>
      <c r="K236" s="3" t="s">
        <v>592</v>
      </c>
      <c r="L236" s="9"/>
      <c r="M236" s="3" t="s">
        <v>593</v>
      </c>
      <c r="N236" s="3" t="s">
        <v>594</v>
      </c>
      <c r="O236" s="4" t="s">
        <v>595</v>
      </c>
      <c r="P236" s="3" t="s">
        <v>65</v>
      </c>
      <c r="Q236" s="5" t="s">
        <v>596</v>
      </c>
      <c r="R236" s="10"/>
    </row>
    <row r="237">
      <c r="A237" s="11" t="s">
        <v>597</v>
      </c>
      <c r="B237" s="8"/>
      <c r="C237" s="8"/>
      <c r="D237" s="9"/>
      <c r="E237" s="9"/>
      <c r="F237" s="12">
        <v>1.0</v>
      </c>
      <c r="G237" s="12">
        <v>1.0</v>
      </c>
      <c r="H237" s="12">
        <v>1.0</v>
      </c>
      <c r="I237" s="12">
        <v>1.0</v>
      </c>
      <c r="J237" s="12">
        <v>1.0</v>
      </c>
      <c r="K237" s="12">
        <v>1.0</v>
      </c>
      <c r="L237" s="9"/>
      <c r="M237" s="12">
        <v>1.0</v>
      </c>
      <c r="N237" s="12">
        <v>1.0</v>
      </c>
      <c r="O237" s="13">
        <v>1.0</v>
      </c>
      <c r="P237" s="12">
        <v>1.0</v>
      </c>
      <c r="Q237" s="5"/>
      <c r="R237" s="10">
        <f>sum(F237:K237,M237:P237)/(COUNTIF(B237:P237, 1) + (COUNTIF(B237:P237, 0)) + COUNTIF(B237:P237, 0.5))</f>
        <v>1</v>
      </c>
    </row>
    <row r="238">
      <c r="A238" s="7">
        <v>384.0</v>
      </c>
      <c r="B238" s="8">
        <v>1312.0</v>
      </c>
      <c r="C238" s="8">
        <v>178.0</v>
      </c>
      <c r="D238" s="9"/>
      <c r="E238" s="9"/>
      <c r="F238" s="1"/>
      <c r="G238" s="1"/>
      <c r="H238" s="3" t="s">
        <v>590</v>
      </c>
      <c r="I238" s="1"/>
      <c r="J238" s="3" t="s">
        <v>598</v>
      </c>
      <c r="K238" s="3" t="s">
        <v>592</v>
      </c>
      <c r="L238" s="9"/>
      <c r="M238" s="3" t="s">
        <v>599</v>
      </c>
      <c r="N238" s="3" t="s">
        <v>600</v>
      </c>
      <c r="O238" s="4" t="s">
        <v>601</v>
      </c>
      <c r="P238" s="3" t="s">
        <v>251</v>
      </c>
      <c r="Q238" s="5" t="s">
        <v>602</v>
      </c>
      <c r="R238" s="10"/>
    </row>
    <row r="239">
      <c r="A239" s="11" t="s">
        <v>603</v>
      </c>
      <c r="B239" s="8"/>
      <c r="C239" s="8"/>
      <c r="D239" s="9"/>
      <c r="E239" s="9"/>
      <c r="F239" s="11">
        <v>1.0</v>
      </c>
      <c r="G239" s="11">
        <v>1.0</v>
      </c>
      <c r="H239" s="12">
        <v>1.0</v>
      </c>
      <c r="I239" s="12">
        <v>1.0</v>
      </c>
      <c r="J239" s="12">
        <v>1.0</v>
      </c>
      <c r="K239" s="12">
        <v>1.0</v>
      </c>
      <c r="L239" s="9"/>
      <c r="M239" s="12">
        <v>1.0</v>
      </c>
      <c r="N239" s="12">
        <v>1.0</v>
      </c>
      <c r="O239" s="13">
        <v>1.0</v>
      </c>
      <c r="P239" s="12">
        <v>1.0</v>
      </c>
      <c r="Q239" s="5"/>
      <c r="R239" s="10">
        <f>sum(F239:K239,M239:P239)/(COUNTIF(B239:P239, 1) + (COUNTIF(B239:P239, 0)) + COUNTIF(B239:P239, 0.5))</f>
        <v>1</v>
      </c>
    </row>
    <row r="240">
      <c r="A240" s="7">
        <v>126.0</v>
      </c>
      <c r="B240" s="8">
        <v>1325.0</v>
      </c>
      <c r="C240" s="8">
        <v>8.0</v>
      </c>
      <c r="D240" s="9"/>
      <c r="E240" s="9"/>
      <c r="F240" s="7">
        <v>34.7361</v>
      </c>
      <c r="G240" s="7">
        <v>-120.635</v>
      </c>
      <c r="H240" s="3" t="s">
        <v>604</v>
      </c>
      <c r="I240" s="3" t="s">
        <v>18</v>
      </c>
      <c r="J240" s="3" t="s">
        <v>605</v>
      </c>
      <c r="K240" s="3" t="s">
        <v>606</v>
      </c>
      <c r="L240" s="9"/>
      <c r="M240" s="3" t="s">
        <v>607</v>
      </c>
      <c r="N240" s="3" t="s">
        <v>43</v>
      </c>
      <c r="O240" s="4" t="s">
        <v>242</v>
      </c>
      <c r="P240" s="3" t="s">
        <v>243</v>
      </c>
      <c r="Q240" s="5" t="s">
        <v>608</v>
      </c>
      <c r="R240" s="10"/>
    </row>
    <row r="241">
      <c r="A241" s="11" t="s">
        <v>609</v>
      </c>
      <c r="B241" s="8"/>
      <c r="C241" s="8"/>
      <c r="D241" s="9"/>
      <c r="E241" s="9"/>
      <c r="F241" s="11">
        <v>0.0</v>
      </c>
      <c r="G241" s="11">
        <v>0.0</v>
      </c>
      <c r="H241" s="12">
        <v>1.0</v>
      </c>
      <c r="I241" s="12">
        <v>1.0</v>
      </c>
      <c r="J241" s="12">
        <v>1.0</v>
      </c>
      <c r="K241" s="12">
        <v>0.0</v>
      </c>
      <c r="L241" s="9"/>
      <c r="M241" s="12">
        <v>1.0</v>
      </c>
      <c r="N241" s="12">
        <v>1.0</v>
      </c>
      <c r="O241" s="13">
        <v>1.0</v>
      </c>
      <c r="P241" s="12">
        <v>1.0</v>
      </c>
      <c r="Q241" s="5"/>
      <c r="R241" s="10">
        <f>sum(F241:K241,M241:P241)/(COUNTIF(B241:P241, 1) + (COUNTIF(B241:P241, 0)) + COUNTIF(B241:P241, 0.5))</f>
        <v>0.7</v>
      </c>
    </row>
    <row r="242">
      <c r="A242" s="7">
        <v>127.0</v>
      </c>
      <c r="B242" s="8">
        <v>1325.0</v>
      </c>
      <c r="C242" s="8">
        <v>8.0</v>
      </c>
      <c r="D242" s="9"/>
      <c r="E242" s="9"/>
      <c r="F242" s="7">
        <v>34.6653</v>
      </c>
      <c r="G242" s="7">
        <v>-120.458</v>
      </c>
      <c r="H242" s="3" t="s">
        <v>610</v>
      </c>
      <c r="I242" s="3" t="s">
        <v>18</v>
      </c>
      <c r="J242" s="3" t="s">
        <v>611</v>
      </c>
      <c r="K242" s="3" t="s">
        <v>606</v>
      </c>
      <c r="L242" s="9"/>
      <c r="M242" s="3" t="s">
        <v>612</v>
      </c>
      <c r="N242" s="3" t="s">
        <v>43</v>
      </c>
      <c r="O242" s="4" t="s">
        <v>242</v>
      </c>
      <c r="P242" s="3" t="s">
        <v>243</v>
      </c>
      <c r="Q242" s="5" t="s">
        <v>613</v>
      </c>
      <c r="R242" s="10"/>
    </row>
    <row r="243">
      <c r="A243" s="11" t="s">
        <v>614</v>
      </c>
      <c r="B243" s="8"/>
      <c r="C243" s="8"/>
      <c r="D243" s="8"/>
      <c r="E243" s="8"/>
      <c r="F243" s="11">
        <v>0.0</v>
      </c>
      <c r="G243" s="11">
        <v>0.0</v>
      </c>
      <c r="H243" s="12">
        <v>1.0</v>
      </c>
      <c r="I243" s="12">
        <v>1.0</v>
      </c>
      <c r="J243" s="12">
        <v>1.0</v>
      </c>
      <c r="K243" s="12">
        <v>0.0</v>
      </c>
      <c r="L243" s="2"/>
      <c r="M243" s="12">
        <v>1.0</v>
      </c>
      <c r="N243" s="12">
        <v>1.0</v>
      </c>
      <c r="O243" s="13">
        <v>1.0</v>
      </c>
      <c r="P243" s="12">
        <v>1.0</v>
      </c>
      <c r="Q243" s="5"/>
      <c r="R243" s="10">
        <f>sum(F243:K243,M243:P243)/(COUNTIF(B243:P243, 1) + (COUNTIF(B243:P243, 0)) + COUNTIF(B243:P243, 0.5))</f>
        <v>0.7</v>
      </c>
    </row>
    <row r="244">
      <c r="A244" s="7">
        <v>181.0</v>
      </c>
      <c r="B244" s="8">
        <v>1326.0</v>
      </c>
      <c r="C244" s="8">
        <v>34.0</v>
      </c>
      <c r="D244" s="8">
        <v>40.8192</v>
      </c>
      <c r="E244" s="8">
        <v>-124.082</v>
      </c>
      <c r="F244" s="7">
        <v>40.8192</v>
      </c>
      <c r="G244" s="7">
        <v>-124.082</v>
      </c>
      <c r="H244" s="3" t="s">
        <v>615</v>
      </c>
      <c r="I244" s="3" t="s">
        <v>18</v>
      </c>
      <c r="J244" s="3" t="s">
        <v>616</v>
      </c>
      <c r="K244" s="3" t="s">
        <v>617</v>
      </c>
      <c r="L244" s="2" t="s">
        <v>617</v>
      </c>
      <c r="M244" s="3" t="s">
        <v>618</v>
      </c>
      <c r="N244" s="3" t="s">
        <v>139</v>
      </c>
      <c r="O244" s="4" t="s">
        <v>619</v>
      </c>
      <c r="P244" s="3" t="s">
        <v>56</v>
      </c>
      <c r="Q244" s="5" t="s">
        <v>620</v>
      </c>
      <c r="R244" s="10"/>
    </row>
    <row r="245">
      <c r="A245" s="11" t="s">
        <v>621</v>
      </c>
      <c r="B245" s="8"/>
      <c r="C245" s="8"/>
      <c r="D245" s="8"/>
      <c r="E245" s="8"/>
      <c r="F245" s="11">
        <v>0.0</v>
      </c>
      <c r="G245" s="11">
        <v>0.0</v>
      </c>
      <c r="H245" s="12">
        <v>1.0</v>
      </c>
      <c r="I245" s="12">
        <v>1.0</v>
      </c>
      <c r="J245" s="12">
        <v>1.0</v>
      </c>
      <c r="K245" s="12">
        <v>1.0</v>
      </c>
      <c r="L245" s="2"/>
      <c r="M245" s="12">
        <v>1.0</v>
      </c>
      <c r="N245" s="12">
        <v>1.0</v>
      </c>
      <c r="O245" s="13">
        <v>1.0</v>
      </c>
      <c r="P245" s="12">
        <v>1.0</v>
      </c>
      <c r="Q245" s="5"/>
      <c r="R245" s="10">
        <f>sum(F245:K245,M245:P245)/(COUNTIF(B245:P245, 1) + (COUNTIF(B245:P245, 0)) + COUNTIF(B245:P245, 0.5))</f>
        <v>0.8</v>
      </c>
    </row>
    <row r="246">
      <c r="A246" s="7">
        <v>182.0</v>
      </c>
      <c r="B246" s="8">
        <v>1326.0</v>
      </c>
      <c r="C246" s="8">
        <v>34.0</v>
      </c>
      <c r="D246" s="8">
        <v>40.8192</v>
      </c>
      <c r="E246" s="8">
        <v>-124.082</v>
      </c>
      <c r="F246" s="7">
        <v>40.8192</v>
      </c>
      <c r="G246" s="7">
        <v>-124.082</v>
      </c>
      <c r="H246" s="3" t="s">
        <v>622</v>
      </c>
      <c r="I246" s="3" t="s">
        <v>18</v>
      </c>
      <c r="J246" s="3" t="s">
        <v>623</v>
      </c>
      <c r="K246" s="3" t="s">
        <v>617</v>
      </c>
      <c r="L246" s="2" t="s">
        <v>617</v>
      </c>
      <c r="M246" s="3" t="s">
        <v>618</v>
      </c>
      <c r="N246" s="3" t="s">
        <v>139</v>
      </c>
      <c r="O246" s="4" t="s">
        <v>619</v>
      </c>
      <c r="P246" s="3" t="s">
        <v>56</v>
      </c>
      <c r="Q246" s="5" t="s">
        <v>620</v>
      </c>
      <c r="R246" s="10"/>
    </row>
    <row r="247">
      <c r="A247" s="11" t="s">
        <v>624</v>
      </c>
      <c r="B247" s="8"/>
      <c r="C247" s="8"/>
      <c r="D247" s="8"/>
      <c r="E247" s="8"/>
      <c r="F247" s="11">
        <v>0.0</v>
      </c>
      <c r="G247" s="11">
        <v>0.0</v>
      </c>
      <c r="H247" s="12">
        <v>1.0</v>
      </c>
      <c r="I247" s="12">
        <v>1.0</v>
      </c>
      <c r="J247" s="12">
        <v>1.0</v>
      </c>
      <c r="K247" s="12">
        <v>1.0</v>
      </c>
      <c r="L247" s="2"/>
      <c r="M247" s="12">
        <v>1.0</v>
      </c>
      <c r="N247" s="12">
        <v>1.0</v>
      </c>
      <c r="O247" s="13">
        <v>1.0</v>
      </c>
      <c r="P247" s="12">
        <v>1.0</v>
      </c>
      <c r="Q247" s="5"/>
      <c r="R247" s="10">
        <f>sum(F247:K247,M247:P247)/(COUNTIF(B247:P247, 1) + (COUNTIF(B247:P247, 0)) + COUNTIF(B247:P247, 0.5))</f>
        <v>0.8</v>
      </c>
    </row>
    <row r="248">
      <c r="A248" s="7">
        <v>183.0</v>
      </c>
      <c r="B248" s="8">
        <v>1326.0</v>
      </c>
      <c r="C248" s="8">
        <v>34.0</v>
      </c>
      <c r="D248" s="8">
        <v>40.8192</v>
      </c>
      <c r="E248" s="8">
        <v>-124.082</v>
      </c>
      <c r="F248" s="7">
        <v>40.8192</v>
      </c>
      <c r="G248" s="7">
        <v>-124.082</v>
      </c>
      <c r="H248" s="3" t="s">
        <v>622</v>
      </c>
      <c r="I248" s="3" t="s">
        <v>18</v>
      </c>
      <c r="J248" s="3" t="s">
        <v>625</v>
      </c>
      <c r="K248" s="3" t="s">
        <v>617</v>
      </c>
      <c r="L248" s="2" t="s">
        <v>617</v>
      </c>
      <c r="M248" s="3" t="s">
        <v>618</v>
      </c>
      <c r="N248" s="3" t="s">
        <v>139</v>
      </c>
      <c r="O248" s="4" t="s">
        <v>619</v>
      </c>
      <c r="P248" s="3" t="s">
        <v>56</v>
      </c>
      <c r="Q248" s="5" t="s">
        <v>620</v>
      </c>
      <c r="R248" s="10"/>
    </row>
    <row r="249">
      <c r="A249" s="11" t="s">
        <v>626</v>
      </c>
      <c r="B249" s="8"/>
      <c r="C249" s="8"/>
      <c r="D249" s="8"/>
      <c r="E249" s="8"/>
      <c r="F249" s="11">
        <v>0.0</v>
      </c>
      <c r="G249" s="11">
        <v>0.0</v>
      </c>
      <c r="H249" s="12">
        <v>1.0</v>
      </c>
      <c r="I249" s="12">
        <v>1.0</v>
      </c>
      <c r="J249" s="12">
        <v>1.0</v>
      </c>
      <c r="K249" s="12">
        <v>1.0</v>
      </c>
      <c r="L249" s="2"/>
      <c r="M249" s="12">
        <v>1.0</v>
      </c>
      <c r="N249" s="12">
        <v>1.0</v>
      </c>
      <c r="O249" s="13">
        <v>1.0</v>
      </c>
      <c r="P249" s="12">
        <v>1.0</v>
      </c>
      <c r="Q249" s="5"/>
      <c r="R249" s="10">
        <f>sum(F249:K249,M249:P249)/(COUNTIF(B249:P249, 1) + (COUNTIF(B249:P249, 0)) + COUNTIF(B249:P249, 0.5))</f>
        <v>0.8</v>
      </c>
    </row>
    <row r="250">
      <c r="A250" s="7">
        <v>184.0</v>
      </c>
      <c r="B250" s="8">
        <v>1326.0</v>
      </c>
      <c r="C250" s="8">
        <v>34.0</v>
      </c>
      <c r="D250" s="8">
        <v>40.8192</v>
      </c>
      <c r="E250" s="8">
        <v>-124.082</v>
      </c>
      <c r="F250" s="7">
        <v>40.8192</v>
      </c>
      <c r="G250" s="7">
        <v>-124.082</v>
      </c>
      <c r="H250" s="3" t="s">
        <v>627</v>
      </c>
      <c r="I250" s="3" t="s">
        <v>18</v>
      </c>
      <c r="J250" s="3" t="s">
        <v>628</v>
      </c>
      <c r="K250" s="3" t="s">
        <v>617</v>
      </c>
      <c r="L250" s="2" t="s">
        <v>617</v>
      </c>
      <c r="M250" s="3" t="s">
        <v>618</v>
      </c>
      <c r="N250" s="3" t="s">
        <v>139</v>
      </c>
      <c r="O250" s="4" t="s">
        <v>619</v>
      </c>
      <c r="P250" s="3" t="s">
        <v>56</v>
      </c>
      <c r="Q250" s="5" t="s">
        <v>620</v>
      </c>
      <c r="R250" s="10"/>
    </row>
    <row r="251">
      <c r="A251" s="11" t="s">
        <v>629</v>
      </c>
      <c r="B251" s="8"/>
      <c r="C251" s="8"/>
      <c r="D251" s="8"/>
      <c r="E251" s="8"/>
      <c r="F251" s="11">
        <v>0.0</v>
      </c>
      <c r="G251" s="11">
        <v>0.0</v>
      </c>
      <c r="H251" s="12">
        <v>1.0</v>
      </c>
      <c r="I251" s="12">
        <v>1.0</v>
      </c>
      <c r="J251" s="12">
        <v>1.0</v>
      </c>
      <c r="K251" s="12">
        <v>1.0</v>
      </c>
      <c r="L251" s="2"/>
      <c r="M251" s="12">
        <v>1.0</v>
      </c>
      <c r="N251" s="12">
        <v>1.0</v>
      </c>
      <c r="O251" s="13">
        <v>1.0</v>
      </c>
      <c r="P251" s="12">
        <v>1.0</v>
      </c>
      <c r="Q251" s="5"/>
      <c r="R251" s="10">
        <f>sum(F251:K251,M251:P251)/(COUNTIF(B251:P251, 1) + (COUNTIF(B251:P251, 0)) + COUNTIF(B251:P251, 0.5))</f>
        <v>0.8</v>
      </c>
    </row>
    <row r="252">
      <c r="A252" s="7">
        <v>185.0</v>
      </c>
      <c r="B252" s="8">
        <v>1326.0</v>
      </c>
      <c r="C252" s="8">
        <v>34.0</v>
      </c>
      <c r="D252" s="8">
        <v>40.4791</v>
      </c>
      <c r="E252" s="8">
        <v>-124.05</v>
      </c>
      <c r="F252" s="7">
        <v>40.4791</v>
      </c>
      <c r="G252" s="7">
        <v>-124.05</v>
      </c>
      <c r="H252" s="3" t="s">
        <v>630</v>
      </c>
      <c r="I252" s="3" t="s">
        <v>18</v>
      </c>
      <c r="J252" s="3" t="s">
        <v>631</v>
      </c>
      <c r="K252" s="3" t="s">
        <v>617</v>
      </c>
      <c r="L252" s="2" t="s">
        <v>617</v>
      </c>
      <c r="M252" s="3" t="s">
        <v>618</v>
      </c>
      <c r="N252" s="3" t="s">
        <v>139</v>
      </c>
      <c r="O252" s="4" t="s">
        <v>619</v>
      </c>
      <c r="P252" s="3" t="s">
        <v>632</v>
      </c>
      <c r="Q252" s="5" t="s">
        <v>633</v>
      </c>
      <c r="R252" s="10"/>
    </row>
    <row r="253">
      <c r="A253" s="11" t="s">
        <v>634</v>
      </c>
      <c r="B253" s="8"/>
      <c r="C253" s="8"/>
      <c r="D253" s="8"/>
      <c r="E253" s="8"/>
      <c r="F253" s="11">
        <v>0.0</v>
      </c>
      <c r="G253" s="11">
        <v>0.0</v>
      </c>
      <c r="H253" s="12">
        <v>1.0</v>
      </c>
      <c r="I253" s="12">
        <v>1.0</v>
      </c>
      <c r="J253" s="12">
        <v>1.0</v>
      </c>
      <c r="K253" s="12">
        <v>1.0</v>
      </c>
      <c r="L253" s="2"/>
      <c r="M253" s="12">
        <v>1.0</v>
      </c>
      <c r="N253" s="12">
        <v>1.0</v>
      </c>
      <c r="O253" s="13">
        <v>1.0</v>
      </c>
      <c r="P253" s="12">
        <v>0.0</v>
      </c>
      <c r="Q253" s="5"/>
      <c r="R253" s="10">
        <f>sum(F253:K253,M253:P253)/(COUNTIF(B253:P253, 1) + (COUNTIF(B253:P253, 0)) + COUNTIF(B253:P253, 0.5))</f>
        <v>0.7</v>
      </c>
    </row>
    <row r="254">
      <c r="A254" s="7">
        <v>186.0</v>
      </c>
      <c r="B254" s="8">
        <v>1326.0</v>
      </c>
      <c r="C254" s="8">
        <v>34.0</v>
      </c>
      <c r="D254" s="8">
        <v>40.8192</v>
      </c>
      <c r="E254" s="8">
        <v>-124.082</v>
      </c>
      <c r="F254" s="7">
        <v>40.8192</v>
      </c>
      <c r="G254" s="7">
        <v>-124.082</v>
      </c>
      <c r="H254" s="3" t="s">
        <v>627</v>
      </c>
      <c r="I254" s="3" t="s">
        <v>18</v>
      </c>
      <c r="J254" s="3" t="s">
        <v>635</v>
      </c>
      <c r="K254" s="3" t="s">
        <v>617</v>
      </c>
      <c r="L254" s="2" t="s">
        <v>617</v>
      </c>
      <c r="M254" s="3" t="s">
        <v>618</v>
      </c>
      <c r="N254" s="3" t="s">
        <v>636</v>
      </c>
      <c r="O254" s="4" t="s">
        <v>619</v>
      </c>
      <c r="P254" s="3" t="s">
        <v>632</v>
      </c>
      <c r="Q254" s="5" t="s">
        <v>637</v>
      </c>
      <c r="R254" s="10"/>
    </row>
    <row r="255">
      <c r="A255" s="11" t="s">
        <v>638</v>
      </c>
      <c r="B255" s="8"/>
      <c r="C255" s="8"/>
      <c r="D255" s="8"/>
      <c r="E255" s="8"/>
      <c r="F255" s="11">
        <v>0.0</v>
      </c>
      <c r="G255" s="11">
        <v>0.0</v>
      </c>
      <c r="H255" s="12">
        <v>1.0</v>
      </c>
      <c r="I255" s="12">
        <v>1.0</v>
      </c>
      <c r="J255" s="12">
        <v>1.0</v>
      </c>
      <c r="K255" s="12">
        <v>1.0</v>
      </c>
      <c r="L255" s="2"/>
      <c r="M255" s="12">
        <v>1.0</v>
      </c>
      <c r="N255" s="12">
        <v>0.0</v>
      </c>
      <c r="O255" s="13">
        <v>0.0</v>
      </c>
      <c r="P255" s="12">
        <v>0.0</v>
      </c>
      <c r="Q255" s="5"/>
      <c r="R255" s="10">
        <f>sum(F255:K255,M255:P255)/(COUNTIF(B255:P255, 1) + (COUNTIF(B255:P255, 0)) + COUNTIF(B255:P255, 0.5))</f>
        <v>0.5</v>
      </c>
    </row>
    <row r="256">
      <c r="A256" s="7">
        <v>187.0</v>
      </c>
      <c r="B256" s="8">
        <v>1326.0</v>
      </c>
      <c r="C256" s="8">
        <v>34.0</v>
      </c>
      <c r="D256" s="8">
        <v>40.8671</v>
      </c>
      <c r="E256" s="8">
        <v>-124.095</v>
      </c>
      <c r="F256" s="7">
        <v>40.8671</v>
      </c>
      <c r="G256" s="7">
        <v>-124.095</v>
      </c>
      <c r="H256" s="3" t="s">
        <v>639</v>
      </c>
      <c r="I256" s="3" t="s">
        <v>18</v>
      </c>
      <c r="J256" s="3" t="s">
        <v>640</v>
      </c>
      <c r="K256" s="3" t="s">
        <v>617</v>
      </c>
      <c r="L256" s="2" t="s">
        <v>617</v>
      </c>
      <c r="M256" s="3" t="s">
        <v>641</v>
      </c>
      <c r="N256" s="3" t="s">
        <v>139</v>
      </c>
      <c r="O256" s="4" t="s">
        <v>642</v>
      </c>
      <c r="P256" s="3" t="s">
        <v>643</v>
      </c>
      <c r="Q256" s="5" t="s">
        <v>644</v>
      </c>
      <c r="R256" s="10"/>
    </row>
    <row r="257">
      <c r="A257" s="11" t="s">
        <v>645</v>
      </c>
      <c r="B257" s="8"/>
      <c r="C257" s="8"/>
      <c r="D257" s="8"/>
      <c r="E257" s="8"/>
      <c r="F257" s="11">
        <v>0.0</v>
      </c>
      <c r="G257" s="11">
        <v>0.0</v>
      </c>
      <c r="H257" s="12">
        <v>1.0</v>
      </c>
      <c r="I257" s="12">
        <v>1.0</v>
      </c>
      <c r="J257" s="12">
        <v>1.0</v>
      </c>
      <c r="K257" s="12">
        <v>1.0</v>
      </c>
      <c r="L257" s="2"/>
      <c r="M257" s="12">
        <v>1.0</v>
      </c>
      <c r="N257" s="12">
        <v>1.0</v>
      </c>
      <c r="O257" s="13">
        <v>1.0</v>
      </c>
      <c r="P257" s="12">
        <v>0.0</v>
      </c>
      <c r="Q257" s="5"/>
      <c r="R257" s="10">
        <f>sum(F257:K257,M257:P257)/(COUNTIF(B257:P257, 1) + (COUNTIF(B257:P257, 0)) + COUNTIF(B257:P257, 0.5))</f>
        <v>0.7</v>
      </c>
    </row>
    <row r="258">
      <c r="A258" s="7">
        <v>188.0</v>
      </c>
      <c r="B258" s="8">
        <v>1326.0</v>
      </c>
      <c r="C258" s="8">
        <v>34.0</v>
      </c>
      <c r="D258" s="8">
        <v>40.5448</v>
      </c>
      <c r="E258" s="8">
        <v>-124.171</v>
      </c>
      <c r="F258" s="7">
        <v>40.5448</v>
      </c>
      <c r="G258" s="7">
        <v>-124.171</v>
      </c>
      <c r="H258" s="3" t="s">
        <v>646</v>
      </c>
      <c r="I258" s="3" t="s">
        <v>18</v>
      </c>
      <c r="J258" s="3" t="s">
        <v>647</v>
      </c>
      <c r="K258" s="3" t="s">
        <v>617</v>
      </c>
      <c r="L258" s="2" t="s">
        <v>617</v>
      </c>
      <c r="M258" s="3" t="s">
        <v>641</v>
      </c>
      <c r="N258" s="3" t="s">
        <v>139</v>
      </c>
      <c r="O258" s="4" t="s">
        <v>642</v>
      </c>
      <c r="P258" s="3" t="s">
        <v>643</v>
      </c>
      <c r="Q258" s="5" t="s">
        <v>648</v>
      </c>
      <c r="R258" s="10"/>
    </row>
    <row r="259">
      <c r="A259" s="11" t="s">
        <v>649</v>
      </c>
      <c r="B259" s="8"/>
      <c r="C259" s="8"/>
      <c r="D259" s="8"/>
      <c r="E259" s="8"/>
      <c r="F259" s="11">
        <v>0.0</v>
      </c>
      <c r="G259" s="11">
        <v>0.0</v>
      </c>
      <c r="H259" s="12">
        <v>1.0</v>
      </c>
      <c r="I259" s="12">
        <v>1.0</v>
      </c>
      <c r="J259" s="12">
        <v>1.0</v>
      </c>
      <c r="K259" s="12">
        <v>1.0</v>
      </c>
      <c r="L259" s="2"/>
      <c r="M259" s="12">
        <v>1.0</v>
      </c>
      <c r="N259" s="12">
        <v>1.0</v>
      </c>
      <c r="O259" s="13">
        <v>1.0</v>
      </c>
      <c r="P259" s="12">
        <v>0.0</v>
      </c>
      <c r="Q259" s="5"/>
      <c r="R259" s="10">
        <f>sum(F259:K259,M259:P259)/(COUNTIF(B259:P259, 1) + (COUNTIF(B259:P259, 0)) + COUNTIF(B259:P259, 0.5))</f>
        <v>0.7</v>
      </c>
    </row>
    <row r="260">
      <c r="A260" s="7">
        <v>189.0</v>
      </c>
      <c r="B260" s="8">
        <v>1326.0</v>
      </c>
      <c r="C260" s="8">
        <v>34.0</v>
      </c>
      <c r="D260" s="8">
        <v>40.4791</v>
      </c>
      <c r="E260" s="8">
        <v>-124.05</v>
      </c>
      <c r="F260" s="7">
        <v>40.4791</v>
      </c>
      <c r="G260" s="7">
        <v>-124.05</v>
      </c>
      <c r="H260" s="3" t="s">
        <v>650</v>
      </c>
      <c r="I260" s="3" t="s">
        <v>18</v>
      </c>
      <c r="J260" s="3" t="s">
        <v>651</v>
      </c>
      <c r="K260" s="3" t="s">
        <v>617</v>
      </c>
      <c r="L260" s="2" t="s">
        <v>617</v>
      </c>
      <c r="M260" s="3" t="s">
        <v>652</v>
      </c>
      <c r="N260" s="3" t="s">
        <v>653</v>
      </c>
      <c r="O260" s="4" t="s">
        <v>619</v>
      </c>
      <c r="P260" s="3" t="s">
        <v>643</v>
      </c>
      <c r="Q260" s="5" t="s">
        <v>654</v>
      </c>
      <c r="R260" s="10"/>
    </row>
    <row r="261">
      <c r="A261" s="11" t="s">
        <v>655</v>
      </c>
      <c r="B261" s="8"/>
      <c r="C261" s="8"/>
      <c r="D261" s="8"/>
      <c r="E261" s="8"/>
      <c r="F261" s="11">
        <v>0.0</v>
      </c>
      <c r="G261" s="11">
        <v>0.0</v>
      </c>
      <c r="H261" s="12">
        <v>1.0</v>
      </c>
      <c r="I261" s="12">
        <v>1.0</v>
      </c>
      <c r="J261" s="12">
        <v>1.0</v>
      </c>
      <c r="K261" s="12">
        <v>1.0</v>
      </c>
      <c r="L261" s="2"/>
      <c r="M261" s="12">
        <v>1.0</v>
      </c>
      <c r="N261" s="12">
        <v>1.0</v>
      </c>
      <c r="O261" s="13">
        <v>0.0</v>
      </c>
      <c r="P261" s="12">
        <v>0.0</v>
      </c>
      <c r="Q261" s="5"/>
      <c r="R261" s="10">
        <f>sum(F261:K261,M261:P261)/(COUNTIF(B261:P261, 1) + (COUNTIF(B261:P261, 0)) + COUNTIF(B261:P261, 0.5))</f>
        <v>0.6</v>
      </c>
    </row>
    <row r="262">
      <c r="A262" s="7">
        <v>190.0</v>
      </c>
      <c r="B262" s="8">
        <v>1326.0</v>
      </c>
      <c r="C262" s="8">
        <v>34.0</v>
      </c>
      <c r="D262" s="8">
        <v>40.8167</v>
      </c>
      <c r="E262" s="8">
        <v>-123.95</v>
      </c>
      <c r="F262" s="7">
        <v>40.8167</v>
      </c>
      <c r="G262" s="7">
        <v>-123.95</v>
      </c>
      <c r="H262" s="3" t="s">
        <v>656</v>
      </c>
      <c r="I262" s="3" t="s">
        <v>18</v>
      </c>
      <c r="J262" s="3" t="s">
        <v>657</v>
      </c>
      <c r="K262" s="3" t="s">
        <v>617</v>
      </c>
      <c r="L262" s="2" t="s">
        <v>617</v>
      </c>
      <c r="M262" s="3" t="s">
        <v>658</v>
      </c>
      <c r="N262" s="3" t="s">
        <v>653</v>
      </c>
      <c r="O262" s="4" t="s">
        <v>619</v>
      </c>
      <c r="P262" s="3" t="s">
        <v>643</v>
      </c>
      <c r="Q262" s="5" t="s">
        <v>654</v>
      </c>
      <c r="R262" s="10"/>
    </row>
    <row r="263">
      <c r="A263" s="11" t="s">
        <v>659</v>
      </c>
      <c r="B263" s="8"/>
      <c r="C263" s="8"/>
      <c r="D263" s="9"/>
      <c r="E263" s="9"/>
      <c r="F263" s="11">
        <v>0.0</v>
      </c>
      <c r="G263" s="11">
        <v>0.0</v>
      </c>
      <c r="H263" s="12">
        <v>1.0</v>
      </c>
      <c r="I263" s="12">
        <v>1.0</v>
      </c>
      <c r="J263" s="12">
        <v>1.0</v>
      </c>
      <c r="K263" s="12">
        <v>1.0</v>
      </c>
      <c r="L263" s="9"/>
      <c r="M263" s="12">
        <v>1.0</v>
      </c>
      <c r="N263" s="12">
        <v>1.0</v>
      </c>
      <c r="O263" s="13">
        <v>0.0</v>
      </c>
      <c r="P263" s="12">
        <v>0.0</v>
      </c>
      <c r="Q263" s="5"/>
      <c r="R263" s="10">
        <f>sum(F263:K263,M263:P263)/(COUNTIF(B263:P263, 1) + (COUNTIF(B263:P263, 0)) + COUNTIF(B263:P263, 0.5))</f>
        <v>0.6</v>
      </c>
    </row>
    <row r="264">
      <c r="A264" s="7">
        <v>21.0</v>
      </c>
      <c r="B264" s="8">
        <v>1326.0</v>
      </c>
      <c r="C264" s="8">
        <v>66.0</v>
      </c>
      <c r="D264" s="9"/>
      <c r="E264" s="9"/>
      <c r="F264" s="1"/>
      <c r="G264" s="1"/>
      <c r="H264" s="3" t="s">
        <v>627</v>
      </c>
      <c r="I264" s="3" t="s">
        <v>660</v>
      </c>
      <c r="J264" s="3" t="s">
        <v>661</v>
      </c>
      <c r="K264" s="3" t="s">
        <v>617</v>
      </c>
      <c r="L264" s="9"/>
      <c r="M264" s="3" t="s">
        <v>662</v>
      </c>
      <c r="N264" s="1"/>
      <c r="O264" s="4" t="s">
        <v>663</v>
      </c>
      <c r="P264" s="3" t="s">
        <v>251</v>
      </c>
      <c r="Q264" s="5" t="s">
        <v>664</v>
      </c>
      <c r="R264" s="10"/>
    </row>
    <row r="265">
      <c r="A265" s="11" t="s">
        <v>665</v>
      </c>
      <c r="B265" s="8"/>
      <c r="C265" s="8"/>
      <c r="D265" s="9"/>
      <c r="E265" s="9"/>
      <c r="F265" s="12">
        <v>1.0</v>
      </c>
      <c r="G265" s="12">
        <v>1.0</v>
      </c>
      <c r="H265" s="12">
        <v>1.0</v>
      </c>
      <c r="I265" s="12">
        <v>0.0</v>
      </c>
      <c r="J265" s="12">
        <v>1.0</v>
      </c>
      <c r="K265" s="12">
        <v>1.0</v>
      </c>
      <c r="L265" s="9"/>
      <c r="M265" s="12">
        <v>0.5</v>
      </c>
      <c r="N265" s="12">
        <v>1.0</v>
      </c>
      <c r="O265" s="13">
        <v>1.0</v>
      </c>
      <c r="P265" s="12">
        <v>1.0</v>
      </c>
      <c r="Q265" s="5"/>
      <c r="R265" s="10">
        <f>sum(F265:K265,M265:P265)/(COUNTIF(B265:P265, 1) + (COUNTIF(B265:P265, 0)) + COUNTIF(B265:P265, 0.5))</f>
        <v>0.85</v>
      </c>
    </row>
    <row r="266">
      <c r="A266" s="7">
        <v>154.0</v>
      </c>
      <c r="B266" s="8">
        <v>1337.0</v>
      </c>
      <c r="C266" s="8">
        <v>22.0</v>
      </c>
      <c r="D266" s="9"/>
      <c r="E266" s="9"/>
      <c r="F266" s="1"/>
      <c r="G266" s="1"/>
      <c r="H266" s="1"/>
      <c r="I266" s="3" t="s">
        <v>18</v>
      </c>
      <c r="J266" s="3" t="s">
        <v>666</v>
      </c>
      <c r="K266" s="1"/>
      <c r="L266" s="9"/>
      <c r="M266" s="3" t="s">
        <v>667</v>
      </c>
      <c r="N266" s="1"/>
      <c r="O266" s="4" t="s">
        <v>668</v>
      </c>
      <c r="P266" s="3" t="s">
        <v>669</v>
      </c>
      <c r="Q266" s="5" t="s">
        <v>670</v>
      </c>
      <c r="R266" s="10"/>
    </row>
    <row r="267">
      <c r="A267" s="11" t="s">
        <v>671</v>
      </c>
      <c r="B267" s="8"/>
      <c r="C267" s="8"/>
      <c r="D267" s="9"/>
      <c r="E267" s="9"/>
      <c r="F267" s="12">
        <v>1.0</v>
      </c>
      <c r="G267" s="12">
        <v>1.0</v>
      </c>
      <c r="H267" s="12">
        <v>1.0</v>
      </c>
      <c r="I267" s="12">
        <v>1.0</v>
      </c>
      <c r="J267" s="12">
        <v>1.0</v>
      </c>
      <c r="K267" s="12">
        <v>1.0</v>
      </c>
      <c r="L267" s="9"/>
      <c r="M267" s="12">
        <v>1.0</v>
      </c>
      <c r="N267" s="12">
        <v>1.0</v>
      </c>
      <c r="O267" s="13">
        <v>1.0</v>
      </c>
      <c r="P267" s="12">
        <v>1.0</v>
      </c>
      <c r="Q267" s="5"/>
      <c r="R267" s="10">
        <f>sum(F267:K267,M267:P267)/(COUNTIF(B267:P267, 1) + (COUNTIF(B267:P267, 0)) + COUNTIF(B267:P267, 0.5))</f>
        <v>1</v>
      </c>
    </row>
    <row r="268">
      <c r="A268" s="7">
        <v>155.0</v>
      </c>
      <c r="B268" s="8">
        <v>1337.0</v>
      </c>
      <c r="C268" s="8">
        <v>22.0</v>
      </c>
      <c r="D268" s="9"/>
      <c r="E268" s="9"/>
      <c r="F268" s="1"/>
      <c r="G268" s="1"/>
      <c r="H268" s="1"/>
      <c r="I268" s="3" t="s">
        <v>18</v>
      </c>
      <c r="J268" s="3" t="s">
        <v>672</v>
      </c>
      <c r="K268" s="1"/>
      <c r="L268" s="9"/>
      <c r="M268" s="3" t="s">
        <v>667</v>
      </c>
      <c r="N268" s="1"/>
      <c r="O268" s="4" t="s">
        <v>668</v>
      </c>
      <c r="P268" s="3" t="s">
        <v>669</v>
      </c>
      <c r="Q268" s="5" t="s">
        <v>673</v>
      </c>
      <c r="R268" s="10"/>
    </row>
    <row r="269">
      <c r="A269" s="11" t="s">
        <v>674</v>
      </c>
      <c r="B269" s="8"/>
      <c r="C269" s="8"/>
      <c r="D269" s="8"/>
      <c r="E269" s="8"/>
      <c r="F269" s="12">
        <v>1.0</v>
      </c>
      <c r="G269" s="12">
        <v>1.0</v>
      </c>
      <c r="H269" s="12">
        <v>1.0</v>
      </c>
      <c r="I269" s="12">
        <v>1.0</v>
      </c>
      <c r="J269" s="12">
        <v>1.0</v>
      </c>
      <c r="K269" s="12">
        <v>1.0</v>
      </c>
      <c r="L269" s="2"/>
      <c r="M269" s="12">
        <v>1.0</v>
      </c>
      <c r="N269" s="12">
        <v>1.0</v>
      </c>
      <c r="O269" s="13">
        <v>1.0</v>
      </c>
      <c r="P269" s="12">
        <v>1.0</v>
      </c>
      <c r="Q269" s="5"/>
      <c r="R269" s="10">
        <f>sum(F269:K269,M269:P269)/(COUNTIF(B269:P269, 1) + (COUNTIF(B269:P269, 0)) + COUNTIF(B269:P269, 0.5))</f>
        <v>1</v>
      </c>
    </row>
    <row r="270">
      <c r="A270" s="7">
        <v>419.0</v>
      </c>
      <c r="B270" s="8">
        <v>1337.0</v>
      </c>
      <c r="C270" s="8">
        <v>57.0</v>
      </c>
      <c r="D270" s="8">
        <v>37.8</v>
      </c>
      <c r="E270" s="8">
        <v>-119.5</v>
      </c>
      <c r="F270" s="1"/>
      <c r="G270" s="1"/>
      <c r="H270" s="3" t="s">
        <v>675</v>
      </c>
      <c r="I270" s="3" t="s">
        <v>18</v>
      </c>
      <c r="J270" s="3" t="s">
        <v>676</v>
      </c>
      <c r="K270" s="1"/>
      <c r="L270" s="2" t="s">
        <v>229</v>
      </c>
      <c r="M270" s="1"/>
      <c r="N270" s="1"/>
      <c r="O270" s="4" t="s">
        <v>677</v>
      </c>
      <c r="P270" s="3" t="s">
        <v>669</v>
      </c>
      <c r="Q270" s="5" t="s">
        <v>678</v>
      </c>
      <c r="R270" s="10"/>
    </row>
    <row r="271">
      <c r="A271" s="11" t="s">
        <v>679</v>
      </c>
      <c r="B271" s="8"/>
      <c r="C271" s="8"/>
      <c r="D271" s="8"/>
      <c r="E271" s="8"/>
      <c r="F271" s="12">
        <v>1.0</v>
      </c>
      <c r="G271" s="12">
        <v>1.0</v>
      </c>
      <c r="H271" s="12">
        <v>1.0</v>
      </c>
      <c r="I271" s="12">
        <v>1.0</v>
      </c>
      <c r="J271" s="12">
        <v>1.0</v>
      </c>
      <c r="K271" s="12">
        <v>1.0</v>
      </c>
      <c r="L271" s="2"/>
      <c r="M271" s="12">
        <v>1.0</v>
      </c>
      <c r="N271" s="12">
        <v>1.0</v>
      </c>
      <c r="O271" s="13">
        <v>1.0</v>
      </c>
      <c r="P271" s="12">
        <v>1.0</v>
      </c>
      <c r="Q271" s="5"/>
      <c r="R271" s="10">
        <f>sum(F271:K271,M271:P271)/(COUNTIF(B271:P271, 1) + (COUNTIF(B271:P271, 0)) + COUNTIF(B271:P271, 0.5))</f>
        <v>1</v>
      </c>
    </row>
    <row r="272">
      <c r="A272" s="7">
        <v>420.0</v>
      </c>
      <c r="B272" s="8">
        <v>1337.0</v>
      </c>
      <c r="C272" s="8">
        <v>57.0</v>
      </c>
      <c r="D272" s="8">
        <v>37.8</v>
      </c>
      <c r="E272" s="8">
        <v>-119.5</v>
      </c>
      <c r="F272" s="1"/>
      <c r="G272" s="1"/>
      <c r="H272" s="3" t="s">
        <v>675</v>
      </c>
      <c r="I272" s="3" t="s">
        <v>18</v>
      </c>
      <c r="J272" s="3" t="s">
        <v>680</v>
      </c>
      <c r="K272" s="1"/>
      <c r="L272" s="2" t="s">
        <v>229</v>
      </c>
      <c r="M272" s="1"/>
      <c r="N272" s="1"/>
      <c r="O272" s="4" t="s">
        <v>677</v>
      </c>
      <c r="P272" s="3" t="s">
        <v>669</v>
      </c>
      <c r="Q272" s="5" t="s">
        <v>681</v>
      </c>
      <c r="R272" s="10"/>
    </row>
    <row r="273">
      <c r="A273" s="11" t="s">
        <v>682</v>
      </c>
      <c r="B273" s="8"/>
      <c r="C273" s="8"/>
      <c r="D273" s="8"/>
      <c r="E273" s="8"/>
      <c r="F273" s="12">
        <v>1.0</v>
      </c>
      <c r="G273" s="12">
        <v>1.0</v>
      </c>
      <c r="H273" s="12">
        <v>1.0</v>
      </c>
      <c r="I273" s="12">
        <v>1.0</v>
      </c>
      <c r="J273" s="12">
        <v>1.0</v>
      </c>
      <c r="K273" s="12">
        <v>1.0</v>
      </c>
      <c r="L273" s="2"/>
      <c r="M273" s="12">
        <v>1.0</v>
      </c>
      <c r="N273" s="12">
        <v>1.0</v>
      </c>
      <c r="O273" s="13">
        <v>1.0</v>
      </c>
      <c r="P273" s="12">
        <v>1.0</v>
      </c>
      <c r="Q273" s="5"/>
      <c r="R273" s="10">
        <f>sum(F273:K273,M273:P273)/(COUNTIF(B273:P273, 1) + (COUNTIF(B273:P273, 0)) + COUNTIF(B273:P273, 0.5))</f>
        <v>1</v>
      </c>
    </row>
    <row r="274">
      <c r="A274" s="7">
        <v>424.0</v>
      </c>
      <c r="B274" s="8">
        <v>1337.0</v>
      </c>
      <c r="C274" s="8">
        <v>66.0</v>
      </c>
      <c r="D274" s="8">
        <v>39.25</v>
      </c>
      <c r="E274" s="8">
        <v>-120.7</v>
      </c>
      <c r="F274" s="1"/>
      <c r="G274" s="1"/>
      <c r="H274" s="3" t="s">
        <v>675</v>
      </c>
      <c r="I274" s="3" t="s">
        <v>18</v>
      </c>
      <c r="J274" s="3" t="s">
        <v>683</v>
      </c>
      <c r="K274" s="1"/>
      <c r="L274" s="2" t="s">
        <v>684</v>
      </c>
      <c r="M274" s="1"/>
      <c r="N274" s="1"/>
      <c r="O274" s="22"/>
      <c r="P274" s="3" t="s">
        <v>251</v>
      </c>
      <c r="Q274" s="5" t="s">
        <v>685</v>
      </c>
      <c r="R274" s="10"/>
    </row>
    <row r="275">
      <c r="A275" s="11" t="s">
        <v>686</v>
      </c>
      <c r="B275" s="8"/>
      <c r="C275" s="8"/>
      <c r="D275" s="8"/>
      <c r="E275" s="8"/>
      <c r="F275" s="12">
        <v>1.0</v>
      </c>
      <c r="G275" s="12">
        <v>1.0</v>
      </c>
      <c r="H275" s="12">
        <v>1.0</v>
      </c>
      <c r="I275" s="12">
        <v>1.0</v>
      </c>
      <c r="J275" s="12">
        <v>1.0</v>
      </c>
      <c r="K275" s="12">
        <v>1.0</v>
      </c>
      <c r="L275" s="2"/>
      <c r="M275" s="12">
        <v>1.0</v>
      </c>
      <c r="N275" s="12">
        <v>1.0</v>
      </c>
      <c r="O275" s="13">
        <v>1.0</v>
      </c>
      <c r="P275" s="12">
        <v>0.0</v>
      </c>
      <c r="Q275" s="5"/>
      <c r="R275" s="10">
        <f>sum(F275:K275,M275:P275)/(COUNTIF(B275:P275, 1) + (COUNTIF(B275:P275, 0)) + COUNTIF(B275:P275, 0.5))</f>
        <v>0.9</v>
      </c>
    </row>
    <row r="276">
      <c r="A276" s="7">
        <v>425.0</v>
      </c>
      <c r="B276" s="8">
        <v>1337.0</v>
      </c>
      <c r="C276" s="8">
        <v>66.0</v>
      </c>
      <c r="D276" s="8">
        <v>34.0</v>
      </c>
      <c r="E276" s="8">
        <v>-115.5</v>
      </c>
      <c r="F276" s="1"/>
      <c r="G276" s="1"/>
      <c r="H276" s="3" t="s">
        <v>687</v>
      </c>
      <c r="I276" s="3" t="s">
        <v>18</v>
      </c>
      <c r="J276" s="3" t="s">
        <v>688</v>
      </c>
      <c r="K276" s="1"/>
      <c r="L276" s="2" t="s">
        <v>689</v>
      </c>
      <c r="M276" s="1"/>
      <c r="N276" s="1"/>
      <c r="O276" s="22"/>
      <c r="P276" s="3" t="s">
        <v>251</v>
      </c>
      <c r="Q276" s="5" t="s">
        <v>690</v>
      </c>
      <c r="R276" s="10"/>
    </row>
    <row r="277">
      <c r="A277" s="11" t="s">
        <v>691</v>
      </c>
      <c r="B277" s="8"/>
      <c r="C277" s="8"/>
      <c r="D277" s="9"/>
      <c r="E277" s="9"/>
      <c r="F277" s="11">
        <v>1.0</v>
      </c>
      <c r="G277" s="11">
        <v>1.0</v>
      </c>
      <c r="H277" s="12">
        <v>1.0</v>
      </c>
      <c r="I277" s="12">
        <v>1.0</v>
      </c>
      <c r="J277" s="12">
        <v>1.0</v>
      </c>
      <c r="K277" s="12">
        <v>1.0</v>
      </c>
      <c r="L277" s="9"/>
      <c r="M277" s="12">
        <v>1.0</v>
      </c>
      <c r="N277" s="12">
        <v>1.0</v>
      </c>
      <c r="O277" s="13">
        <v>1.0</v>
      </c>
      <c r="P277" s="12">
        <v>0.0</v>
      </c>
      <c r="Q277" s="5"/>
      <c r="R277" s="10">
        <f>sum(F277:K277,M277:P277)/(COUNTIF(B277:P277, 1) + (COUNTIF(B277:P277, 0)) + COUNTIF(B277:P277, 0.5))</f>
        <v>0.9</v>
      </c>
    </row>
    <row r="278">
      <c r="A278" s="7">
        <v>281.0</v>
      </c>
      <c r="B278" s="8">
        <v>1422.0</v>
      </c>
      <c r="C278" s="8">
        <v>48.0</v>
      </c>
      <c r="D278" s="9"/>
      <c r="E278" s="9"/>
      <c r="F278" s="7">
        <v>33.3519</v>
      </c>
      <c r="G278" s="7">
        <v>-115.975</v>
      </c>
      <c r="H278" s="3" t="s">
        <v>692</v>
      </c>
      <c r="I278" s="3" t="s">
        <v>18</v>
      </c>
      <c r="J278" s="3" t="s">
        <v>693</v>
      </c>
      <c r="K278" s="3" t="s">
        <v>694</v>
      </c>
      <c r="L278" s="9"/>
      <c r="M278" s="3" t="s">
        <v>695</v>
      </c>
      <c r="N278" s="3" t="s">
        <v>696</v>
      </c>
      <c r="O278" s="4" t="s">
        <v>697</v>
      </c>
      <c r="P278" s="3" t="s">
        <v>65</v>
      </c>
      <c r="Q278" s="5" t="s">
        <v>698</v>
      </c>
      <c r="R278" s="10"/>
    </row>
    <row r="279">
      <c r="A279" s="11" t="s">
        <v>699</v>
      </c>
      <c r="B279" s="8"/>
      <c r="C279" s="8"/>
      <c r="D279" s="9"/>
      <c r="E279" s="9"/>
      <c r="F279" s="11">
        <v>0.0</v>
      </c>
      <c r="G279" s="11">
        <v>0.0</v>
      </c>
      <c r="H279" s="12">
        <v>1.0</v>
      </c>
      <c r="I279" s="12">
        <v>1.0</v>
      </c>
      <c r="J279" s="12">
        <v>1.0</v>
      </c>
      <c r="K279" s="12">
        <v>1.0</v>
      </c>
      <c r="L279" s="9"/>
      <c r="M279" s="12">
        <v>1.0</v>
      </c>
      <c r="N279" s="12">
        <v>1.0</v>
      </c>
      <c r="O279" s="13">
        <v>1.0</v>
      </c>
      <c r="P279" s="12">
        <v>1.0</v>
      </c>
      <c r="Q279" s="5"/>
      <c r="R279" s="10">
        <f>sum(F279:K279,M279:P279)/(COUNTIF(B279:P279, 1) + (COUNTIF(B279:P279, 0)) + COUNTIF(B279:P279, 0.5))</f>
        <v>0.8</v>
      </c>
    </row>
    <row r="280">
      <c r="A280" s="7">
        <v>282.0</v>
      </c>
      <c r="B280" s="8">
        <v>1422.0</v>
      </c>
      <c r="C280" s="8">
        <v>48.0</v>
      </c>
      <c r="D280" s="9"/>
      <c r="E280" s="9"/>
      <c r="F280" s="7">
        <v>32.71</v>
      </c>
      <c r="G280" s="7">
        <v>-114.615</v>
      </c>
      <c r="H280" s="3" t="s">
        <v>700</v>
      </c>
      <c r="I280" s="3" t="s">
        <v>18</v>
      </c>
      <c r="J280" s="3" t="s">
        <v>701</v>
      </c>
      <c r="K280" s="3" t="s">
        <v>694</v>
      </c>
      <c r="L280" s="9"/>
      <c r="M280" s="1"/>
      <c r="N280" s="1"/>
      <c r="O280" s="4" t="s">
        <v>702</v>
      </c>
      <c r="P280" s="3" t="s">
        <v>56</v>
      </c>
      <c r="Q280" s="5" t="s">
        <v>703</v>
      </c>
      <c r="R280" s="10"/>
    </row>
    <row r="281">
      <c r="A281" s="11" t="s">
        <v>704</v>
      </c>
      <c r="B281" s="8"/>
      <c r="C281" s="8"/>
      <c r="D281" s="9"/>
      <c r="E281" s="9"/>
      <c r="F281" s="11">
        <v>0.0</v>
      </c>
      <c r="G281" s="11">
        <v>0.0</v>
      </c>
      <c r="H281" s="12">
        <v>1.0</v>
      </c>
      <c r="I281" s="12">
        <v>1.0</v>
      </c>
      <c r="J281" s="12">
        <v>1.0</v>
      </c>
      <c r="K281" s="12">
        <v>1.0</v>
      </c>
      <c r="L281" s="9"/>
      <c r="M281" s="12">
        <v>1.0</v>
      </c>
      <c r="N281" s="12">
        <v>1.0</v>
      </c>
      <c r="O281" s="13">
        <v>0.0</v>
      </c>
      <c r="P281" s="12">
        <v>0.0</v>
      </c>
      <c r="Q281" s="5"/>
      <c r="R281" s="10">
        <f>sum(F281:K281,M281:P281)/(COUNTIF(B281:P281, 1) + (COUNTIF(B281:P281, 0)) + COUNTIF(B281:P281, 0.5))</f>
        <v>0.6</v>
      </c>
    </row>
    <row r="282">
      <c r="A282" s="7">
        <v>283.0</v>
      </c>
      <c r="B282" s="8">
        <v>1422.0</v>
      </c>
      <c r="C282" s="8">
        <v>48.0</v>
      </c>
      <c r="D282" s="9"/>
      <c r="E282" s="9"/>
      <c r="F282" s="7">
        <v>32.71</v>
      </c>
      <c r="G282" s="7">
        <v>-114.615</v>
      </c>
      <c r="H282" s="3" t="s">
        <v>700</v>
      </c>
      <c r="I282" s="3" t="s">
        <v>18</v>
      </c>
      <c r="J282" s="3" t="s">
        <v>705</v>
      </c>
      <c r="K282" s="3" t="s">
        <v>694</v>
      </c>
      <c r="L282" s="9"/>
      <c r="M282" s="1"/>
      <c r="N282" s="1"/>
      <c r="O282" s="4" t="s">
        <v>702</v>
      </c>
      <c r="P282" s="3" t="s">
        <v>56</v>
      </c>
      <c r="Q282" s="5" t="s">
        <v>703</v>
      </c>
      <c r="R282" s="10"/>
    </row>
    <row r="283">
      <c r="A283" s="11" t="s">
        <v>706</v>
      </c>
      <c r="B283" s="8"/>
      <c r="C283" s="8"/>
      <c r="D283" s="9"/>
      <c r="E283" s="9"/>
      <c r="F283" s="11">
        <v>0.0</v>
      </c>
      <c r="G283" s="11">
        <v>0.0</v>
      </c>
      <c r="H283" s="12">
        <v>1.0</v>
      </c>
      <c r="I283" s="12">
        <v>1.0</v>
      </c>
      <c r="J283" s="12">
        <v>1.0</v>
      </c>
      <c r="K283" s="12">
        <v>1.0</v>
      </c>
      <c r="L283" s="9"/>
      <c r="M283" s="12">
        <v>1.0</v>
      </c>
      <c r="N283" s="12">
        <v>1.0</v>
      </c>
      <c r="O283" s="13">
        <v>0.0</v>
      </c>
      <c r="P283" s="12">
        <v>0.0</v>
      </c>
      <c r="Q283" s="5"/>
      <c r="R283" s="10">
        <f>sum(F283:K283,M283:P283)/(COUNTIF(B283:P283, 1) + (COUNTIF(B283:P283, 0)) + COUNTIF(B283:P283, 0.5))</f>
        <v>0.6</v>
      </c>
    </row>
    <row r="284">
      <c r="A284" s="7">
        <v>335.0</v>
      </c>
      <c r="B284" s="8">
        <v>1520.0</v>
      </c>
      <c r="C284" s="8">
        <v>267.0</v>
      </c>
      <c r="D284" s="8">
        <v>39.5667</v>
      </c>
      <c r="E284" s="8">
        <v>-122.833</v>
      </c>
      <c r="F284" s="1"/>
      <c r="G284" s="1"/>
      <c r="H284" s="3" t="s">
        <v>707</v>
      </c>
      <c r="I284" s="3" t="s">
        <v>708</v>
      </c>
      <c r="J284" s="3" t="s">
        <v>709</v>
      </c>
      <c r="K284" s="1"/>
      <c r="L284" s="2" t="s">
        <v>710</v>
      </c>
      <c r="M284" s="3" t="s">
        <v>711</v>
      </c>
      <c r="N284" s="3" t="s">
        <v>54</v>
      </c>
      <c r="O284" s="4" t="s">
        <v>712</v>
      </c>
      <c r="P284" s="3" t="s">
        <v>65</v>
      </c>
      <c r="Q284" s="5" t="s">
        <v>713</v>
      </c>
      <c r="R284" s="10"/>
    </row>
    <row r="285">
      <c r="A285" s="11" t="s">
        <v>714</v>
      </c>
      <c r="B285" s="8"/>
      <c r="C285" s="8"/>
      <c r="D285" s="8"/>
      <c r="E285" s="8"/>
      <c r="F285" s="12">
        <v>1.0</v>
      </c>
      <c r="G285" s="12">
        <v>1.0</v>
      </c>
      <c r="H285" s="12">
        <v>1.0</v>
      </c>
      <c r="I285" s="12">
        <v>1.0</v>
      </c>
      <c r="J285" s="12">
        <v>1.0</v>
      </c>
      <c r="K285" s="12">
        <v>1.0</v>
      </c>
      <c r="L285" s="9"/>
      <c r="M285" s="12">
        <v>1.0</v>
      </c>
      <c r="N285" s="12">
        <v>1.0</v>
      </c>
      <c r="O285" s="13">
        <v>1.0</v>
      </c>
      <c r="P285" s="12">
        <v>1.0</v>
      </c>
      <c r="Q285" s="5"/>
      <c r="R285" s="10">
        <f>sum(F285:K285,M285:P285)/(COUNTIF(B285:P285, 1) + (COUNTIF(B285:P285, 0)) + COUNTIF(B285:P285, 0.5))</f>
        <v>1</v>
      </c>
    </row>
    <row r="286">
      <c r="A286" s="7">
        <v>146.0</v>
      </c>
      <c r="B286" s="8">
        <v>1568.0</v>
      </c>
      <c r="C286" s="8">
        <v>35.0</v>
      </c>
      <c r="D286" s="8">
        <v>33.1181</v>
      </c>
      <c r="E286" s="8">
        <v>-117.069</v>
      </c>
      <c r="F286" s="1"/>
      <c r="G286" s="1"/>
      <c r="H286" s="3" t="s">
        <v>715</v>
      </c>
      <c r="I286" s="3" t="s">
        <v>716</v>
      </c>
      <c r="J286" s="3" t="s">
        <v>717</v>
      </c>
      <c r="K286" s="3" t="s">
        <v>592</v>
      </c>
      <c r="L286" s="9"/>
      <c r="M286" s="3" t="s">
        <v>718</v>
      </c>
      <c r="N286" s="3" t="s">
        <v>43</v>
      </c>
      <c r="O286" s="4" t="s">
        <v>719</v>
      </c>
      <c r="P286" s="3" t="s">
        <v>24</v>
      </c>
      <c r="Q286" s="5" t="s">
        <v>720</v>
      </c>
      <c r="R286" s="10"/>
    </row>
    <row r="287">
      <c r="A287" s="11" t="s">
        <v>721</v>
      </c>
      <c r="B287" s="8"/>
      <c r="C287" s="8"/>
      <c r="D287" s="8"/>
      <c r="E287" s="8"/>
      <c r="F287" s="12">
        <v>1.0</v>
      </c>
      <c r="G287" s="12">
        <v>1.0</v>
      </c>
      <c r="H287" s="12">
        <v>1.0</v>
      </c>
      <c r="I287" s="12">
        <v>1.0</v>
      </c>
      <c r="J287" s="12">
        <v>1.0</v>
      </c>
      <c r="K287" s="12">
        <v>1.0</v>
      </c>
      <c r="L287" s="9"/>
      <c r="M287" s="12">
        <v>1.0</v>
      </c>
      <c r="N287" s="12">
        <v>1.0</v>
      </c>
      <c r="O287" s="13">
        <v>1.0</v>
      </c>
      <c r="P287" s="12">
        <v>1.0</v>
      </c>
      <c r="Q287" s="5"/>
      <c r="R287" s="10">
        <f>sum(F287:K287,M287:P287)/(COUNTIF(B287:P287, 1) + (COUNTIF(B287:P287, 0)) + COUNTIF(B287:P287, 0.5))</f>
        <v>1</v>
      </c>
    </row>
    <row r="288">
      <c r="A288" s="7">
        <v>147.0</v>
      </c>
      <c r="B288" s="8">
        <v>1568.0</v>
      </c>
      <c r="C288" s="8">
        <v>35.0</v>
      </c>
      <c r="D288" s="8">
        <v>33.125</v>
      </c>
      <c r="E288" s="8">
        <v>-116.998</v>
      </c>
      <c r="F288" s="1"/>
      <c r="G288" s="1"/>
      <c r="H288" s="3" t="s">
        <v>722</v>
      </c>
      <c r="I288" s="3" t="s">
        <v>18</v>
      </c>
      <c r="J288" s="3" t="s">
        <v>723</v>
      </c>
      <c r="K288" s="3" t="s">
        <v>592</v>
      </c>
      <c r="L288" s="9"/>
      <c r="M288" s="3" t="s">
        <v>724</v>
      </c>
      <c r="N288" s="3" t="s">
        <v>43</v>
      </c>
      <c r="O288" s="4" t="s">
        <v>725</v>
      </c>
      <c r="P288" s="3" t="s">
        <v>24</v>
      </c>
      <c r="Q288" s="5" t="s">
        <v>726</v>
      </c>
      <c r="R288" s="10"/>
    </row>
    <row r="289">
      <c r="A289" s="11" t="s">
        <v>727</v>
      </c>
      <c r="B289" s="8"/>
      <c r="C289" s="8"/>
      <c r="D289" s="8"/>
      <c r="E289" s="8"/>
      <c r="F289" s="12">
        <v>1.0</v>
      </c>
      <c r="G289" s="12">
        <v>1.0</v>
      </c>
      <c r="H289" s="12">
        <v>1.0</v>
      </c>
      <c r="I289" s="12">
        <v>1.0</v>
      </c>
      <c r="J289" s="12">
        <v>1.0</v>
      </c>
      <c r="K289" s="12">
        <v>1.0</v>
      </c>
      <c r="L289" s="9"/>
      <c r="M289" s="12">
        <v>0.5</v>
      </c>
      <c r="N289" s="12">
        <v>1.0</v>
      </c>
      <c r="O289" s="13">
        <v>1.0</v>
      </c>
      <c r="P289" s="12">
        <v>1.0</v>
      </c>
      <c r="Q289" s="5"/>
      <c r="R289" s="10">
        <f>sum(F289:K289,M289:P289)/(COUNTIF(B289:P289, 1) + (COUNTIF(B289:P289, 0)) + COUNTIF(B289:P289, 0.5))</f>
        <v>0.95</v>
      </c>
    </row>
    <row r="290">
      <c r="A290" s="7">
        <v>148.0</v>
      </c>
      <c r="B290" s="8">
        <v>1568.0</v>
      </c>
      <c r="C290" s="8">
        <v>35.0</v>
      </c>
      <c r="D290" s="8">
        <v>33.1181</v>
      </c>
      <c r="E290" s="8">
        <v>-117.069</v>
      </c>
      <c r="F290" s="1"/>
      <c r="G290" s="1"/>
      <c r="H290" s="3" t="s">
        <v>728</v>
      </c>
      <c r="I290" s="3" t="s">
        <v>716</v>
      </c>
      <c r="J290" s="3" t="s">
        <v>729</v>
      </c>
      <c r="K290" s="3" t="s">
        <v>592</v>
      </c>
      <c r="L290" s="9"/>
      <c r="M290" s="3" t="s">
        <v>724</v>
      </c>
      <c r="N290" s="3" t="s">
        <v>43</v>
      </c>
      <c r="O290" s="4" t="s">
        <v>730</v>
      </c>
      <c r="P290" s="3" t="s">
        <v>65</v>
      </c>
      <c r="Q290" s="5" t="s">
        <v>731</v>
      </c>
      <c r="R290" s="10"/>
    </row>
    <row r="291">
      <c r="A291" s="11" t="s">
        <v>732</v>
      </c>
      <c r="B291" s="8"/>
      <c r="C291" s="8"/>
      <c r="D291" s="8"/>
      <c r="E291" s="8"/>
      <c r="F291" s="12">
        <v>1.0</v>
      </c>
      <c r="G291" s="12">
        <v>1.0</v>
      </c>
      <c r="H291" s="12">
        <v>1.0</v>
      </c>
      <c r="I291" s="12">
        <v>1.0</v>
      </c>
      <c r="J291" s="12">
        <v>1.0</v>
      </c>
      <c r="K291" s="12">
        <v>1.0</v>
      </c>
      <c r="L291" s="9"/>
      <c r="M291" s="12">
        <v>0.5</v>
      </c>
      <c r="N291" s="12">
        <v>1.0</v>
      </c>
      <c r="O291" s="13">
        <v>1.0</v>
      </c>
      <c r="P291" s="12">
        <v>1.0</v>
      </c>
      <c r="Q291" s="5"/>
      <c r="R291" s="10">
        <f>sum(F291:K291,M291:P291)/(COUNTIF(B291:P291, 1) + (COUNTIF(B291:P291, 0)) + COUNTIF(B291:P291, 0.5))</f>
        <v>0.95</v>
      </c>
    </row>
    <row r="292">
      <c r="A292" s="7">
        <v>299.0</v>
      </c>
      <c r="B292" s="8">
        <v>1572.0</v>
      </c>
      <c r="C292" s="8">
        <v>24.0</v>
      </c>
      <c r="D292" s="8">
        <v>33.0985</v>
      </c>
      <c r="E292" s="8">
        <v>-117.076</v>
      </c>
      <c r="F292" s="1"/>
      <c r="G292" s="1"/>
      <c r="H292" s="3" t="s">
        <v>733</v>
      </c>
      <c r="I292" s="3" t="s">
        <v>734</v>
      </c>
      <c r="J292" s="3" t="s">
        <v>735</v>
      </c>
      <c r="K292" s="3" t="s">
        <v>592</v>
      </c>
      <c r="L292" s="9"/>
      <c r="M292" s="3" t="s">
        <v>736</v>
      </c>
      <c r="N292" s="3" t="s">
        <v>43</v>
      </c>
      <c r="O292" s="4" t="s">
        <v>231</v>
      </c>
      <c r="P292" s="3" t="s">
        <v>24</v>
      </c>
      <c r="Q292" s="5" t="s">
        <v>737</v>
      </c>
      <c r="R292" s="10"/>
    </row>
    <row r="293">
      <c r="A293" s="11" t="s">
        <v>738</v>
      </c>
      <c r="B293" s="8"/>
      <c r="C293" s="8"/>
      <c r="D293" s="8"/>
      <c r="E293" s="8"/>
      <c r="F293" s="12">
        <v>1.0</v>
      </c>
      <c r="G293" s="12">
        <v>1.0</v>
      </c>
      <c r="H293" s="12">
        <v>1.0</v>
      </c>
      <c r="I293" s="12">
        <v>0.5</v>
      </c>
      <c r="J293" s="12">
        <v>1.0</v>
      </c>
      <c r="K293" s="12">
        <v>1.0</v>
      </c>
      <c r="L293" s="9"/>
      <c r="M293" s="12">
        <v>1.0</v>
      </c>
      <c r="N293" s="12">
        <v>1.0</v>
      </c>
      <c r="O293" s="13">
        <v>1.0</v>
      </c>
      <c r="P293" s="12">
        <v>0.5</v>
      </c>
      <c r="Q293" s="5"/>
      <c r="R293" s="10">
        <f>sum(F293:K293,M293:P293)/(COUNTIF(B293:P293, 1) + (COUNTIF(B293:P293, 0)) + COUNTIF(B293:P293, 0.5))</f>
        <v>0.9</v>
      </c>
    </row>
    <row r="294">
      <c r="A294" s="7">
        <v>426.0</v>
      </c>
      <c r="B294" s="8">
        <v>1572.0</v>
      </c>
      <c r="C294" s="8">
        <v>25.0</v>
      </c>
      <c r="D294" s="8">
        <v>33.1575</v>
      </c>
      <c r="E294" s="8">
        <v>-117.083</v>
      </c>
      <c r="F294" s="1"/>
      <c r="G294" s="1"/>
      <c r="H294" s="3" t="s">
        <v>739</v>
      </c>
      <c r="I294" s="3" t="s">
        <v>740</v>
      </c>
      <c r="J294" s="3" t="s">
        <v>741</v>
      </c>
      <c r="K294" s="3" t="s">
        <v>592</v>
      </c>
      <c r="L294" s="9"/>
      <c r="M294" s="3" t="s">
        <v>742</v>
      </c>
      <c r="N294" s="3" t="s">
        <v>43</v>
      </c>
      <c r="O294" s="4" t="s">
        <v>743</v>
      </c>
      <c r="P294" s="3" t="s">
        <v>65</v>
      </c>
      <c r="Q294" s="5" t="s">
        <v>744</v>
      </c>
      <c r="R294" s="10"/>
    </row>
    <row r="295">
      <c r="A295" s="11" t="s">
        <v>745</v>
      </c>
      <c r="B295" s="8"/>
      <c r="C295" s="8"/>
      <c r="D295" s="9"/>
      <c r="E295" s="9"/>
      <c r="F295" s="11">
        <v>1.0</v>
      </c>
      <c r="G295" s="11">
        <v>1.0</v>
      </c>
      <c r="H295" s="12">
        <v>1.0</v>
      </c>
      <c r="I295" s="12">
        <v>1.0</v>
      </c>
      <c r="J295" s="12">
        <v>1.0</v>
      </c>
      <c r="K295" s="12">
        <v>1.0</v>
      </c>
      <c r="L295" s="9"/>
      <c r="M295" s="12">
        <v>1.0</v>
      </c>
      <c r="N295" s="12">
        <v>1.0</v>
      </c>
      <c r="O295" s="13">
        <v>1.0</v>
      </c>
      <c r="P295" s="12">
        <v>1.0</v>
      </c>
      <c r="Q295" s="5"/>
      <c r="R295" s="10">
        <f>sum(F295:K295,M295:P295)/(COUNTIF(B295:P295, 1) + (COUNTIF(B295:P295, 0)) + COUNTIF(B295:P295, 0.5))</f>
        <v>1</v>
      </c>
    </row>
    <row r="296">
      <c r="A296" s="7">
        <v>219.0</v>
      </c>
      <c r="B296" s="8">
        <v>1606.0</v>
      </c>
      <c r="C296" s="8">
        <v>127.0</v>
      </c>
      <c r="D296" s="9"/>
      <c r="E296" s="9"/>
      <c r="F296" s="7">
        <v>34.03139</v>
      </c>
      <c r="G296" s="7">
        <v>-118.071</v>
      </c>
      <c r="H296" s="3" t="s">
        <v>746</v>
      </c>
      <c r="I296" s="3" t="s">
        <v>18</v>
      </c>
      <c r="J296" s="3" t="s">
        <v>747</v>
      </c>
      <c r="K296" s="3" t="s">
        <v>748</v>
      </c>
      <c r="L296" s="9"/>
      <c r="M296" s="3" t="s">
        <v>749</v>
      </c>
      <c r="N296" s="3" t="s">
        <v>54</v>
      </c>
      <c r="O296" s="4" t="s">
        <v>236</v>
      </c>
      <c r="P296" s="3" t="s">
        <v>24</v>
      </c>
      <c r="Q296" s="5" t="s">
        <v>750</v>
      </c>
      <c r="R296" s="10"/>
    </row>
    <row r="297">
      <c r="A297" s="11" t="s">
        <v>751</v>
      </c>
      <c r="B297" s="8"/>
      <c r="C297" s="8"/>
      <c r="D297" s="9"/>
      <c r="E297" s="9"/>
      <c r="F297" s="11">
        <v>1.0</v>
      </c>
      <c r="G297" s="11">
        <v>1.0</v>
      </c>
      <c r="H297" s="12">
        <v>1.0</v>
      </c>
      <c r="I297" s="12">
        <v>1.0</v>
      </c>
      <c r="J297" s="12">
        <v>1.0</v>
      </c>
      <c r="K297" s="12">
        <v>1.0</v>
      </c>
      <c r="L297" s="2"/>
      <c r="M297" s="12">
        <v>1.0</v>
      </c>
      <c r="N297" s="12">
        <v>1.0</v>
      </c>
      <c r="O297" s="13">
        <v>1.0</v>
      </c>
      <c r="P297" s="12">
        <v>1.0</v>
      </c>
      <c r="Q297" s="5"/>
      <c r="R297" s="10">
        <f>sum(F297:K297,M297:P297)/(COUNTIF(B297:P297, 1) + (COUNTIF(B297:P297, 0)) + COUNTIF(B297:P297, 0.5))</f>
        <v>1</v>
      </c>
    </row>
    <row r="298">
      <c r="A298" s="7">
        <v>378.0</v>
      </c>
      <c r="B298" s="8">
        <v>1751.0</v>
      </c>
      <c r="C298" s="8">
        <v>39.0</v>
      </c>
      <c r="D298" s="9"/>
      <c r="E298" s="9"/>
      <c r="F298" s="7">
        <v>35.3733</v>
      </c>
      <c r="G298" s="7">
        <v>-119.019</v>
      </c>
      <c r="H298" s="3" t="s">
        <v>752</v>
      </c>
      <c r="I298" s="3" t="s">
        <v>18</v>
      </c>
      <c r="J298" s="3" t="s">
        <v>104</v>
      </c>
      <c r="K298" s="3" t="s">
        <v>106</v>
      </c>
      <c r="L298" s="2" t="s">
        <v>106</v>
      </c>
      <c r="M298" s="3" t="s">
        <v>753</v>
      </c>
      <c r="N298" s="3" t="s">
        <v>43</v>
      </c>
      <c r="O298" s="4" t="s">
        <v>754</v>
      </c>
      <c r="P298" s="3" t="s">
        <v>24</v>
      </c>
      <c r="Q298" s="5" t="s">
        <v>755</v>
      </c>
      <c r="R298" s="10"/>
    </row>
    <row r="299">
      <c r="A299" s="11" t="s">
        <v>756</v>
      </c>
      <c r="B299" s="8"/>
      <c r="C299" s="8"/>
      <c r="D299" s="8"/>
      <c r="E299" s="8"/>
      <c r="F299" s="12">
        <v>0.0</v>
      </c>
      <c r="G299" s="12">
        <v>0.0</v>
      </c>
      <c r="H299" s="12">
        <v>1.0</v>
      </c>
      <c r="I299" s="12">
        <v>1.0</v>
      </c>
      <c r="J299" s="12">
        <v>1.0</v>
      </c>
      <c r="K299" s="12">
        <v>1.0</v>
      </c>
      <c r="L299" s="9"/>
      <c r="M299" s="12">
        <v>1.0</v>
      </c>
      <c r="N299" s="12">
        <v>1.0</v>
      </c>
      <c r="O299" s="13">
        <v>1.0</v>
      </c>
      <c r="P299" s="12">
        <v>1.0</v>
      </c>
      <c r="Q299" s="5"/>
      <c r="R299" s="10">
        <f>sum(F299:K299,M299:P299)/(COUNTIF(B299:P299, 1) + (COUNTIF(B299:P299, 0)) + COUNTIF(B299:P299, 0.5))</f>
        <v>0.8</v>
      </c>
    </row>
    <row r="300">
      <c r="A300" s="7">
        <v>122.0</v>
      </c>
      <c r="B300" s="8">
        <v>1752.0</v>
      </c>
      <c r="C300" s="8">
        <v>88.0</v>
      </c>
      <c r="D300" s="8">
        <v>36.7378</v>
      </c>
      <c r="E300" s="8">
        <v>-119.773</v>
      </c>
      <c r="F300" s="1"/>
      <c r="G300" s="1"/>
      <c r="H300" s="3" t="s">
        <v>757</v>
      </c>
      <c r="I300" s="3" t="s">
        <v>18</v>
      </c>
      <c r="J300" s="3" t="s">
        <v>758</v>
      </c>
      <c r="K300" s="3" t="s">
        <v>491</v>
      </c>
      <c r="L300" s="9"/>
      <c r="M300" s="1"/>
      <c r="N300" s="3" t="s">
        <v>759</v>
      </c>
      <c r="O300" s="4" t="s">
        <v>760</v>
      </c>
      <c r="P300" s="3" t="s">
        <v>56</v>
      </c>
      <c r="Q300" s="5" t="s">
        <v>761</v>
      </c>
      <c r="R300" s="10"/>
    </row>
    <row r="301">
      <c r="A301" s="11" t="s">
        <v>762</v>
      </c>
      <c r="B301" s="8"/>
      <c r="C301" s="8"/>
      <c r="D301" s="8"/>
      <c r="E301" s="8"/>
      <c r="F301" s="12">
        <v>1.0</v>
      </c>
      <c r="G301" s="12">
        <v>1.0</v>
      </c>
      <c r="H301" s="12">
        <v>1.0</v>
      </c>
      <c r="I301" s="12">
        <v>1.0</v>
      </c>
      <c r="J301" s="12">
        <v>1.0</v>
      </c>
      <c r="K301" s="12">
        <v>1.0</v>
      </c>
      <c r="L301" s="2"/>
      <c r="M301" s="12">
        <v>1.0</v>
      </c>
      <c r="N301" s="12">
        <v>1.0</v>
      </c>
      <c r="O301" s="13">
        <v>1.0</v>
      </c>
      <c r="P301" s="12">
        <v>1.0</v>
      </c>
      <c r="Q301" s="5"/>
      <c r="R301" s="10">
        <f>sum(F301:K301,M301:P301)/(COUNTIF(B301:P301, 1) + (COUNTIF(B301:P301, 0)) + COUNTIF(B301:P301, 0.5))</f>
        <v>1</v>
      </c>
    </row>
    <row r="302">
      <c r="A302" s="7">
        <v>340.0</v>
      </c>
      <c r="B302" s="8">
        <v>2040.0</v>
      </c>
      <c r="C302" s="8">
        <v>9.0</v>
      </c>
      <c r="D302" s="8">
        <v>38.7667</v>
      </c>
      <c r="E302" s="8">
        <v>-123.167</v>
      </c>
      <c r="F302" s="1"/>
      <c r="G302" s="1"/>
      <c r="H302" s="3" t="s">
        <v>763</v>
      </c>
      <c r="I302" s="3" t="s">
        <v>18</v>
      </c>
      <c r="J302" s="3" t="s">
        <v>764</v>
      </c>
      <c r="K302" s="1"/>
      <c r="L302" s="2" t="s">
        <v>350</v>
      </c>
      <c r="M302" s="3" t="s">
        <v>765</v>
      </c>
      <c r="N302" s="3" t="s">
        <v>139</v>
      </c>
      <c r="O302" s="4" t="s">
        <v>766</v>
      </c>
      <c r="P302" s="3" t="s">
        <v>65</v>
      </c>
      <c r="Q302" s="5" t="s">
        <v>767</v>
      </c>
      <c r="R302" s="10"/>
    </row>
    <row r="303">
      <c r="A303" s="11" t="s">
        <v>768</v>
      </c>
      <c r="B303" s="8"/>
      <c r="C303" s="8"/>
      <c r="D303" s="8"/>
      <c r="E303" s="8"/>
      <c r="F303" s="12">
        <v>1.0</v>
      </c>
      <c r="G303" s="12">
        <v>1.0</v>
      </c>
      <c r="H303" s="12">
        <v>1.0</v>
      </c>
      <c r="I303" s="12">
        <v>1.0</v>
      </c>
      <c r="J303" s="12">
        <v>1.0</v>
      </c>
      <c r="K303" s="12">
        <v>1.0</v>
      </c>
      <c r="L303" s="2"/>
      <c r="M303" s="12">
        <v>1.0</v>
      </c>
      <c r="N303" s="12">
        <v>1.0</v>
      </c>
      <c r="O303" s="13">
        <v>1.0</v>
      </c>
      <c r="P303" s="12">
        <v>1.0</v>
      </c>
      <c r="Q303" s="5"/>
      <c r="R303" s="10">
        <f>sum(F303:K303,M303:P303)/(COUNTIF(B303:P303, 1) + (COUNTIF(B303:P303, 0)) + COUNTIF(B303:P303, 0.5))</f>
        <v>1</v>
      </c>
    </row>
    <row r="304">
      <c r="A304" s="7">
        <v>341.0</v>
      </c>
      <c r="B304" s="8">
        <v>2040.0</v>
      </c>
      <c r="C304" s="8">
        <v>9.0</v>
      </c>
      <c r="D304" s="8">
        <v>38.7667</v>
      </c>
      <c r="E304" s="8">
        <v>-123.167</v>
      </c>
      <c r="F304" s="1"/>
      <c r="G304" s="1"/>
      <c r="H304" s="3" t="s">
        <v>763</v>
      </c>
      <c r="I304" s="3" t="s">
        <v>18</v>
      </c>
      <c r="J304" s="3" t="s">
        <v>769</v>
      </c>
      <c r="K304" s="1"/>
      <c r="L304" s="2" t="s">
        <v>350</v>
      </c>
      <c r="M304" s="3" t="s">
        <v>770</v>
      </c>
      <c r="N304" s="3" t="s">
        <v>139</v>
      </c>
      <c r="O304" s="4" t="s">
        <v>766</v>
      </c>
      <c r="P304" s="3" t="s">
        <v>65</v>
      </c>
      <c r="Q304" s="5" t="s">
        <v>771</v>
      </c>
      <c r="R304" s="10"/>
    </row>
    <row r="305">
      <c r="A305" s="11" t="s">
        <v>772</v>
      </c>
      <c r="B305" s="8"/>
      <c r="C305" s="8"/>
      <c r="D305" s="8"/>
      <c r="E305" s="8"/>
      <c r="F305" s="12">
        <v>1.0</v>
      </c>
      <c r="G305" s="12">
        <v>1.0</v>
      </c>
      <c r="H305" s="12">
        <v>1.0</v>
      </c>
      <c r="I305" s="12">
        <v>1.0</v>
      </c>
      <c r="J305" s="12">
        <v>1.0</v>
      </c>
      <c r="K305" s="12">
        <v>1.0</v>
      </c>
      <c r="L305" s="2"/>
      <c r="M305" s="12">
        <v>1.0</v>
      </c>
      <c r="N305" s="12">
        <v>1.0</v>
      </c>
      <c r="O305" s="13">
        <v>1.0</v>
      </c>
      <c r="P305" s="12">
        <v>1.0</v>
      </c>
      <c r="Q305" s="5"/>
      <c r="R305" s="10">
        <f>sum(F305:K305,M305:P305)/(COUNTIF(B305:P305, 1) + (COUNTIF(B305:P305, 0)) + COUNTIF(B305:P305, 0.5))</f>
        <v>1</v>
      </c>
    </row>
    <row r="306">
      <c r="A306" s="7">
        <v>71.0</v>
      </c>
      <c r="B306" s="8">
        <v>2040.0</v>
      </c>
      <c r="C306" s="8">
        <v>11.0</v>
      </c>
      <c r="D306" s="8">
        <v>38.3485</v>
      </c>
      <c r="E306" s="8">
        <v>-122.056</v>
      </c>
      <c r="F306" s="1"/>
      <c r="G306" s="1"/>
      <c r="H306" s="3" t="s">
        <v>773</v>
      </c>
      <c r="I306" s="1"/>
      <c r="J306" s="3" t="s">
        <v>774</v>
      </c>
      <c r="K306" s="3" t="s">
        <v>775</v>
      </c>
      <c r="L306" s="2" t="s">
        <v>776</v>
      </c>
      <c r="M306" s="3" t="s">
        <v>777</v>
      </c>
      <c r="N306" s="3" t="s">
        <v>778</v>
      </c>
      <c r="O306" s="4" t="s">
        <v>779</v>
      </c>
      <c r="P306" s="3" t="s">
        <v>24</v>
      </c>
      <c r="Q306" s="5" t="s">
        <v>780</v>
      </c>
      <c r="R306" s="10"/>
    </row>
    <row r="307">
      <c r="A307" s="11" t="s">
        <v>781</v>
      </c>
      <c r="B307" s="8"/>
      <c r="C307" s="8"/>
      <c r="D307" s="8"/>
      <c r="E307" s="8"/>
      <c r="F307" s="12">
        <v>1.0</v>
      </c>
      <c r="G307" s="12">
        <v>1.0</v>
      </c>
      <c r="H307" s="12">
        <v>0.5</v>
      </c>
      <c r="I307" s="12">
        <v>1.0</v>
      </c>
      <c r="J307" s="12">
        <v>1.0</v>
      </c>
      <c r="K307" s="12">
        <v>1.0</v>
      </c>
      <c r="L307" s="2"/>
      <c r="M307" s="12">
        <v>1.0</v>
      </c>
      <c r="N307" s="12">
        <v>1.0</v>
      </c>
      <c r="O307" s="13">
        <v>0.5</v>
      </c>
      <c r="P307" s="12">
        <v>1.0</v>
      </c>
      <c r="Q307" s="5"/>
      <c r="R307" s="10">
        <f>sum(F307:K307,M307:P307)/(COUNTIF(B307:P307, 1) + (COUNTIF(B307:P307, 0)) + COUNTIF(B307:P307, 0.5))</f>
        <v>0.9</v>
      </c>
    </row>
    <row r="308">
      <c r="A308" s="7">
        <v>72.0</v>
      </c>
      <c r="B308" s="8">
        <v>2040.0</v>
      </c>
      <c r="C308" s="8">
        <v>11.0</v>
      </c>
      <c r="D308" s="8">
        <v>38.7488</v>
      </c>
      <c r="E308" s="8">
        <v>-121.745</v>
      </c>
      <c r="F308" s="1"/>
      <c r="G308" s="1"/>
      <c r="H308" s="3" t="s">
        <v>773</v>
      </c>
      <c r="I308" s="1"/>
      <c r="J308" s="3" t="s">
        <v>782</v>
      </c>
      <c r="K308" s="3" t="s">
        <v>775</v>
      </c>
      <c r="L308" s="2" t="s">
        <v>405</v>
      </c>
      <c r="M308" s="3" t="s">
        <v>783</v>
      </c>
      <c r="N308" s="3" t="s">
        <v>778</v>
      </c>
      <c r="O308" s="4" t="s">
        <v>667</v>
      </c>
      <c r="P308" s="3" t="s">
        <v>24</v>
      </c>
      <c r="Q308" s="5" t="s">
        <v>784</v>
      </c>
      <c r="R308" s="10"/>
    </row>
    <row r="309">
      <c r="A309" s="11" t="s">
        <v>785</v>
      </c>
      <c r="B309" s="8"/>
      <c r="C309" s="8"/>
      <c r="D309" s="8"/>
      <c r="E309" s="8"/>
      <c r="F309" s="12">
        <v>1.0</v>
      </c>
      <c r="G309" s="12">
        <v>1.0</v>
      </c>
      <c r="H309" s="12">
        <v>0.5</v>
      </c>
      <c r="I309" s="12">
        <v>1.0</v>
      </c>
      <c r="J309" s="12">
        <v>1.0</v>
      </c>
      <c r="K309" s="12">
        <v>1.0</v>
      </c>
      <c r="L309" s="2"/>
      <c r="M309" s="12">
        <v>1.0</v>
      </c>
      <c r="N309" s="12">
        <v>1.0</v>
      </c>
      <c r="O309" s="13">
        <v>1.0</v>
      </c>
      <c r="P309" s="12">
        <v>1.0</v>
      </c>
      <c r="Q309" s="5"/>
      <c r="R309" s="10">
        <f>sum(F309:K309,M309:P309)/(COUNTIF(B309:P309, 1) + (COUNTIF(B309:P309, 0)) + COUNTIF(B309:P309, 0.5))</f>
        <v>0.95</v>
      </c>
    </row>
    <row r="310">
      <c r="A310" s="7">
        <v>73.0</v>
      </c>
      <c r="B310" s="8">
        <v>2040.0</v>
      </c>
      <c r="C310" s="8">
        <v>11.0</v>
      </c>
      <c r="D310" s="8">
        <v>38.746</v>
      </c>
      <c r="E310" s="8">
        <v>-121.727</v>
      </c>
      <c r="F310" s="1"/>
      <c r="G310" s="1"/>
      <c r="H310" s="3" t="s">
        <v>773</v>
      </c>
      <c r="I310" s="1"/>
      <c r="J310" s="3" t="s">
        <v>786</v>
      </c>
      <c r="K310" s="3" t="s">
        <v>775</v>
      </c>
      <c r="L310" s="2" t="s">
        <v>405</v>
      </c>
      <c r="M310" s="3" t="s">
        <v>787</v>
      </c>
      <c r="N310" s="3" t="s">
        <v>778</v>
      </c>
      <c r="O310" s="4" t="s">
        <v>667</v>
      </c>
      <c r="P310" s="3" t="s">
        <v>24</v>
      </c>
      <c r="Q310" s="5" t="s">
        <v>788</v>
      </c>
      <c r="R310" s="10"/>
    </row>
    <row r="311">
      <c r="A311" s="11" t="s">
        <v>789</v>
      </c>
      <c r="B311" s="8"/>
      <c r="C311" s="8"/>
      <c r="D311" s="8"/>
      <c r="E311" s="8"/>
      <c r="F311" s="12">
        <v>1.0</v>
      </c>
      <c r="G311" s="12">
        <v>1.0</v>
      </c>
      <c r="H311" s="12">
        <v>0.5</v>
      </c>
      <c r="I311" s="12">
        <v>1.0</v>
      </c>
      <c r="J311" s="12">
        <v>1.0</v>
      </c>
      <c r="K311" s="12">
        <v>1.0</v>
      </c>
      <c r="L311" s="2"/>
      <c r="M311" s="12">
        <v>1.0</v>
      </c>
      <c r="N311" s="12">
        <v>1.0</v>
      </c>
      <c r="O311" s="13">
        <v>1.0</v>
      </c>
      <c r="P311" s="12">
        <v>1.0</v>
      </c>
      <c r="Q311" s="5"/>
      <c r="R311" s="10">
        <f>sum(F311:K311,M311:P311)/(COUNTIF(B311:P311, 1) + (COUNTIF(B311:P311, 0)) + COUNTIF(B311:P311, 0.5))</f>
        <v>0.95</v>
      </c>
    </row>
    <row r="312">
      <c r="A312" s="7">
        <v>74.0</v>
      </c>
      <c r="B312" s="8">
        <v>2040.0</v>
      </c>
      <c r="C312" s="8">
        <v>11.0</v>
      </c>
      <c r="D312" s="8">
        <v>38.7378</v>
      </c>
      <c r="E312" s="8">
        <v>-121.764</v>
      </c>
      <c r="F312" s="1"/>
      <c r="G312" s="1"/>
      <c r="H312" s="3" t="s">
        <v>773</v>
      </c>
      <c r="I312" s="1"/>
      <c r="J312" s="3" t="s">
        <v>790</v>
      </c>
      <c r="K312" s="3" t="s">
        <v>775</v>
      </c>
      <c r="L312" s="2" t="s">
        <v>405</v>
      </c>
      <c r="M312" s="3" t="s">
        <v>791</v>
      </c>
      <c r="N312" s="3" t="s">
        <v>778</v>
      </c>
      <c r="O312" s="4" t="s">
        <v>667</v>
      </c>
      <c r="P312" s="3" t="s">
        <v>24</v>
      </c>
      <c r="Q312" s="5" t="s">
        <v>792</v>
      </c>
      <c r="R312" s="10"/>
    </row>
    <row r="313">
      <c r="A313" s="11" t="s">
        <v>793</v>
      </c>
      <c r="B313" s="8"/>
      <c r="C313" s="8"/>
      <c r="D313" s="8"/>
      <c r="E313" s="8"/>
      <c r="F313" s="12">
        <v>1.0</v>
      </c>
      <c r="G313" s="12">
        <v>1.0</v>
      </c>
      <c r="H313" s="12">
        <v>0.5</v>
      </c>
      <c r="I313" s="12">
        <v>1.0</v>
      </c>
      <c r="J313" s="12">
        <v>1.0</v>
      </c>
      <c r="K313" s="12">
        <v>1.0</v>
      </c>
      <c r="L313" s="2"/>
      <c r="M313" s="12">
        <v>1.0</v>
      </c>
      <c r="N313" s="12">
        <v>1.0</v>
      </c>
      <c r="O313" s="13">
        <v>1.0</v>
      </c>
      <c r="P313" s="12">
        <v>1.0</v>
      </c>
      <c r="Q313" s="5"/>
      <c r="R313" s="10">
        <f>sum(F313:K313,M313:P313)/(COUNTIF(B313:P313, 1) + (COUNTIF(B313:P313, 0)) + COUNTIF(B313:P313, 0.5))</f>
        <v>0.95</v>
      </c>
    </row>
    <row r="314">
      <c r="A314" s="7">
        <v>75.0</v>
      </c>
      <c r="B314" s="8">
        <v>2040.0</v>
      </c>
      <c r="C314" s="8">
        <v>11.0</v>
      </c>
      <c r="D314" s="8">
        <v>38.7488</v>
      </c>
      <c r="E314" s="8">
        <v>-121.745</v>
      </c>
      <c r="F314" s="1"/>
      <c r="G314" s="1"/>
      <c r="H314" s="3" t="s">
        <v>773</v>
      </c>
      <c r="I314" s="1"/>
      <c r="J314" s="3" t="s">
        <v>764</v>
      </c>
      <c r="K314" s="3" t="s">
        <v>775</v>
      </c>
      <c r="L314" s="2" t="s">
        <v>405</v>
      </c>
      <c r="M314" s="3" t="s">
        <v>794</v>
      </c>
      <c r="N314" s="3" t="s">
        <v>778</v>
      </c>
      <c r="O314" s="4" t="s">
        <v>779</v>
      </c>
      <c r="P314" s="3" t="s">
        <v>65</v>
      </c>
      <c r="Q314" s="5" t="s">
        <v>795</v>
      </c>
      <c r="R314" s="10"/>
    </row>
    <row r="315">
      <c r="A315" s="11" t="s">
        <v>796</v>
      </c>
      <c r="B315" s="8"/>
      <c r="C315" s="8"/>
      <c r="D315" s="8"/>
      <c r="E315" s="8"/>
      <c r="F315" s="12">
        <v>1.0</v>
      </c>
      <c r="G315" s="12">
        <v>1.0</v>
      </c>
      <c r="H315" s="12">
        <v>0.5</v>
      </c>
      <c r="I315" s="12">
        <v>1.0</v>
      </c>
      <c r="J315" s="12">
        <v>1.0</v>
      </c>
      <c r="K315" s="12">
        <v>1.0</v>
      </c>
      <c r="L315" s="2"/>
      <c r="M315" s="12">
        <v>1.0</v>
      </c>
      <c r="N315" s="12">
        <v>1.0</v>
      </c>
      <c r="O315" s="13">
        <v>0.5</v>
      </c>
      <c r="P315" s="12">
        <v>1.0</v>
      </c>
      <c r="Q315" s="5"/>
      <c r="R315" s="10">
        <f>sum(F315:K315,M315:P315)/(COUNTIF(B315:P315, 1) + (COUNTIF(B315:P315, 0)) + COUNTIF(B315:P315, 0.5))</f>
        <v>0.9</v>
      </c>
    </row>
    <row r="316">
      <c r="A316" s="7">
        <v>76.0</v>
      </c>
      <c r="B316" s="8">
        <v>2040.0</v>
      </c>
      <c r="C316" s="8">
        <v>11.0</v>
      </c>
      <c r="D316" s="8">
        <v>38.7488</v>
      </c>
      <c r="E316" s="8">
        <v>-121.745</v>
      </c>
      <c r="F316" s="1"/>
      <c r="G316" s="1"/>
      <c r="H316" s="3" t="s">
        <v>773</v>
      </c>
      <c r="I316" s="1"/>
      <c r="J316" s="3" t="s">
        <v>769</v>
      </c>
      <c r="K316" s="3" t="s">
        <v>775</v>
      </c>
      <c r="L316" s="2" t="s">
        <v>405</v>
      </c>
      <c r="M316" s="3" t="s">
        <v>797</v>
      </c>
      <c r="N316" s="3" t="s">
        <v>778</v>
      </c>
      <c r="O316" s="4" t="s">
        <v>779</v>
      </c>
      <c r="P316" s="3" t="s">
        <v>65</v>
      </c>
      <c r="Q316" s="5" t="s">
        <v>795</v>
      </c>
      <c r="R316" s="10"/>
    </row>
    <row r="317">
      <c r="A317" s="11" t="s">
        <v>798</v>
      </c>
      <c r="B317" s="8"/>
      <c r="C317" s="8"/>
      <c r="D317" s="9"/>
      <c r="E317" s="9"/>
      <c r="F317" s="12">
        <v>1.0</v>
      </c>
      <c r="G317" s="12">
        <v>1.0</v>
      </c>
      <c r="H317" s="12">
        <v>0.5</v>
      </c>
      <c r="I317" s="12">
        <v>1.0</v>
      </c>
      <c r="J317" s="12">
        <v>1.0</v>
      </c>
      <c r="K317" s="12">
        <v>1.0</v>
      </c>
      <c r="L317" s="2"/>
      <c r="M317" s="12">
        <v>1.0</v>
      </c>
      <c r="N317" s="12">
        <v>1.0</v>
      </c>
      <c r="O317" s="13">
        <v>0.5</v>
      </c>
      <c r="P317" s="12">
        <v>1.0</v>
      </c>
      <c r="Q317" s="5"/>
      <c r="R317" s="10">
        <f>sum(F317:K317,M317:P317)/(COUNTIF(B317:P317, 1) + (COUNTIF(B317:P317, 0)) + COUNTIF(B317:P317, 0.5))</f>
        <v>0.9</v>
      </c>
    </row>
    <row r="318">
      <c r="A318" s="7">
        <v>136.0</v>
      </c>
      <c r="B318" s="8">
        <v>2040.0</v>
      </c>
      <c r="C318" s="8">
        <v>25.0</v>
      </c>
      <c r="D318" s="9"/>
      <c r="E318" s="9"/>
      <c r="F318" s="1"/>
      <c r="G318" s="1"/>
      <c r="H318" s="3" t="s">
        <v>799</v>
      </c>
      <c r="I318" s="3" t="s">
        <v>18</v>
      </c>
      <c r="J318" s="3" t="s">
        <v>769</v>
      </c>
      <c r="K318" s="1"/>
      <c r="L318" s="2" t="s">
        <v>800</v>
      </c>
      <c r="M318" s="1"/>
      <c r="N318" s="1"/>
      <c r="O318" s="4" t="s">
        <v>801</v>
      </c>
      <c r="P318" s="3" t="s">
        <v>65</v>
      </c>
      <c r="Q318" s="5" t="s">
        <v>802</v>
      </c>
      <c r="R318" s="10"/>
    </row>
    <row r="319">
      <c r="A319" s="11" t="s">
        <v>803</v>
      </c>
      <c r="B319" s="8"/>
      <c r="C319" s="8"/>
      <c r="D319" s="8"/>
      <c r="E319" s="8"/>
      <c r="F319" s="12">
        <v>1.0</v>
      </c>
      <c r="G319" s="12">
        <v>1.0</v>
      </c>
      <c r="H319" s="12">
        <v>1.0</v>
      </c>
      <c r="I319" s="12">
        <v>1.0</v>
      </c>
      <c r="J319" s="12">
        <v>1.0</v>
      </c>
      <c r="K319" s="12">
        <v>1.0</v>
      </c>
      <c r="L319" s="2"/>
      <c r="M319" s="12">
        <v>1.0</v>
      </c>
      <c r="N319" s="12">
        <v>1.0</v>
      </c>
      <c r="O319" s="13">
        <v>1.0</v>
      </c>
      <c r="P319" s="12">
        <v>1.0</v>
      </c>
      <c r="Q319" s="5"/>
      <c r="R319" s="10">
        <f>sum(F319:K319,M319:P319)/(COUNTIF(B319:P319, 1) + (COUNTIF(B319:P319, 0)) + COUNTIF(B319:P319, 0.5))</f>
        <v>1</v>
      </c>
    </row>
    <row r="320">
      <c r="A320" s="7">
        <v>137.0</v>
      </c>
      <c r="B320" s="8">
        <v>2057.0</v>
      </c>
      <c r="C320" s="8">
        <v>12.0</v>
      </c>
      <c r="D320" s="8">
        <v>38.6789</v>
      </c>
      <c r="E320" s="8">
        <v>-122.526</v>
      </c>
      <c r="F320" s="1"/>
      <c r="G320" s="1"/>
      <c r="H320" s="3" t="s">
        <v>804</v>
      </c>
      <c r="I320" s="3" t="s">
        <v>18</v>
      </c>
      <c r="J320" s="3" t="s">
        <v>804</v>
      </c>
      <c r="K320" s="1"/>
      <c r="L320" s="2" t="s">
        <v>805</v>
      </c>
      <c r="M320" s="3" t="s">
        <v>806</v>
      </c>
      <c r="N320" s="3" t="s">
        <v>139</v>
      </c>
      <c r="O320" s="4" t="s">
        <v>242</v>
      </c>
      <c r="P320" s="3" t="s">
        <v>243</v>
      </c>
      <c r="Q320" s="5" t="s">
        <v>807</v>
      </c>
      <c r="R320" s="10"/>
    </row>
    <row r="321">
      <c r="A321" s="11" t="s">
        <v>808</v>
      </c>
      <c r="B321" s="8"/>
      <c r="C321" s="8"/>
      <c r="D321" s="8"/>
      <c r="E321" s="8"/>
      <c r="F321" s="12">
        <v>1.0</v>
      </c>
      <c r="G321" s="12">
        <v>1.0</v>
      </c>
      <c r="H321" s="12">
        <v>1.0</v>
      </c>
      <c r="I321" s="12">
        <v>1.0</v>
      </c>
      <c r="J321" s="12">
        <v>1.0</v>
      </c>
      <c r="K321" s="12">
        <v>1.0</v>
      </c>
      <c r="L321" s="2"/>
      <c r="M321" s="12">
        <v>0.5</v>
      </c>
      <c r="N321" s="12">
        <v>1.0</v>
      </c>
      <c r="O321" s="13">
        <v>1.0</v>
      </c>
      <c r="P321" s="12">
        <v>1.0</v>
      </c>
      <c r="Q321" s="5"/>
      <c r="R321" s="10">
        <f>sum(F321:K321,M321:P321)/(COUNTIF(B321:P321, 1) + (COUNTIF(B321:P321, 0)) + COUNTIF(B321:P321, 0.5))</f>
        <v>0.95</v>
      </c>
    </row>
    <row r="322">
      <c r="A322" s="7">
        <v>138.0</v>
      </c>
      <c r="B322" s="8">
        <v>2057.0</v>
      </c>
      <c r="C322" s="8">
        <v>12.0</v>
      </c>
      <c r="D322" s="8">
        <v>38.6194</v>
      </c>
      <c r="E322" s="8">
        <v>-122.615</v>
      </c>
      <c r="F322" s="1"/>
      <c r="G322" s="1"/>
      <c r="H322" s="3" t="s">
        <v>809</v>
      </c>
      <c r="I322" s="3" t="s">
        <v>18</v>
      </c>
      <c r="J322" s="3" t="s">
        <v>809</v>
      </c>
      <c r="K322" s="1"/>
      <c r="L322" s="2" t="s">
        <v>805</v>
      </c>
      <c r="M322" s="3" t="s">
        <v>810</v>
      </c>
      <c r="N322" s="3" t="s">
        <v>139</v>
      </c>
      <c r="O322" s="4" t="s">
        <v>242</v>
      </c>
      <c r="P322" s="3" t="s">
        <v>243</v>
      </c>
      <c r="Q322" s="5" t="s">
        <v>811</v>
      </c>
      <c r="R322" s="10"/>
    </row>
    <row r="323">
      <c r="A323" s="11" t="s">
        <v>812</v>
      </c>
      <c r="B323" s="8"/>
      <c r="C323" s="8"/>
      <c r="D323" s="8"/>
      <c r="E323" s="8"/>
      <c r="F323" s="12">
        <v>1.0</v>
      </c>
      <c r="G323" s="12">
        <v>1.0</v>
      </c>
      <c r="H323" s="12">
        <v>1.0</v>
      </c>
      <c r="I323" s="12">
        <v>1.0</v>
      </c>
      <c r="J323" s="12">
        <v>1.0</v>
      </c>
      <c r="K323" s="12">
        <v>1.0</v>
      </c>
      <c r="L323" s="2"/>
      <c r="M323" s="12">
        <v>1.0</v>
      </c>
      <c r="N323" s="12">
        <v>1.0</v>
      </c>
      <c r="O323" s="13">
        <v>1.0</v>
      </c>
      <c r="P323" s="12">
        <v>1.0</v>
      </c>
      <c r="Q323" s="5"/>
      <c r="R323" s="10">
        <f>sum(F323:K323,M323:P323)/(COUNTIF(B323:P323, 1) + (COUNTIF(B323:P323, 0)) + COUNTIF(B323:P323, 0.5))</f>
        <v>1</v>
      </c>
    </row>
    <row r="324">
      <c r="A324" s="7">
        <v>139.0</v>
      </c>
      <c r="B324" s="8">
        <v>2057.0</v>
      </c>
      <c r="C324" s="8">
        <v>12.0</v>
      </c>
      <c r="D324" s="8">
        <v>38.5354</v>
      </c>
      <c r="E324" s="8">
        <v>-122.461</v>
      </c>
      <c r="F324" s="1"/>
      <c r="G324" s="1"/>
      <c r="H324" s="3" t="s">
        <v>813</v>
      </c>
      <c r="I324" s="3" t="s">
        <v>18</v>
      </c>
      <c r="J324" s="3" t="s">
        <v>813</v>
      </c>
      <c r="K324" s="1"/>
      <c r="L324" s="2" t="s">
        <v>805</v>
      </c>
      <c r="M324" s="3" t="s">
        <v>814</v>
      </c>
      <c r="N324" s="3" t="s">
        <v>139</v>
      </c>
      <c r="O324" s="4" t="s">
        <v>242</v>
      </c>
      <c r="P324" s="3" t="s">
        <v>243</v>
      </c>
      <c r="Q324" s="5" t="s">
        <v>815</v>
      </c>
      <c r="R324" s="10"/>
    </row>
    <row r="325">
      <c r="A325" s="11" t="s">
        <v>816</v>
      </c>
      <c r="B325" s="8"/>
      <c r="C325" s="8"/>
      <c r="D325" s="8"/>
      <c r="E325" s="8"/>
      <c r="F325" s="12">
        <v>1.0</v>
      </c>
      <c r="G325" s="12">
        <v>1.0</v>
      </c>
      <c r="H325" s="12">
        <v>1.0</v>
      </c>
      <c r="I325" s="12">
        <v>1.0</v>
      </c>
      <c r="J325" s="12">
        <v>1.0</v>
      </c>
      <c r="K325" s="12">
        <v>1.0</v>
      </c>
      <c r="L325" s="2"/>
      <c r="M325" s="12">
        <v>1.0</v>
      </c>
      <c r="N325" s="12">
        <v>1.0</v>
      </c>
      <c r="O325" s="13">
        <v>1.0</v>
      </c>
      <c r="P325" s="12">
        <v>1.0</v>
      </c>
      <c r="Q325" s="5"/>
      <c r="R325" s="10">
        <f>sum(F325:K325,M325:P325)/(COUNTIF(B325:P325, 1) + (COUNTIF(B325:P325, 0)) + COUNTIF(B325:P325, 0.5))</f>
        <v>1</v>
      </c>
    </row>
    <row r="326">
      <c r="A326" s="7">
        <v>140.0</v>
      </c>
      <c r="B326" s="8">
        <v>2057.0</v>
      </c>
      <c r="C326" s="8">
        <v>12.0</v>
      </c>
      <c r="D326" s="8">
        <v>38.4833</v>
      </c>
      <c r="E326" s="8">
        <v>-122.449</v>
      </c>
      <c r="F326" s="1"/>
      <c r="G326" s="1"/>
      <c r="H326" s="3" t="s">
        <v>817</v>
      </c>
      <c r="I326" s="3" t="s">
        <v>18</v>
      </c>
      <c r="J326" s="3" t="s">
        <v>818</v>
      </c>
      <c r="K326" s="1"/>
      <c r="L326" s="2" t="s">
        <v>805</v>
      </c>
      <c r="M326" s="3" t="s">
        <v>814</v>
      </c>
      <c r="N326" s="3" t="s">
        <v>139</v>
      </c>
      <c r="O326" s="4" t="s">
        <v>242</v>
      </c>
      <c r="P326" s="3" t="s">
        <v>243</v>
      </c>
      <c r="Q326" s="5" t="s">
        <v>819</v>
      </c>
      <c r="R326" s="10"/>
    </row>
    <row r="327">
      <c r="A327" s="11" t="s">
        <v>820</v>
      </c>
      <c r="B327" s="8"/>
      <c r="C327" s="8"/>
      <c r="D327" s="8"/>
      <c r="E327" s="8"/>
      <c r="F327" s="12">
        <v>1.0</v>
      </c>
      <c r="G327" s="12">
        <v>1.0</v>
      </c>
      <c r="H327" s="12">
        <v>1.0</v>
      </c>
      <c r="I327" s="12">
        <v>1.0</v>
      </c>
      <c r="J327" s="12">
        <v>1.0</v>
      </c>
      <c r="K327" s="12">
        <v>1.0</v>
      </c>
      <c r="L327" s="2"/>
      <c r="M327" s="12">
        <v>0.5</v>
      </c>
      <c r="N327" s="12">
        <v>1.0</v>
      </c>
      <c r="O327" s="13">
        <v>1.0</v>
      </c>
      <c r="P327" s="12">
        <v>1.0</v>
      </c>
      <c r="Q327" s="5"/>
      <c r="R327" s="10">
        <f>sum(F327:K327,M327:P327)/(COUNTIF(B327:P327, 1) + (COUNTIF(B327:P327, 0)) + COUNTIF(B327:P327, 0.5))</f>
        <v>0.95</v>
      </c>
    </row>
    <row r="328">
      <c r="A328" s="7">
        <v>141.0</v>
      </c>
      <c r="B328" s="8">
        <v>2057.0</v>
      </c>
      <c r="C328" s="8">
        <v>12.0</v>
      </c>
      <c r="D328" s="8">
        <v>38.5088</v>
      </c>
      <c r="E328" s="8">
        <v>-122.403</v>
      </c>
      <c r="F328" s="1"/>
      <c r="G328" s="1"/>
      <c r="H328" s="3" t="s">
        <v>821</v>
      </c>
      <c r="I328" s="3" t="s">
        <v>18</v>
      </c>
      <c r="J328" s="3" t="s">
        <v>822</v>
      </c>
      <c r="K328" s="1"/>
      <c r="L328" s="2" t="s">
        <v>805</v>
      </c>
      <c r="M328" s="3" t="s">
        <v>814</v>
      </c>
      <c r="N328" s="3" t="s">
        <v>139</v>
      </c>
      <c r="O328" s="4" t="s">
        <v>242</v>
      </c>
      <c r="P328" s="3" t="s">
        <v>243</v>
      </c>
      <c r="Q328" s="5" t="s">
        <v>823</v>
      </c>
      <c r="R328" s="10"/>
    </row>
    <row r="329">
      <c r="A329" s="11" t="s">
        <v>824</v>
      </c>
      <c r="B329" s="8"/>
      <c r="C329" s="8"/>
      <c r="D329" s="8"/>
      <c r="E329" s="8"/>
      <c r="F329" s="12">
        <v>1.0</v>
      </c>
      <c r="G329" s="12">
        <v>1.0</v>
      </c>
      <c r="H329" s="12">
        <v>1.0</v>
      </c>
      <c r="I329" s="12">
        <v>1.0</v>
      </c>
      <c r="J329" s="12">
        <v>1.0</v>
      </c>
      <c r="K329" s="12">
        <v>1.0</v>
      </c>
      <c r="L329" s="2"/>
      <c r="M329" s="12">
        <v>1.0</v>
      </c>
      <c r="N329" s="12">
        <v>1.0</v>
      </c>
      <c r="O329" s="13">
        <v>1.0</v>
      </c>
      <c r="P329" s="12">
        <v>1.0</v>
      </c>
      <c r="Q329" s="5"/>
      <c r="R329" s="10">
        <f>sum(F329:K329,M329:P329)/(COUNTIF(B329:P329, 1) + (COUNTIF(B329:P329, 0)) + COUNTIF(B329:P329, 0.5))</f>
        <v>1</v>
      </c>
    </row>
    <row r="330">
      <c r="A330" s="7">
        <v>142.0</v>
      </c>
      <c r="B330" s="8">
        <v>2057.0</v>
      </c>
      <c r="C330" s="8">
        <v>12.0</v>
      </c>
      <c r="D330" s="8">
        <v>38.5481</v>
      </c>
      <c r="E330" s="8">
        <v>-122.465</v>
      </c>
      <c r="F330" s="1"/>
      <c r="G330" s="1"/>
      <c r="H330" s="3" t="s">
        <v>825</v>
      </c>
      <c r="I330" s="3" t="s">
        <v>18</v>
      </c>
      <c r="J330" s="3" t="s">
        <v>825</v>
      </c>
      <c r="K330" s="1"/>
      <c r="L330" s="2" t="s">
        <v>805</v>
      </c>
      <c r="M330" s="3" t="s">
        <v>814</v>
      </c>
      <c r="N330" s="3" t="s">
        <v>139</v>
      </c>
      <c r="O330" s="4" t="s">
        <v>242</v>
      </c>
      <c r="P330" s="3" t="s">
        <v>243</v>
      </c>
      <c r="Q330" s="5" t="s">
        <v>826</v>
      </c>
      <c r="R330" s="10"/>
    </row>
    <row r="331">
      <c r="A331" s="11" t="s">
        <v>827</v>
      </c>
      <c r="B331" s="8"/>
      <c r="C331" s="8"/>
      <c r="D331" s="8"/>
      <c r="E331" s="8"/>
      <c r="F331" s="12">
        <v>1.0</v>
      </c>
      <c r="G331" s="12">
        <v>1.0</v>
      </c>
      <c r="H331" s="12">
        <v>1.0</v>
      </c>
      <c r="I331" s="12">
        <v>1.0</v>
      </c>
      <c r="J331" s="12">
        <v>1.0</v>
      </c>
      <c r="K331" s="12">
        <v>1.0</v>
      </c>
      <c r="L331" s="2"/>
      <c r="M331" s="12">
        <v>0.5</v>
      </c>
      <c r="N331" s="12">
        <v>1.0</v>
      </c>
      <c r="O331" s="13">
        <v>1.0</v>
      </c>
      <c r="P331" s="12">
        <v>1.0</v>
      </c>
      <c r="Q331" s="5"/>
      <c r="R331" s="10">
        <f>sum(F331:K331,M331:P331)/(COUNTIF(B331:P331, 1) + (COUNTIF(B331:P331, 0)) + COUNTIF(B331:P331, 0.5))</f>
        <v>0.95</v>
      </c>
    </row>
    <row r="332">
      <c r="A332" s="7">
        <v>143.0</v>
      </c>
      <c r="B332" s="8">
        <v>2057.0</v>
      </c>
      <c r="C332" s="8">
        <v>12.0</v>
      </c>
      <c r="D332" s="8">
        <v>38.2923</v>
      </c>
      <c r="E332" s="8">
        <v>-122.296</v>
      </c>
      <c r="F332" s="1"/>
      <c r="G332" s="12"/>
      <c r="H332" s="3" t="s">
        <v>828</v>
      </c>
      <c r="I332" s="3" t="s">
        <v>18</v>
      </c>
      <c r="J332" s="3" t="s">
        <v>828</v>
      </c>
      <c r="K332" s="1"/>
      <c r="L332" s="2" t="s">
        <v>805</v>
      </c>
      <c r="M332" s="3" t="s">
        <v>829</v>
      </c>
      <c r="N332" s="3" t="s">
        <v>139</v>
      </c>
      <c r="O332" s="4" t="s">
        <v>242</v>
      </c>
      <c r="P332" s="3" t="s">
        <v>243</v>
      </c>
      <c r="Q332" s="5" t="s">
        <v>830</v>
      </c>
      <c r="R332" s="10"/>
    </row>
    <row r="333">
      <c r="A333" s="11" t="s">
        <v>831</v>
      </c>
      <c r="B333" s="8"/>
      <c r="C333" s="8"/>
      <c r="D333" s="8"/>
      <c r="E333" s="8"/>
      <c r="F333" s="12">
        <v>1.0</v>
      </c>
      <c r="G333" s="12">
        <v>1.0</v>
      </c>
      <c r="H333" s="12">
        <v>1.0</v>
      </c>
      <c r="I333" s="12">
        <v>1.0</v>
      </c>
      <c r="J333" s="12">
        <v>1.0</v>
      </c>
      <c r="K333" s="12">
        <v>1.0</v>
      </c>
      <c r="L333" s="2"/>
      <c r="M333" s="12">
        <v>1.0</v>
      </c>
      <c r="N333" s="12">
        <v>1.0</v>
      </c>
      <c r="O333" s="13">
        <v>1.0</v>
      </c>
      <c r="P333" s="12">
        <v>1.0</v>
      </c>
      <c r="Q333" s="5"/>
      <c r="R333" s="10">
        <f>sum(F333:K333,M333:P333)/(COUNTIF(B333:P333, 1) + (COUNTIF(B333:P333, 0)) + COUNTIF(B333:P333, 0.5))</f>
        <v>1</v>
      </c>
    </row>
    <row r="334">
      <c r="A334" s="7">
        <v>144.0</v>
      </c>
      <c r="B334" s="8">
        <v>2057.0</v>
      </c>
      <c r="C334" s="8">
        <v>12.0</v>
      </c>
      <c r="D334" s="8">
        <v>38.2898</v>
      </c>
      <c r="E334" s="8">
        <v>-122.457</v>
      </c>
      <c r="F334" s="1"/>
      <c r="G334" s="1"/>
      <c r="H334" s="3" t="s">
        <v>832</v>
      </c>
      <c r="I334" s="3" t="s">
        <v>18</v>
      </c>
      <c r="J334" s="3" t="s">
        <v>832</v>
      </c>
      <c r="K334" s="1"/>
      <c r="L334" s="2" t="s">
        <v>350</v>
      </c>
      <c r="M334" s="3" t="s">
        <v>829</v>
      </c>
      <c r="N334" s="3" t="s">
        <v>139</v>
      </c>
      <c r="O334" s="4" t="s">
        <v>242</v>
      </c>
      <c r="P334" s="3" t="s">
        <v>243</v>
      </c>
      <c r="Q334" s="5" t="s">
        <v>833</v>
      </c>
      <c r="R334" s="10"/>
    </row>
    <row r="335">
      <c r="A335" s="11" t="s">
        <v>834</v>
      </c>
      <c r="B335" s="8"/>
      <c r="C335" s="8"/>
      <c r="D335" s="8"/>
      <c r="E335" s="8"/>
      <c r="F335" s="12">
        <v>1.0</v>
      </c>
      <c r="G335" s="12">
        <v>1.0</v>
      </c>
      <c r="H335" s="12">
        <v>1.0</v>
      </c>
      <c r="I335" s="12">
        <v>1.0</v>
      </c>
      <c r="J335" s="12">
        <v>1.0</v>
      </c>
      <c r="K335" s="12">
        <v>1.0</v>
      </c>
      <c r="L335" s="2"/>
      <c r="M335" s="12">
        <v>0.5</v>
      </c>
      <c r="N335" s="12">
        <v>1.0</v>
      </c>
      <c r="O335" s="13">
        <v>1.0</v>
      </c>
      <c r="P335" s="12">
        <v>1.0</v>
      </c>
      <c r="Q335" s="5"/>
      <c r="R335" s="10">
        <f>sum(F335:K335,M335:P335)/(COUNTIF(B335:P335, 1) + (COUNTIF(B335:P335, 0)) + COUNTIF(B335:P335, 0.5))</f>
        <v>0.95</v>
      </c>
    </row>
    <row r="336">
      <c r="A336" s="7">
        <v>97.0</v>
      </c>
      <c r="B336" s="8">
        <v>2057.0</v>
      </c>
      <c r="C336" s="8">
        <v>13.0</v>
      </c>
      <c r="D336" s="8">
        <v>38.5667</v>
      </c>
      <c r="E336" s="8">
        <v>-122.4</v>
      </c>
      <c r="F336" s="7">
        <v>38.5667</v>
      </c>
      <c r="G336" s="7">
        <v>-122.4</v>
      </c>
      <c r="H336" s="3" t="s">
        <v>835</v>
      </c>
      <c r="I336" s="3" t="s">
        <v>18</v>
      </c>
      <c r="J336" s="3" t="s">
        <v>836</v>
      </c>
      <c r="K336" s="3" t="s">
        <v>805</v>
      </c>
      <c r="L336" s="2" t="s">
        <v>805</v>
      </c>
      <c r="M336" s="3" t="s">
        <v>837</v>
      </c>
      <c r="N336" s="3" t="s">
        <v>302</v>
      </c>
      <c r="O336" s="4" t="s">
        <v>242</v>
      </c>
      <c r="P336" s="3" t="s">
        <v>243</v>
      </c>
      <c r="Q336" s="5" t="s">
        <v>838</v>
      </c>
      <c r="R336" s="10"/>
    </row>
    <row r="337">
      <c r="A337" s="11" t="s">
        <v>839</v>
      </c>
      <c r="B337" s="8"/>
      <c r="C337" s="8"/>
      <c r="D337" s="8"/>
      <c r="E337" s="8"/>
      <c r="F337" s="11">
        <v>0.0</v>
      </c>
      <c r="G337" s="11">
        <v>0.0</v>
      </c>
      <c r="H337" s="12">
        <v>1.0</v>
      </c>
      <c r="I337" s="12">
        <v>1.0</v>
      </c>
      <c r="J337" s="12">
        <v>1.0</v>
      </c>
      <c r="K337" s="12">
        <v>1.0</v>
      </c>
      <c r="L337" s="2"/>
      <c r="M337" s="12">
        <v>0.5</v>
      </c>
      <c r="N337" s="12">
        <v>1.0</v>
      </c>
      <c r="O337" s="13">
        <v>1.0</v>
      </c>
      <c r="P337" s="12">
        <v>1.0</v>
      </c>
      <c r="Q337" s="5"/>
      <c r="R337" s="10">
        <f>sum(F337:K337,M337:P337)/(COUNTIF(B337:P337, 1) + (COUNTIF(B337:P337, 0)) + COUNTIF(B337:P337, 0.5))</f>
        <v>0.75</v>
      </c>
    </row>
    <row r="338">
      <c r="A338" s="7">
        <v>98.0</v>
      </c>
      <c r="B338" s="8">
        <v>2057.0</v>
      </c>
      <c r="C338" s="8">
        <v>13.0</v>
      </c>
      <c r="D338" s="8">
        <v>38.5812</v>
      </c>
      <c r="E338" s="8">
        <v>-122.417</v>
      </c>
      <c r="F338" s="7">
        <v>38.5812</v>
      </c>
      <c r="G338" s="7">
        <v>-122.417</v>
      </c>
      <c r="H338" s="3" t="s">
        <v>835</v>
      </c>
      <c r="I338" s="3" t="s">
        <v>18</v>
      </c>
      <c r="J338" s="3" t="s">
        <v>809</v>
      </c>
      <c r="K338" s="3" t="s">
        <v>805</v>
      </c>
      <c r="L338" s="2" t="s">
        <v>805</v>
      </c>
      <c r="M338" s="3" t="s">
        <v>840</v>
      </c>
      <c r="N338" s="3" t="s">
        <v>302</v>
      </c>
      <c r="O338" s="4" t="s">
        <v>242</v>
      </c>
      <c r="P338" s="3" t="s">
        <v>243</v>
      </c>
      <c r="Q338" s="5" t="s">
        <v>838</v>
      </c>
      <c r="R338" s="10"/>
    </row>
    <row r="339">
      <c r="A339" s="11" t="s">
        <v>841</v>
      </c>
      <c r="B339" s="8"/>
      <c r="C339" s="8"/>
      <c r="D339" s="8"/>
      <c r="E339" s="8"/>
      <c r="F339" s="11">
        <v>0.0</v>
      </c>
      <c r="G339" s="11">
        <v>0.0</v>
      </c>
      <c r="H339" s="12">
        <v>1.0</v>
      </c>
      <c r="I339" s="12">
        <v>1.0</v>
      </c>
      <c r="J339" s="12">
        <v>1.0</v>
      </c>
      <c r="K339" s="12">
        <v>1.0</v>
      </c>
      <c r="L339" s="2"/>
      <c r="M339" s="12">
        <v>1.0</v>
      </c>
      <c r="N339" s="12">
        <v>1.0</v>
      </c>
      <c r="O339" s="13">
        <v>1.0</v>
      </c>
      <c r="P339" s="12">
        <v>1.0</v>
      </c>
      <c r="Q339" s="5"/>
      <c r="R339" s="10">
        <f>sum(F339:K339,M339:P339)/(COUNTIF(B339:P339, 1) + (COUNTIF(B339:P339, 0)) + COUNTIF(B339:P339, 0.5))</f>
        <v>0.8</v>
      </c>
    </row>
    <row r="340">
      <c r="A340" s="7">
        <v>99.0</v>
      </c>
      <c r="B340" s="8">
        <v>2057.0</v>
      </c>
      <c r="C340" s="8">
        <v>13.0</v>
      </c>
      <c r="D340" s="8">
        <v>38.5042</v>
      </c>
      <c r="E340" s="8">
        <v>-122.492</v>
      </c>
      <c r="F340" s="7">
        <v>38.5042</v>
      </c>
      <c r="G340" s="7">
        <v>-122.492</v>
      </c>
      <c r="H340" s="3" t="s">
        <v>835</v>
      </c>
      <c r="I340" s="3" t="s">
        <v>18</v>
      </c>
      <c r="J340" s="3" t="s">
        <v>813</v>
      </c>
      <c r="K340" s="3" t="s">
        <v>805</v>
      </c>
      <c r="L340" s="2" t="s">
        <v>805</v>
      </c>
      <c r="M340" s="3" t="s">
        <v>840</v>
      </c>
      <c r="N340" s="3" t="s">
        <v>302</v>
      </c>
      <c r="O340" s="4" t="s">
        <v>242</v>
      </c>
      <c r="P340" s="3" t="s">
        <v>243</v>
      </c>
      <c r="Q340" s="5" t="s">
        <v>838</v>
      </c>
      <c r="R340" s="10"/>
    </row>
    <row r="341">
      <c r="A341" s="11" t="s">
        <v>842</v>
      </c>
      <c r="B341" s="8"/>
      <c r="C341" s="8"/>
      <c r="D341" s="8"/>
      <c r="E341" s="8"/>
      <c r="F341" s="11">
        <v>0.0</v>
      </c>
      <c r="G341" s="11">
        <v>0.0</v>
      </c>
      <c r="H341" s="12">
        <v>1.0</v>
      </c>
      <c r="I341" s="12">
        <v>1.0</v>
      </c>
      <c r="J341" s="12">
        <v>1.0</v>
      </c>
      <c r="K341" s="12">
        <v>1.0</v>
      </c>
      <c r="L341" s="2"/>
      <c r="M341" s="12">
        <v>1.0</v>
      </c>
      <c r="N341" s="12">
        <v>1.0</v>
      </c>
      <c r="O341" s="13">
        <v>1.0</v>
      </c>
      <c r="P341" s="12">
        <v>1.0</v>
      </c>
      <c r="Q341" s="5"/>
      <c r="R341" s="10">
        <f>sum(F341:K341,M341:P341)/(COUNTIF(B341:P341, 1) + (COUNTIF(B341:P341, 0)) + COUNTIF(B341:P341, 0.5))</f>
        <v>0.8</v>
      </c>
    </row>
    <row r="342">
      <c r="A342" s="7">
        <v>100.0</v>
      </c>
      <c r="B342" s="8">
        <v>2057.0</v>
      </c>
      <c r="C342" s="8">
        <v>13.0</v>
      </c>
      <c r="D342" s="8">
        <v>38.4333</v>
      </c>
      <c r="E342" s="8">
        <v>-122.5</v>
      </c>
      <c r="F342" s="7">
        <v>38.4333</v>
      </c>
      <c r="G342" s="7">
        <v>-122.5</v>
      </c>
      <c r="H342" s="3" t="s">
        <v>835</v>
      </c>
      <c r="I342" s="3" t="s">
        <v>18</v>
      </c>
      <c r="J342" s="3" t="s">
        <v>843</v>
      </c>
      <c r="K342" s="3" t="s">
        <v>805</v>
      </c>
      <c r="L342" s="2" t="s">
        <v>805</v>
      </c>
      <c r="M342" s="3" t="s">
        <v>844</v>
      </c>
      <c r="N342" s="3" t="s">
        <v>302</v>
      </c>
      <c r="O342" s="4" t="s">
        <v>242</v>
      </c>
      <c r="P342" s="3" t="s">
        <v>243</v>
      </c>
      <c r="Q342" s="5" t="s">
        <v>838</v>
      </c>
      <c r="R342" s="10"/>
    </row>
    <row r="343">
      <c r="A343" s="11" t="s">
        <v>845</v>
      </c>
      <c r="B343" s="8"/>
      <c r="C343" s="8"/>
      <c r="D343" s="8"/>
      <c r="E343" s="8"/>
      <c r="F343" s="11">
        <v>0.0</v>
      </c>
      <c r="G343" s="11">
        <v>0.0</v>
      </c>
      <c r="H343" s="12">
        <v>1.0</v>
      </c>
      <c r="I343" s="12">
        <v>1.0</v>
      </c>
      <c r="J343" s="12">
        <v>1.0</v>
      </c>
      <c r="K343" s="12">
        <v>1.0</v>
      </c>
      <c r="L343" s="2"/>
      <c r="M343" s="12">
        <v>1.0</v>
      </c>
      <c r="N343" s="12">
        <v>1.0</v>
      </c>
      <c r="O343" s="13">
        <v>1.0</v>
      </c>
      <c r="P343" s="12">
        <v>1.0</v>
      </c>
      <c r="Q343" s="5"/>
      <c r="R343" s="10">
        <f>sum(F343:K343,M343:P343)/(COUNTIF(B343:P343, 1) + (COUNTIF(B343:P343, 0)) + COUNTIF(B343:P343, 0.5))</f>
        <v>0.8</v>
      </c>
    </row>
    <row r="344">
      <c r="A344" s="7">
        <v>101.0</v>
      </c>
      <c r="B344" s="8">
        <v>2057.0</v>
      </c>
      <c r="C344" s="8">
        <v>13.0</v>
      </c>
      <c r="D344" s="8">
        <v>38.4672</v>
      </c>
      <c r="E344" s="8">
        <v>-122.467</v>
      </c>
      <c r="F344" s="7">
        <v>38.4672</v>
      </c>
      <c r="G344" s="7">
        <v>-122.467</v>
      </c>
      <c r="H344" s="3" t="s">
        <v>835</v>
      </c>
      <c r="I344" s="3" t="s">
        <v>18</v>
      </c>
      <c r="J344" s="3" t="s">
        <v>822</v>
      </c>
      <c r="K344" s="3" t="s">
        <v>805</v>
      </c>
      <c r="L344" s="2" t="s">
        <v>805</v>
      </c>
      <c r="M344" s="3" t="s">
        <v>846</v>
      </c>
      <c r="N344" s="3" t="s">
        <v>302</v>
      </c>
      <c r="O344" s="4" t="s">
        <v>242</v>
      </c>
      <c r="P344" s="3" t="s">
        <v>243</v>
      </c>
      <c r="Q344" s="5" t="s">
        <v>838</v>
      </c>
      <c r="R344" s="10"/>
    </row>
    <row r="345">
      <c r="A345" s="11" t="s">
        <v>847</v>
      </c>
      <c r="B345" s="8"/>
      <c r="C345" s="8"/>
      <c r="D345" s="8"/>
      <c r="E345" s="8"/>
      <c r="F345" s="11">
        <v>0.0</v>
      </c>
      <c r="G345" s="11">
        <v>0.0</v>
      </c>
      <c r="H345" s="12">
        <v>1.0</v>
      </c>
      <c r="I345" s="12">
        <v>1.0</v>
      </c>
      <c r="J345" s="12">
        <v>1.0</v>
      </c>
      <c r="K345" s="12">
        <v>1.0</v>
      </c>
      <c r="L345" s="2"/>
      <c r="M345" s="12">
        <v>1.0</v>
      </c>
      <c r="N345" s="12">
        <v>1.0</v>
      </c>
      <c r="O345" s="13">
        <v>1.0</v>
      </c>
      <c r="P345" s="12">
        <v>1.0</v>
      </c>
      <c r="Q345" s="5"/>
      <c r="R345" s="10">
        <f>sum(F345:K345,M345:P345)/(COUNTIF(B345:P345, 1) + (COUNTIF(B345:P345, 0)) + COUNTIF(B345:P345, 0.5))</f>
        <v>0.8</v>
      </c>
    </row>
    <row r="346" ht="18.0" customHeight="1">
      <c r="A346" s="7">
        <v>102.0</v>
      </c>
      <c r="B346" s="8">
        <v>2057.0</v>
      </c>
      <c r="C346" s="8">
        <v>13.0</v>
      </c>
      <c r="D346" s="8">
        <v>38.5425</v>
      </c>
      <c r="E346" s="8">
        <v>-122.429</v>
      </c>
      <c r="F346" s="7">
        <v>38.5425</v>
      </c>
      <c r="G346" s="7">
        <v>-122.429</v>
      </c>
      <c r="H346" s="3" t="s">
        <v>835</v>
      </c>
      <c r="I346" s="3" t="s">
        <v>18</v>
      </c>
      <c r="J346" s="3" t="s">
        <v>825</v>
      </c>
      <c r="K346" s="3" t="s">
        <v>805</v>
      </c>
      <c r="L346" s="2" t="s">
        <v>805</v>
      </c>
      <c r="M346" s="3" t="s">
        <v>840</v>
      </c>
      <c r="N346" s="3" t="s">
        <v>302</v>
      </c>
      <c r="O346" s="4" t="s">
        <v>242</v>
      </c>
      <c r="P346" s="3" t="s">
        <v>243</v>
      </c>
      <c r="Q346" s="5" t="s">
        <v>838</v>
      </c>
      <c r="R346" s="10"/>
    </row>
    <row r="347" ht="18.0" customHeight="1">
      <c r="A347" s="11" t="s">
        <v>848</v>
      </c>
      <c r="B347" s="8"/>
      <c r="C347" s="8"/>
      <c r="D347" s="8"/>
      <c r="E347" s="8"/>
      <c r="F347" s="11">
        <v>0.0</v>
      </c>
      <c r="G347" s="11">
        <v>0.0</v>
      </c>
      <c r="H347" s="12">
        <v>1.0</v>
      </c>
      <c r="I347" s="12">
        <v>1.0</v>
      </c>
      <c r="J347" s="12">
        <v>1.0</v>
      </c>
      <c r="K347" s="12">
        <v>1.0</v>
      </c>
      <c r="L347" s="2"/>
      <c r="M347" s="12">
        <v>1.0</v>
      </c>
      <c r="N347" s="12">
        <v>1.0</v>
      </c>
      <c r="O347" s="13">
        <v>1.0</v>
      </c>
      <c r="P347" s="12">
        <v>1.0</v>
      </c>
      <c r="Q347" s="5"/>
      <c r="R347" s="10">
        <f>sum(F347:K347,M347:P347)/(COUNTIF(B347:P347, 1) + (COUNTIF(B347:P347, 0)) + COUNTIF(B347:P347, 0.5))</f>
        <v>0.8</v>
      </c>
    </row>
    <row r="348">
      <c r="A348" s="7">
        <v>103.0</v>
      </c>
      <c r="B348" s="8">
        <v>2057.0</v>
      </c>
      <c r="C348" s="8">
        <v>13.0</v>
      </c>
      <c r="D348" s="8">
        <v>38.2472</v>
      </c>
      <c r="E348" s="8">
        <v>-122.287</v>
      </c>
      <c r="F348" s="7">
        <v>38.2472</v>
      </c>
      <c r="G348" s="7">
        <v>-122.287</v>
      </c>
      <c r="H348" s="3" t="s">
        <v>835</v>
      </c>
      <c r="I348" s="3" t="s">
        <v>18</v>
      </c>
      <c r="J348" s="3" t="s">
        <v>828</v>
      </c>
      <c r="K348" s="3" t="s">
        <v>805</v>
      </c>
      <c r="L348" s="2" t="s">
        <v>805</v>
      </c>
      <c r="M348" s="3" t="s">
        <v>840</v>
      </c>
      <c r="N348" s="3" t="s">
        <v>302</v>
      </c>
      <c r="O348" s="4" t="s">
        <v>242</v>
      </c>
      <c r="P348" s="3" t="s">
        <v>243</v>
      </c>
      <c r="Q348" s="5" t="s">
        <v>838</v>
      </c>
      <c r="R348" s="10"/>
    </row>
    <row r="349">
      <c r="A349" s="11" t="s">
        <v>849</v>
      </c>
      <c r="B349" s="8"/>
      <c r="C349" s="8"/>
      <c r="D349" s="8"/>
      <c r="E349" s="8"/>
      <c r="F349" s="11">
        <v>0.0</v>
      </c>
      <c r="G349" s="11">
        <v>0.0</v>
      </c>
      <c r="H349" s="12">
        <v>1.0</v>
      </c>
      <c r="I349" s="12">
        <v>1.0</v>
      </c>
      <c r="J349" s="12">
        <v>1.0</v>
      </c>
      <c r="K349" s="12">
        <v>1.0</v>
      </c>
      <c r="L349" s="2"/>
      <c r="M349" s="12">
        <v>1.0</v>
      </c>
      <c r="N349" s="12">
        <v>1.0</v>
      </c>
      <c r="O349" s="13">
        <v>1.0</v>
      </c>
      <c r="P349" s="12">
        <v>1.0</v>
      </c>
      <c r="Q349" s="5"/>
      <c r="R349" s="10">
        <f>sum(F349:K349,M349:P349)/(COUNTIF(B349:P349, 1) + (COUNTIF(B349:P349, 0)) + COUNTIF(B349:P349, 0.5))</f>
        <v>0.8</v>
      </c>
    </row>
    <row r="350">
      <c r="A350" s="7">
        <v>104.0</v>
      </c>
      <c r="B350" s="8">
        <v>2057.0</v>
      </c>
      <c r="C350" s="8">
        <v>13.0</v>
      </c>
      <c r="D350" s="8">
        <v>38.2886</v>
      </c>
      <c r="E350" s="8">
        <v>-122.456</v>
      </c>
      <c r="F350" s="7">
        <v>38.2886</v>
      </c>
      <c r="G350" s="7">
        <v>-122.456</v>
      </c>
      <c r="H350" s="3" t="s">
        <v>835</v>
      </c>
      <c r="I350" s="3" t="s">
        <v>18</v>
      </c>
      <c r="J350" s="3" t="s">
        <v>832</v>
      </c>
      <c r="K350" s="3" t="s">
        <v>350</v>
      </c>
      <c r="L350" s="2" t="s">
        <v>350</v>
      </c>
      <c r="M350" s="3" t="s">
        <v>840</v>
      </c>
      <c r="N350" s="3" t="s">
        <v>302</v>
      </c>
      <c r="O350" s="4" t="s">
        <v>242</v>
      </c>
      <c r="P350" s="3" t="s">
        <v>243</v>
      </c>
      <c r="Q350" s="5" t="s">
        <v>838</v>
      </c>
      <c r="R350" s="10"/>
    </row>
    <row r="351">
      <c r="A351" s="11" t="s">
        <v>850</v>
      </c>
      <c r="B351" s="8"/>
      <c r="C351" s="8"/>
      <c r="D351" s="8"/>
      <c r="E351" s="8"/>
      <c r="F351" s="11">
        <v>0.0</v>
      </c>
      <c r="G351" s="11">
        <v>0.0</v>
      </c>
      <c r="H351" s="12">
        <v>1.0</v>
      </c>
      <c r="I351" s="12">
        <v>1.0</v>
      </c>
      <c r="J351" s="12">
        <v>1.0</v>
      </c>
      <c r="K351" s="12">
        <v>1.0</v>
      </c>
      <c r="L351" s="2"/>
      <c r="M351" s="12">
        <v>1.0</v>
      </c>
      <c r="N351" s="12">
        <v>1.0</v>
      </c>
      <c r="O351" s="13">
        <v>1.0</v>
      </c>
      <c r="P351" s="12">
        <v>1.0</v>
      </c>
      <c r="Q351" s="5"/>
      <c r="R351" s="10">
        <f>sum(F351:K351,M351:P351)/(COUNTIF(B351:P351, 1) + (COUNTIF(B351:P351, 0)) + COUNTIF(B351:P351, 0.5))</f>
        <v>0.8</v>
      </c>
    </row>
    <row r="352">
      <c r="A352" s="7">
        <v>27.0</v>
      </c>
      <c r="B352" s="8">
        <v>2060.0</v>
      </c>
      <c r="C352" s="8">
        <v>57.0</v>
      </c>
      <c r="D352" s="8">
        <v>36.73333</v>
      </c>
      <c r="E352" s="8">
        <v>-118.583</v>
      </c>
      <c r="F352" s="1"/>
      <c r="G352" s="1"/>
      <c r="H352" s="3" t="s">
        <v>851</v>
      </c>
      <c r="I352" s="3" t="s">
        <v>852</v>
      </c>
      <c r="J352" s="3" t="s">
        <v>853</v>
      </c>
      <c r="K352" s="1"/>
      <c r="L352" s="2" t="s">
        <v>114</v>
      </c>
      <c r="M352" s="3" t="s">
        <v>854</v>
      </c>
      <c r="N352" s="3" t="s">
        <v>855</v>
      </c>
      <c r="O352" s="22"/>
      <c r="P352" s="3" t="s">
        <v>251</v>
      </c>
      <c r="Q352" s="5" t="s">
        <v>856</v>
      </c>
      <c r="R352" s="10"/>
    </row>
    <row r="353">
      <c r="A353" s="11" t="s">
        <v>857</v>
      </c>
      <c r="B353" s="8"/>
      <c r="C353" s="8"/>
      <c r="D353" s="8"/>
      <c r="E353" s="8"/>
      <c r="F353" s="12">
        <v>1.0</v>
      </c>
      <c r="G353" s="12">
        <v>1.0</v>
      </c>
      <c r="H353" s="12">
        <v>1.0</v>
      </c>
      <c r="I353" s="12">
        <v>1.0</v>
      </c>
      <c r="J353" s="12">
        <v>1.0</v>
      </c>
      <c r="K353" s="12">
        <v>1.0</v>
      </c>
      <c r="L353" s="2"/>
      <c r="M353" s="12">
        <v>0.5</v>
      </c>
      <c r="N353" s="12">
        <v>1.0</v>
      </c>
      <c r="O353" s="12">
        <v>1.0</v>
      </c>
      <c r="P353" s="12">
        <v>1.0</v>
      </c>
      <c r="Q353" s="5"/>
      <c r="R353" s="10">
        <f>sum(F353:K353,M353:P353)/(COUNTIF(B353:P353, 1) + (COUNTIF(B353:P353, 0)) + COUNTIF(B353:P353, 0.5))</f>
        <v>0.95</v>
      </c>
    </row>
    <row r="354">
      <c r="A354" s="7">
        <v>28.0</v>
      </c>
      <c r="B354" s="8">
        <v>2060.0</v>
      </c>
      <c r="C354" s="8">
        <v>57.0</v>
      </c>
      <c r="D354" s="8">
        <v>36.73333</v>
      </c>
      <c r="E354" s="8">
        <v>-118.583</v>
      </c>
      <c r="F354" s="1"/>
      <c r="G354" s="1"/>
      <c r="H354" s="3" t="s">
        <v>858</v>
      </c>
      <c r="I354" s="3" t="s">
        <v>859</v>
      </c>
      <c r="J354" s="3" t="s">
        <v>860</v>
      </c>
      <c r="K354" s="1"/>
      <c r="L354" s="2" t="s">
        <v>114</v>
      </c>
      <c r="M354" s="23">
        <v>15487.0</v>
      </c>
      <c r="N354" s="3" t="s">
        <v>855</v>
      </c>
      <c r="O354" s="1"/>
      <c r="P354" s="3" t="s">
        <v>251</v>
      </c>
      <c r="Q354" s="5" t="s">
        <v>861</v>
      </c>
      <c r="R354" s="10"/>
    </row>
    <row r="355">
      <c r="A355" s="11" t="s">
        <v>862</v>
      </c>
      <c r="B355" s="8"/>
      <c r="C355" s="8"/>
      <c r="D355" s="8"/>
      <c r="E355" s="8"/>
      <c r="F355" s="12">
        <v>1.0</v>
      </c>
      <c r="G355" s="12">
        <v>1.0</v>
      </c>
      <c r="H355" s="12">
        <v>1.0</v>
      </c>
      <c r="I355" s="12">
        <v>1.0</v>
      </c>
      <c r="J355" s="12">
        <v>1.0</v>
      </c>
      <c r="K355" s="12">
        <v>1.0</v>
      </c>
      <c r="L355" s="2"/>
      <c r="M355" s="11">
        <v>1.0</v>
      </c>
      <c r="N355" s="12">
        <v>1.0</v>
      </c>
      <c r="O355" s="12">
        <v>1.0</v>
      </c>
      <c r="P355" s="12">
        <v>1.0</v>
      </c>
      <c r="Q355" s="5"/>
      <c r="R355" s="10">
        <f>sum(F355:K355,M355:P355)/(COUNTIF(B355:P355, 1) + (COUNTIF(B355:P355, 0)) + COUNTIF(B355:P355, 0.5))</f>
        <v>1</v>
      </c>
    </row>
    <row r="356">
      <c r="A356" s="7">
        <v>29.0</v>
      </c>
      <c r="B356" s="8">
        <v>2060.0</v>
      </c>
      <c r="C356" s="8">
        <v>57.0</v>
      </c>
      <c r="D356" s="8">
        <v>36.61667</v>
      </c>
      <c r="E356" s="8">
        <v>-118.417</v>
      </c>
      <c r="F356" s="1"/>
      <c r="G356" s="1"/>
      <c r="H356" s="3" t="s">
        <v>863</v>
      </c>
      <c r="I356" s="3" t="s">
        <v>864</v>
      </c>
      <c r="J356" s="3" t="s">
        <v>865</v>
      </c>
      <c r="K356" s="1"/>
      <c r="L356" s="2" t="s">
        <v>114</v>
      </c>
      <c r="M356" s="3" t="s">
        <v>866</v>
      </c>
      <c r="N356" s="3" t="s">
        <v>855</v>
      </c>
      <c r="O356" s="1"/>
      <c r="P356" s="3" t="s">
        <v>56</v>
      </c>
      <c r="Q356" s="5" t="s">
        <v>867</v>
      </c>
      <c r="R356" s="10"/>
    </row>
    <row r="357">
      <c r="A357" s="11" t="s">
        <v>868</v>
      </c>
      <c r="B357" s="8"/>
      <c r="C357" s="8"/>
      <c r="D357" s="8"/>
      <c r="E357" s="8"/>
      <c r="F357" s="12">
        <v>1.0</v>
      </c>
      <c r="G357" s="12">
        <v>1.0</v>
      </c>
      <c r="H357" s="12">
        <v>1.0</v>
      </c>
      <c r="I357" s="12">
        <v>1.0</v>
      </c>
      <c r="J357" s="12">
        <v>1.0</v>
      </c>
      <c r="K357" s="12">
        <v>1.0</v>
      </c>
      <c r="L357" s="2"/>
      <c r="M357" s="12">
        <v>1.0</v>
      </c>
      <c r="N357" s="12">
        <v>1.0</v>
      </c>
      <c r="O357" s="12">
        <v>1.0</v>
      </c>
      <c r="P357" s="12">
        <v>1.0</v>
      </c>
      <c r="Q357" s="5"/>
      <c r="R357" s="10">
        <f>sum(F357:K357,M357:P357)/(COUNTIF(B357:P357, 1) + (COUNTIF(B357:P357, 0)) + COUNTIF(B357:P357, 0.5))</f>
        <v>1</v>
      </c>
    </row>
    <row r="358">
      <c r="A358" s="7">
        <v>30.0</v>
      </c>
      <c r="B358" s="8">
        <v>2060.0</v>
      </c>
      <c r="C358" s="8">
        <v>57.0</v>
      </c>
      <c r="D358" s="8">
        <v>36.61667</v>
      </c>
      <c r="E358" s="8">
        <v>-118.417</v>
      </c>
      <c r="F358" s="1"/>
      <c r="G358" s="1"/>
      <c r="H358" s="3" t="s">
        <v>869</v>
      </c>
      <c r="I358" s="3" t="s">
        <v>870</v>
      </c>
      <c r="J358" s="3" t="s">
        <v>871</v>
      </c>
      <c r="K358" s="1"/>
      <c r="L358" s="2" t="s">
        <v>114</v>
      </c>
      <c r="M358" s="23">
        <v>15216.0</v>
      </c>
      <c r="N358" s="3" t="s">
        <v>855</v>
      </c>
      <c r="O358" s="1"/>
      <c r="P358" s="3" t="s">
        <v>251</v>
      </c>
      <c r="Q358" s="5" t="s">
        <v>856</v>
      </c>
      <c r="R358" s="10"/>
    </row>
    <row r="359">
      <c r="A359" s="11" t="s">
        <v>872</v>
      </c>
      <c r="B359" s="8"/>
      <c r="C359" s="8"/>
      <c r="D359" s="8"/>
      <c r="E359" s="8"/>
      <c r="F359" s="12">
        <v>1.0</v>
      </c>
      <c r="G359" s="12">
        <v>1.0</v>
      </c>
      <c r="H359" s="12">
        <v>1.0</v>
      </c>
      <c r="I359" s="12">
        <v>1.0</v>
      </c>
      <c r="J359" s="12">
        <v>1.0</v>
      </c>
      <c r="K359" s="12">
        <v>1.0</v>
      </c>
      <c r="L359" s="2"/>
      <c r="M359" s="11">
        <v>1.0</v>
      </c>
      <c r="N359" s="12">
        <v>1.0</v>
      </c>
      <c r="O359" s="12">
        <v>1.0</v>
      </c>
      <c r="P359" s="12">
        <v>1.0</v>
      </c>
      <c r="Q359" s="5"/>
      <c r="R359" s="10">
        <f>sum(F359:K359,M359:P359)/(COUNTIF(B359:P359, 1) + (COUNTIF(B359:P359, 0)) + COUNTIF(B359:P359, 0.5))</f>
        <v>1</v>
      </c>
    </row>
    <row r="360">
      <c r="A360" s="7">
        <v>31.0</v>
      </c>
      <c r="B360" s="8">
        <v>2060.0</v>
      </c>
      <c r="C360" s="8">
        <v>57.0</v>
      </c>
      <c r="D360" s="8">
        <v>36.61667</v>
      </c>
      <c r="E360" s="8">
        <v>-118.333</v>
      </c>
      <c r="F360" s="1"/>
      <c r="G360" s="1"/>
      <c r="H360" s="3" t="s">
        <v>873</v>
      </c>
      <c r="I360" s="3" t="s">
        <v>874</v>
      </c>
      <c r="J360" s="3" t="s">
        <v>875</v>
      </c>
      <c r="K360" s="1"/>
      <c r="L360" s="2" t="s">
        <v>114</v>
      </c>
      <c r="M360" s="23">
        <v>15193.0</v>
      </c>
      <c r="N360" s="3" t="s">
        <v>855</v>
      </c>
      <c r="O360" s="1"/>
      <c r="P360" s="3" t="s">
        <v>251</v>
      </c>
      <c r="Q360" s="5" t="s">
        <v>861</v>
      </c>
      <c r="R360" s="10"/>
    </row>
    <row r="361">
      <c r="A361" s="11" t="s">
        <v>876</v>
      </c>
      <c r="B361" s="8"/>
      <c r="C361" s="8"/>
      <c r="D361" s="8"/>
      <c r="E361" s="8"/>
      <c r="F361" s="12">
        <v>1.0</v>
      </c>
      <c r="G361" s="12">
        <v>1.0</v>
      </c>
      <c r="H361" s="12">
        <v>1.0</v>
      </c>
      <c r="I361" s="12">
        <v>1.0</v>
      </c>
      <c r="J361" s="12">
        <v>1.0</v>
      </c>
      <c r="K361" s="12">
        <v>1.0</v>
      </c>
      <c r="L361" s="2"/>
      <c r="M361" s="11">
        <v>1.0</v>
      </c>
      <c r="N361" s="12">
        <v>1.0</v>
      </c>
      <c r="O361" s="12">
        <v>1.0</v>
      </c>
      <c r="P361" s="12">
        <v>1.0</v>
      </c>
      <c r="Q361" s="5"/>
      <c r="R361" s="10">
        <f>sum(F361:K361,M361:P361)/(COUNTIF(B361:P361, 1) + (COUNTIF(B361:P361, 0)) + COUNTIF(B361:P361, 0.5))</f>
        <v>1</v>
      </c>
    </row>
    <row r="362">
      <c r="A362" s="7">
        <v>32.0</v>
      </c>
      <c r="B362" s="8">
        <v>2060.0</v>
      </c>
      <c r="C362" s="8">
        <v>57.0</v>
      </c>
      <c r="D362" s="8">
        <v>36.61667</v>
      </c>
      <c r="E362" s="8">
        <v>-118.333</v>
      </c>
      <c r="F362" s="1"/>
      <c r="G362" s="1"/>
      <c r="H362" s="3" t="s">
        <v>877</v>
      </c>
      <c r="I362" s="3" t="s">
        <v>878</v>
      </c>
      <c r="J362" s="3" t="s">
        <v>879</v>
      </c>
      <c r="K362" s="1"/>
      <c r="L362" s="2" t="s">
        <v>114</v>
      </c>
      <c r="M362" s="3" t="s">
        <v>880</v>
      </c>
      <c r="N362" s="3" t="s">
        <v>855</v>
      </c>
      <c r="O362" s="1"/>
      <c r="P362" s="3" t="s">
        <v>251</v>
      </c>
      <c r="Q362" s="5" t="s">
        <v>881</v>
      </c>
      <c r="R362" s="10"/>
    </row>
    <row r="363">
      <c r="A363" s="11" t="s">
        <v>882</v>
      </c>
      <c r="B363" s="8"/>
      <c r="C363" s="8"/>
      <c r="D363" s="8"/>
      <c r="E363" s="8"/>
      <c r="F363" s="12">
        <v>1.0</v>
      </c>
      <c r="G363" s="12">
        <v>1.0</v>
      </c>
      <c r="H363" s="12">
        <v>1.0</v>
      </c>
      <c r="I363" s="12">
        <v>1.0</v>
      </c>
      <c r="J363" s="12">
        <v>1.0</v>
      </c>
      <c r="K363" s="12">
        <v>1.0</v>
      </c>
      <c r="L363" s="2"/>
      <c r="M363" s="12">
        <v>1.0</v>
      </c>
      <c r="N363" s="12">
        <v>1.0</v>
      </c>
      <c r="O363" s="12">
        <v>1.0</v>
      </c>
      <c r="P363" s="12">
        <v>1.0</v>
      </c>
      <c r="Q363" s="5"/>
      <c r="R363" s="10">
        <f>sum(F363:K363,M363:P363)/(COUNTIF(B363:P363, 1) + (COUNTIF(B363:P363, 0)) + COUNTIF(B363:P363, 0.5))</f>
        <v>1</v>
      </c>
    </row>
    <row r="364">
      <c r="A364" s="7">
        <v>33.0</v>
      </c>
      <c r="B364" s="8">
        <v>2060.0</v>
      </c>
      <c r="C364" s="8">
        <v>57.0</v>
      </c>
      <c r="D364" s="8">
        <v>36.5</v>
      </c>
      <c r="E364" s="8">
        <v>-118.417</v>
      </c>
      <c r="F364" s="1"/>
      <c r="G364" s="1"/>
      <c r="H364" s="3" t="s">
        <v>883</v>
      </c>
      <c r="I364" s="3" t="s">
        <v>884</v>
      </c>
      <c r="J364" s="3" t="s">
        <v>885</v>
      </c>
      <c r="K364" s="1"/>
      <c r="L364" s="2" t="s">
        <v>114</v>
      </c>
      <c r="M364" s="23">
        <v>15367.0</v>
      </c>
      <c r="N364" s="3" t="s">
        <v>855</v>
      </c>
      <c r="O364" s="1"/>
      <c r="P364" s="3" t="s">
        <v>251</v>
      </c>
      <c r="Q364" s="5" t="s">
        <v>856</v>
      </c>
      <c r="R364" s="10"/>
    </row>
    <row r="365">
      <c r="A365" s="11" t="s">
        <v>886</v>
      </c>
      <c r="B365" s="8"/>
      <c r="C365" s="8"/>
      <c r="D365" s="8"/>
      <c r="E365" s="8"/>
      <c r="F365" s="12">
        <v>1.0</v>
      </c>
      <c r="G365" s="12">
        <v>1.0</v>
      </c>
      <c r="H365" s="12">
        <v>1.0</v>
      </c>
      <c r="I365" s="12">
        <v>1.0</v>
      </c>
      <c r="J365" s="12">
        <v>1.0</v>
      </c>
      <c r="K365" s="12">
        <v>1.0</v>
      </c>
      <c r="L365" s="2"/>
      <c r="M365" s="11">
        <v>1.0</v>
      </c>
      <c r="N365" s="12">
        <v>1.0</v>
      </c>
      <c r="O365" s="12">
        <v>1.0</v>
      </c>
      <c r="P365" s="12">
        <v>1.0</v>
      </c>
      <c r="Q365" s="5"/>
      <c r="R365" s="10">
        <f>sum(F365:K365,M365:P365)/(COUNTIF(B365:P365, 1) + (COUNTIF(B365:P365, 0)) + COUNTIF(B365:P365, 0.5))</f>
        <v>1</v>
      </c>
    </row>
    <row r="366">
      <c r="A366" s="7">
        <v>34.0</v>
      </c>
      <c r="B366" s="8">
        <v>2060.0</v>
      </c>
      <c r="C366" s="8">
        <v>57.0</v>
      </c>
      <c r="D366" s="8">
        <v>36.5</v>
      </c>
      <c r="E366" s="8">
        <v>-118.25</v>
      </c>
      <c r="F366" s="1"/>
      <c r="G366" s="1"/>
      <c r="H366" s="3" t="s">
        <v>887</v>
      </c>
      <c r="I366" s="3" t="s">
        <v>888</v>
      </c>
      <c r="J366" s="3" t="s">
        <v>889</v>
      </c>
      <c r="K366" s="1"/>
      <c r="L366" s="2" t="s">
        <v>114</v>
      </c>
      <c r="M366" s="1"/>
      <c r="N366" s="1"/>
      <c r="O366" s="1"/>
      <c r="P366" s="3" t="s">
        <v>890</v>
      </c>
      <c r="Q366" s="5" t="s">
        <v>891</v>
      </c>
      <c r="R366" s="10"/>
    </row>
    <row r="367">
      <c r="A367" s="11" t="s">
        <v>892</v>
      </c>
      <c r="B367" s="8"/>
      <c r="C367" s="8"/>
      <c r="D367" s="8"/>
      <c r="E367" s="8"/>
      <c r="F367" s="12">
        <v>1.0</v>
      </c>
      <c r="G367" s="12">
        <v>1.0</v>
      </c>
      <c r="H367" s="12">
        <v>1.0</v>
      </c>
      <c r="I367" s="12">
        <v>1.0</v>
      </c>
      <c r="J367" s="12">
        <v>1.0</v>
      </c>
      <c r="K367" s="12">
        <v>1.0</v>
      </c>
      <c r="L367" s="2"/>
      <c r="M367" s="12">
        <v>1.0</v>
      </c>
      <c r="N367" s="12">
        <v>1.0</v>
      </c>
      <c r="O367" s="12">
        <v>1.0</v>
      </c>
      <c r="P367" s="12">
        <v>1.0</v>
      </c>
      <c r="Q367" s="5"/>
      <c r="R367" s="10">
        <f>sum(F367:K367,M367:P367)/(COUNTIF(B367:P367, 1) + (COUNTIF(B367:P367, 0)) + COUNTIF(B367:P367, 0.5))</f>
        <v>1</v>
      </c>
    </row>
    <row r="368">
      <c r="A368" s="7">
        <v>35.0</v>
      </c>
      <c r="B368" s="8">
        <v>2060.0</v>
      </c>
      <c r="C368" s="8">
        <v>57.0</v>
      </c>
      <c r="D368" s="8">
        <v>36.5</v>
      </c>
      <c r="E368" s="8">
        <v>-118.167</v>
      </c>
      <c r="F368" s="1"/>
      <c r="G368" s="1"/>
      <c r="H368" s="3" t="s">
        <v>893</v>
      </c>
      <c r="I368" s="3" t="s">
        <v>894</v>
      </c>
      <c r="J368" s="3" t="s">
        <v>895</v>
      </c>
      <c r="K368" s="1"/>
      <c r="L368" s="2" t="s">
        <v>114</v>
      </c>
      <c r="M368" s="23">
        <v>15146.0</v>
      </c>
      <c r="N368" s="3" t="s">
        <v>855</v>
      </c>
      <c r="O368" s="1"/>
      <c r="P368" s="3" t="s">
        <v>251</v>
      </c>
      <c r="Q368" s="5" t="s">
        <v>861</v>
      </c>
      <c r="R368" s="10"/>
    </row>
    <row r="369">
      <c r="A369" s="11" t="s">
        <v>896</v>
      </c>
      <c r="B369" s="8"/>
      <c r="C369" s="8"/>
      <c r="D369" s="8"/>
      <c r="E369" s="8"/>
      <c r="F369" s="12">
        <v>1.0</v>
      </c>
      <c r="G369" s="12">
        <v>1.0</v>
      </c>
      <c r="H369" s="12">
        <v>1.0</v>
      </c>
      <c r="I369" s="12">
        <v>1.0</v>
      </c>
      <c r="J369" s="12">
        <v>1.0</v>
      </c>
      <c r="K369" s="12">
        <v>1.0</v>
      </c>
      <c r="L369" s="2"/>
      <c r="M369" s="11">
        <v>1.0</v>
      </c>
      <c r="N369" s="12">
        <v>1.0</v>
      </c>
      <c r="O369" s="12">
        <v>1.0</v>
      </c>
      <c r="P369" s="12">
        <v>1.0</v>
      </c>
      <c r="Q369" s="5"/>
      <c r="R369" s="10">
        <f>sum(F369:K369,M369:P369)/(COUNTIF(B369:P369, 1) + (COUNTIF(B369:P369, 0)) + COUNTIF(B369:P369, 0.5))</f>
        <v>1</v>
      </c>
    </row>
    <row r="370">
      <c r="A370" s="7">
        <v>36.0</v>
      </c>
      <c r="B370" s="8">
        <v>2060.0</v>
      </c>
      <c r="C370" s="8">
        <v>57.0</v>
      </c>
      <c r="D370" s="8">
        <v>36.5</v>
      </c>
      <c r="E370" s="8">
        <v>-118.167</v>
      </c>
      <c r="F370" s="1"/>
      <c r="G370" s="1"/>
      <c r="H370" s="3" t="s">
        <v>897</v>
      </c>
      <c r="I370" s="3" t="s">
        <v>898</v>
      </c>
      <c r="J370" s="3" t="s">
        <v>899</v>
      </c>
      <c r="K370" s="1"/>
      <c r="L370" s="2" t="s">
        <v>114</v>
      </c>
      <c r="M370" s="3" t="s">
        <v>900</v>
      </c>
      <c r="N370" s="3" t="s">
        <v>855</v>
      </c>
      <c r="O370" s="1"/>
      <c r="P370" s="3" t="s">
        <v>56</v>
      </c>
      <c r="Q370" s="5" t="s">
        <v>901</v>
      </c>
      <c r="R370" s="10"/>
    </row>
    <row r="371">
      <c r="A371" s="11" t="s">
        <v>902</v>
      </c>
      <c r="B371" s="8"/>
      <c r="C371" s="8"/>
      <c r="D371" s="8"/>
      <c r="E371" s="8"/>
      <c r="F371" s="12">
        <v>1.0</v>
      </c>
      <c r="G371" s="12">
        <v>1.0</v>
      </c>
      <c r="H371" s="12">
        <v>1.0</v>
      </c>
      <c r="I371" s="12">
        <v>1.0</v>
      </c>
      <c r="J371" s="12">
        <v>1.0</v>
      </c>
      <c r="K371" s="12">
        <v>1.0</v>
      </c>
      <c r="L371" s="2"/>
      <c r="M371" s="12">
        <v>1.0</v>
      </c>
      <c r="N371" s="12">
        <v>1.0</v>
      </c>
      <c r="O371" s="12">
        <v>1.0</v>
      </c>
      <c r="P371" s="12">
        <v>1.0</v>
      </c>
      <c r="Q371" s="5"/>
      <c r="R371" s="10">
        <f>sum(F371:K371,M371:P371)/(COUNTIF(B371:P371, 1) + (COUNTIF(B371:P371, 0)) + COUNTIF(B371:P371, 0.5))</f>
        <v>1</v>
      </c>
    </row>
    <row r="372">
      <c r="A372" s="7">
        <v>37.0</v>
      </c>
      <c r="B372" s="8">
        <v>2060.0</v>
      </c>
      <c r="C372" s="8">
        <v>57.0</v>
      </c>
      <c r="D372" s="8">
        <v>36.5</v>
      </c>
      <c r="E372" s="8">
        <v>-118.167</v>
      </c>
      <c r="F372" s="1"/>
      <c r="G372" s="1"/>
      <c r="H372" s="3" t="s">
        <v>903</v>
      </c>
      <c r="I372" s="3" t="s">
        <v>904</v>
      </c>
      <c r="J372" s="3" t="s">
        <v>905</v>
      </c>
      <c r="K372" s="1"/>
      <c r="L372" s="2" t="s">
        <v>114</v>
      </c>
      <c r="M372" s="23">
        <v>15146.0</v>
      </c>
      <c r="N372" s="3" t="s">
        <v>855</v>
      </c>
      <c r="O372" s="1"/>
      <c r="P372" s="3" t="s">
        <v>890</v>
      </c>
      <c r="Q372" s="5" t="s">
        <v>906</v>
      </c>
      <c r="R372" s="10"/>
    </row>
    <row r="373">
      <c r="A373" s="11" t="s">
        <v>907</v>
      </c>
      <c r="B373" s="8"/>
      <c r="C373" s="8"/>
      <c r="D373" s="8"/>
      <c r="E373" s="8"/>
      <c r="F373" s="12">
        <v>1.0</v>
      </c>
      <c r="G373" s="12">
        <v>1.0</v>
      </c>
      <c r="H373" s="12">
        <v>1.0</v>
      </c>
      <c r="I373" s="12">
        <v>1.0</v>
      </c>
      <c r="J373" s="12">
        <v>1.0</v>
      </c>
      <c r="K373" s="12">
        <v>1.0</v>
      </c>
      <c r="L373" s="2"/>
      <c r="M373" s="11">
        <v>0.5</v>
      </c>
      <c r="N373" s="12">
        <v>1.0</v>
      </c>
      <c r="O373" s="12">
        <v>1.0</v>
      </c>
      <c r="P373" s="12">
        <v>1.0</v>
      </c>
      <c r="Q373" s="5"/>
      <c r="R373" s="10">
        <f>sum(F373:K373,M373:P373)/(COUNTIF(B373:P373, 1) + (COUNTIF(B373:P373, 0)) + COUNTIF(B373:P373, 0.5))</f>
        <v>0.95</v>
      </c>
    </row>
    <row r="374">
      <c r="A374" s="7">
        <v>38.0</v>
      </c>
      <c r="B374" s="8">
        <v>2060.0</v>
      </c>
      <c r="C374" s="8">
        <v>57.0</v>
      </c>
      <c r="D374" s="8">
        <v>36.5</v>
      </c>
      <c r="E374" s="8">
        <v>-118.083</v>
      </c>
      <c r="F374" s="1"/>
      <c r="G374" s="1"/>
      <c r="H374" s="3" t="s">
        <v>908</v>
      </c>
      <c r="I374" s="3" t="s">
        <v>909</v>
      </c>
      <c r="J374" s="3" t="s">
        <v>910</v>
      </c>
      <c r="K374" s="1"/>
      <c r="L374" s="2" t="s">
        <v>114</v>
      </c>
      <c r="M374" s="23">
        <v>15221.0</v>
      </c>
      <c r="N374" s="1"/>
      <c r="O374" s="1"/>
      <c r="P374" s="3" t="s">
        <v>890</v>
      </c>
      <c r="Q374" s="5" t="s">
        <v>911</v>
      </c>
      <c r="R374" s="10"/>
    </row>
    <row r="375">
      <c r="A375" s="11" t="s">
        <v>912</v>
      </c>
      <c r="B375" s="8"/>
      <c r="C375" s="8"/>
      <c r="D375" s="8"/>
      <c r="E375" s="8"/>
      <c r="F375" s="12">
        <v>1.0</v>
      </c>
      <c r="G375" s="12">
        <v>1.0</v>
      </c>
      <c r="H375" s="12">
        <v>1.0</v>
      </c>
      <c r="I375" s="12">
        <v>1.0</v>
      </c>
      <c r="J375" s="12">
        <v>1.0</v>
      </c>
      <c r="K375" s="12">
        <v>1.0</v>
      </c>
      <c r="L375" s="2"/>
      <c r="M375" s="11">
        <v>1.0</v>
      </c>
      <c r="N375" s="12">
        <v>1.0</v>
      </c>
      <c r="O375" s="12">
        <v>1.0</v>
      </c>
      <c r="P375" s="12">
        <v>1.0</v>
      </c>
      <c r="Q375" s="5"/>
      <c r="R375" s="10">
        <f>sum(F375:K375,M375:P375)/(COUNTIF(B375:P375, 1) + (COUNTIF(B375:P375, 0)) + COUNTIF(B375:P375, 0.5))</f>
        <v>1</v>
      </c>
    </row>
    <row r="376">
      <c r="A376" s="7">
        <v>39.0</v>
      </c>
      <c r="B376" s="8">
        <v>2060.0</v>
      </c>
      <c r="C376" s="8">
        <v>57.0</v>
      </c>
      <c r="D376" s="8">
        <v>36.5</v>
      </c>
      <c r="E376" s="8">
        <v>-118.083</v>
      </c>
      <c r="F376" s="1"/>
      <c r="G376" s="1"/>
      <c r="H376" s="3" t="s">
        <v>913</v>
      </c>
      <c r="I376" s="3" t="s">
        <v>914</v>
      </c>
      <c r="J376" s="3" t="s">
        <v>915</v>
      </c>
      <c r="K376" s="1"/>
      <c r="L376" s="2" t="s">
        <v>114</v>
      </c>
      <c r="M376" s="23">
        <v>15221.0</v>
      </c>
      <c r="N376" s="3" t="s">
        <v>855</v>
      </c>
      <c r="O376" s="1"/>
      <c r="P376" s="3" t="s">
        <v>251</v>
      </c>
      <c r="Q376" s="5" t="s">
        <v>861</v>
      </c>
      <c r="R376" s="10"/>
    </row>
    <row r="377">
      <c r="A377" s="11" t="s">
        <v>916</v>
      </c>
      <c r="B377" s="8"/>
      <c r="C377" s="8"/>
      <c r="D377" s="8"/>
      <c r="E377" s="8"/>
      <c r="F377" s="12">
        <v>1.0</v>
      </c>
      <c r="G377" s="12">
        <v>1.0</v>
      </c>
      <c r="H377" s="12">
        <v>1.0</v>
      </c>
      <c r="I377" s="12">
        <v>1.0</v>
      </c>
      <c r="J377" s="12">
        <v>1.0</v>
      </c>
      <c r="K377" s="12">
        <v>1.0</v>
      </c>
      <c r="L377" s="2"/>
      <c r="M377" s="11">
        <v>1.0</v>
      </c>
      <c r="N377" s="12">
        <v>1.0</v>
      </c>
      <c r="O377" s="12">
        <v>1.0</v>
      </c>
      <c r="P377" s="12">
        <v>1.0</v>
      </c>
      <c r="Q377" s="5"/>
      <c r="R377" s="10">
        <f>sum(F377:K377,M377:P377)/(COUNTIF(B377:P377, 1) + (COUNTIF(B377:P377, 0)) + COUNTIF(B377:P377, 0.5))</f>
        <v>1</v>
      </c>
    </row>
    <row r="378">
      <c r="A378" s="7">
        <v>40.0</v>
      </c>
      <c r="B378" s="8">
        <v>2060.0</v>
      </c>
      <c r="C378" s="8">
        <v>57.0</v>
      </c>
      <c r="D378" s="8">
        <v>36.5</v>
      </c>
      <c r="E378" s="8">
        <v>-118.083</v>
      </c>
      <c r="F378" s="1"/>
      <c r="G378" s="1"/>
      <c r="H378" s="3" t="s">
        <v>917</v>
      </c>
      <c r="I378" s="3" t="s">
        <v>918</v>
      </c>
      <c r="J378" s="3" t="s">
        <v>853</v>
      </c>
      <c r="K378" s="1"/>
      <c r="L378" s="2" t="s">
        <v>114</v>
      </c>
      <c r="M378" s="1"/>
      <c r="N378" s="1"/>
      <c r="O378" s="1"/>
      <c r="P378" s="3" t="s">
        <v>56</v>
      </c>
      <c r="Q378" s="5" t="s">
        <v>919</v>
      </c>
      <c r="R378" s="10"/>
    </row>
    <row r="379">
      <c r="A379" s="11" t="s">
        <v>920</v>
      </c>
      <c r="B379" s="8"/>
      <c r="C379" s="8"/>
      <c r="D379" s="8"/>
      <c r="E379" s="8"/>
      <c r="F379" s="12">
        <v>1.0</v>
      </c>
      <c r="G379" s="12">
        <v>1.0</v>
      </c>
      <c r="H379" s="12">
        <v>1.0</v>
      </c>
      <c r="I379" s="12">
        <v>1.0</v>
      </c>
      <c r="J379" s="12">
        <v>1.0</v>
      </c>
      <c r="K379" s="12">
        <v>1.0</v>
      </c>
      <c r="L379" s="2"/>
      <c r="M379" s="12">
        <v>0.5</v>
      </c>
      <c r="N379" s="12">
        <v>1.0</v>
      </c>
      <c r="O379" s="12">
        <v>1.0</v>
      </c>
      <c r="P379" s="12">
        <v>1.0</v>
      </c>
      <c r="Q379" s="5"/>
      <c r="R379" s="10">
        <f>sum(F379:K379,M379:P379)/(COUNTIF(B379:P379, 1) + (COUNTIF(B379:P379, 0)) + COUNTIF(B379:P379, 0.5))</f>
        <v>0.95</v>
      </c>
    </row>
    <row r="380">
      <c r="A380" s="7">
        <v>41.0</v>
      </c>
      <c r="B380" s="8">
        <v>2060.0</v>
      </c>
      <c r="C380" s="8">
        <v>57.0</v>
      </c>
      <c r="D380" s="8">
        <v>36.5</v>
      </c>
      <c r="E380" s="8">
        <v>-118.083</v>
      </c>
      <c r="F380" s="1"/>
      <c r="G380" s="1"/>
      <c r="H380" s="3" t="s">
        <v>921</v>
      </c>
      <c r="I380" s="3" t="s">
        <v>922</v>
      </c>
      <c r="J380" s="3" t="s">
        <v>923</v>
      </c>
      <c r="K380" s="1"/>
      <c r="L380" s="2" t="s">
        <v>114</v>
      </c>
      <c r="M380" s="23">
        <v>15144.0</v>
      </c>
      <c r="N380" s="3" t="s">
        <v>855</v>
      </c>
      <c r="O380" s="1"/>
      <c r="P380" s="3" t="s">
        <v>890</v>
      </c>
      <c r="Q380" s="5" t="s">
        <v>924</v>
      </c>
      <c r="R380" s="10"/>
    </row>
    <row r="381">
      <c r="A381" s="11" t="s">
        <v>925</v>
      </c>
      <c r="B381" s="8"/>
      <c r="C381" s="8"/>
      <c r="D381" s="8"/>
      <c r="E381" s="8"/>
      <c r="F381" s="12">
        <v>1.0</v>
      </c>
      <c r="G381" s="12">
        <v>1.0</v>
      </c>
      <c r="H381" s="12">
        <v>1.0</v>
      </c>
      <c r="I381" s="12">
        <v>1.0</v>
      </c>
      <c r="J381" s="12">
        <v>1.0</v>
      </c>
      <c r="K381" s="12">
        <v>1.0</v>
      </c>
      <c r="L381" s="2"/>
      <c r="M381" s="11">
        <v>1.0</v>
      </c>
      <c r="N381" s="12">
        <v>1.0</v>
      </c>
      <c r="O381" s="12">
        <v>1.0</v>
      </c>
      <c r="P381" s="12">
        <v>1.0</v>
      </c>
      <c r="Q381" s="5"/>
      <c r="R381" s="10">
        <f>sum(F381:K381,M381:P381)/(COUNTIF(B381:P381, 1) + (COUNTIF(B381:P381, 0)) + COUNTIF(B381:P381, 0.5))</f>
        <v>1</v>
      </c>
    </row>
    <row r="382">
      <c r="A382" s="7">
        <v>42.0</v>
      </c>
      <c r="B382" s="8">
        <v>2060.0</v>
      </c>
      <c r="C382" s="8">
        <v>57.0</v>
      </c>
      <c r="D382" s="8">
        <v>36.5</v>
      </c>
      <c r="E382" s="8">
        <v>-118.0</v>
      </c>
      <c r="F382" s="1"/>
      <c r="G382" s="1"/>
      <c r="H382" s="3" t="s">
        <v>926</v>
      </c>
      <c r="I382" s="3" t="s">
        <v>927</v>
      </c>
      <c r="J382" s="3" t="s">
        <v>928</v>
      </c>
      <c r="K382" s="1"/>
      <c r="L382" s="2" t="s">
        <v>114</v>
      </c>
      <c r="M382" s="23">
        <v>11886.0</v>
      </c>
      <c r="N382" s="3" t="s">
        <v>855</v>
      </c>
      <c r="O382" s="1"/>
      <c r="P382" s="3" t="s">
        <v>251</v>
      </c>
      <c r="Q382" s="5" t="s">
        <v>861</v>
      </c>
      <c r="R382" s="10"/>
    </row>
    <row r="383">
      <c r="A383" s="11" t="s">
        <v>929</v>
      </c>
      <c r="B383" s="8"/>
      <c r="C383" s="8"/>
      <c r="D383" s="8"/>
      <c r="E383" s="8"/>
      <c r="F383" s="12">
        <v>1.0</v>
      </c>
      <c r="G383" s="12">
        <v>1.0</v>
      </c>
      <c r="H383" s="12">
        <v>1.0</v>
      </c>
      <c r="I383" s="12">
        <v>1.0</v>
      </c>
      <c r="J383" s="12">
        <v>1.0</v>
      </c>
      <c r="K383" s="12">
        <v>1.0</v>
      </c>
      <c r="L383" s="2"/>
      <c r="M383" s="11">
        <v>1.0</v>
      </c>
      <c r="N383" s="12">
        <v>1.0</v>
      </c>
      <c r="O383" s="12">
        <v>1.0</v>
      </c>
      <c r="P383" s="12">
        <v>1.0</v>
      </c>
      <c r="Q383" s="5"/>
      <c r="R383" s="10">
        <f>sum(F383:K383,M383:P383)/(COUNTIF(B383:P383, 1) + (COUNTIF(B383:P383, 0)) + COUNTIF(B383:P383, 0.5))</f>
        <v>1</v>
      </c>
    </row>
    <row r="384">
      <c r="A384" s="7">
        <v>43.0</v>
      </c>
      <c r="B384" s="8">
        <v>2060.0</v>
      </c>
      <c r="C384" s="8">
        <v>57.0</v>
      </c>
      <c r="D384" s="8">
        <v>36.5</v>
      </c>
      <c r="E384" s="8">
        <v>-118.0</v>
      </c>
      <c r="F384" s="12"/>
      <c r="G384" s="12"/>
      <c r="H384" s="3" t="s">
        <v>930</v>
      </c>
      <c r="I384" s="3" t="s">
        <v>931</v>
      </c>
      <c r="J384" s="3" t="s">
        <v>932</v>
      </c>
      <c r="K384" s="12"/>
      <c r="L384" s="2" t="s">
        <v>114</v>
      </c>
      <c r="M384" s="23">
        <v>15223.0</v>
      </c>
      <c r="N384" s="3" t="s">
        <v>855</v>
      </c>
      <c r="O384" s="12"/>
      <c r="P384" s="3" t="s">
        <v>890</v>
      </c>
      <c r="Q384" s="5" t="s">
        <v>933</v>
      </c>
      <c r="R384" s="10"/>
    </row>
    <row r="385">
      <c r="A385" s="11" t="s">
        <v>934</v>
      </c>
      <c r="B385" s="8"/>
      <c r="C385" s="8"/>
      <c r="D385" s="8"/>
      <c r="E385" s="8"/>
      <c r="F385" s="12">
        <v>1.0</v>
      </c>
      <c r="G385" s="12">
        <v>1.0</v>
      </c>
      <c r="H385" s="12">
        <v>1.0</v>
      </c>
      <c r="I385" s="12">
        <v>1.0</v>
      </c>
      <c r="J385" s="12">
        <v>1.0</v>
      </c>
      <c r="K385" s="12">
        <v>1.0</v>
      </c>
      <c r="L385" s="2"/>
      <c r="M385" s="11">
        <v>1.0</v>
      </c>
      <c r="N385" s="12">
        <v>1.0</v>
      </c>
      <c r="O385" s="12">
        <v>1.0</v>
      </c>
      <c r="P385" s="12">
        <v>1.0</v>
      </c>
      <c r="Q385" s="5"/>
      <c r="R385" s="10">
        <f>sum(F385:K385,M385:P385)/(COUNTIF(B385:P385, 1) + (COUNTIF(B385:P385, 0)) + COUNTIF(B385:P385, 0.5))</f>
        <v>1</v>
      </c>
    </row>
    <row r="386">
      <c r="A386" s="7">
        <v>44.0</v>
      </c>
      <c r="B386" s="8">
        <v>2060.0</v>
      </c>
      <c r="C386" s="8">
        <v>57.0</v>
      </c>
      <c r="D386" s="8">
        <v>36.5</v>
      </c>
      <c r="E386" s="8">
        <v>-118.0</v>
      </c>
      <c r="F386" s="12"/>
      <c r="G386" s="12"/>
      <c r="H386" s="3" t="s">
        <v>935</v>
      </c>
      <c r="I386" s="3" t="s">
        <v>936</v>
      </c>
      <c r="J386" s="3" t="s">
        <v>937</v>
      </c>
      <c r="K386" s="12"/>
      <c r="L386" s="2" t="s">
        <v>114</v>
      </c>
      <c r="M386" s="23">
        <v>15223.0</v>
      </c>
      <c r="N386" s="3" t="s">
        <v>855</v>
      </c>
      <c r="O386" s="12"/>
      <c r="P386" s="3" t="s">
        <v>56</v>
      </c>
      <c r="Q386" s="5" t="s">
        <v>938</v>
      </c>
      <c r="R386" s="10"/>
    </row>
    <row r="387">
      <c r="A387" s="11" t="s">
        <v>939</v>
      </c>
      <c r="B387" s="8"/>
      <c r="C387" s="8"/>
      <c r="D387" s="8"/>
      <c r="E387" s="8"/>
      <c r="F387" s="12">
        <v>1.0</v>
      </c>
      <c r="G387" s="12">
        <v>1.0</v>
      </c>
      <c r="H387" s="12">
        <v>1.0</v>
      </c>
      <c r="I387" s="12">
        <v>0.5</v>
      </c>
      <c r="J387" s="12">
        <v>1.0</v>
      </c>
      <c r="K387" s="12">
        <v>1.0</v>
      </c>
      <c r="L387" s="2"/>
      <c r="M387" s="11">
        <v>1.0</v>
      </c>
      <c r="N387" s="12">
        <v>1.0</v>
      </c>
      <c r="O387" s="12">
        <v>1.0</v>
      </c>
      <c r="P387" s="12">
        <v>1.0</v>
      </c>
      <c r="Q387" s="5"/>
      <c r="R387" s="10">
        <f>sum(F387:K387,M387:P387)/(COUNTIF(B387:P387, 1) + (COUNTIF(B387:P387, 0)) + COUNTIF(B387:P387, 0.5))</f>
        <v>0.95</v>
      </c>
    </row>
    <row r="388">
      <c r="A388" s="7">
        <v>252.0</v>
      </c>
      <c r="B388" s="8">
        <v>2060.0</v>
      </c>
      <c r="C388" s="8">
        <v>75.0</v>
      </c>
      <c r="D388" s="8">
        <v>38.31667</v>
      </c>
      <c r="E388" s="8">
        <v>-121.617</v>
      </c>
      <c r="F388" s="1"/>
      <c r="G388" s="1"/>
      <c r="H388" s="3" t="s">
        <v>940</v>
      </c>
      <c r="I388" s="3" t="s">
        <v>941</v>
      </c>
      <c r="J388" s="3" t="s">
        <v>942</v>
      </c>
      <c r="K388" s="1"/>
      <c r="L388" s="2" t="s">
        <v>273</v>
      </c>
      <c r="M388" s="3" t="s">
        <v>943</v>
      </c>
      <c r="N388" s="3" t="s">
        <v>249</v>
      </c>
      <c r="O388" s="4" t="s">
        <v>944</v>
      </c>
      <c r="P388" s="3" t="s">
        <v>56</v>
      </c>
      <c r="Q388" s="5" t="s">
        <v>945</v>
      </c>
      <c r="R388" s="10"/>
    </row>
    <row r="389">
      <c r="A389" s="11" t="s">
        <v>946</v>
      </c>
      <c r="B389" s="8"/>
      <c r="C389" s="8"/>
      <c r="D389" s="8"/>
      <c r="E389" s="8"/>
      <c r="F389" s="12">
        <v>1.0</v>
      </c>
      <c r="G389" s="12">
        <v>1.0</v>
      </c>
      <c r="H389" s="12">
        <v>0.0</v>
      </c>
      <c r="I389" s="12">
        <v>0.0</v>
      </c>
      <c r="J389" s="12">
        <v>1.0</v>
      </c>
      <c r="K389" s="12">
        <v>1.0</v>
      </c>
      <c r="L389" s="2"/>
      <c r="M389" s="12">
        <v>1.0</v>
      </c>
      <c r="N389" s="12">
        <v>1.0</v>
      </c>
      <c r="O389" s="13">
        <v>0.0</v>
      </c>
      <c r="P389" s="12">
        <v>1.0</v>
      </c>
      <c r="Q389" s="5"/>
      <c r="R389" s="10">
        <f>sum(F389:K389,M389:P389)/(COUNTIF(B389:P389, 1) + (COUNTIF(B389:P389, 0)) + COUNTIF(B389:P389, 0.5))</f>
        <v>0.7</v>
      </c>
    </row>
    <row r="390">
      <c r="A390" s="7">
        <v>253.0</v>
      </c>
      <c r="B390" s="8">
        <v>2060.0</v>
      </c>
      <c r="C390" s="8">
        <v>75.0</v>
      </c>
      <c r="D390" s="8">
        <v>38.31667</v>
      </c>
      <c r="E390" s="8">
        <v>-121.617</v>
      </c>
      <c r="F390" s="1"/>
      <c r="G390" s="1"/>
      <c r="H390" s="3" t="s">
        <v>940</v>
      </c>
      <c r="I390" s="3" t="s">
        <v>947</v>
      </c>
      <c r="J390" s="3" t="s">
        <v>948</v>
      </c>
      <c r="K390" s="1"/>
      <c r="L390" s="2" t="s">
        <v>273</v>
      </c>
      <c r="M390" s="3" t="s">
        <v>949</v>
      </c>
      <c r="N390" s="3" t="s">
        <v>249</v>
      </c>
      <c r="O390" s="4" t="s">
        <v>944</v>
      </c>
      <c r="P390" s="3" t="s">
        <v>56</v>
      </c>
      <c r="Q390" s="5" t="s">
        <v>945</v>
      </c>
      <c r="R390" s="10"/>
    </row>
    <row r="391">
      <c r="A391" s="11" t="s">
        <v>950</v>
      </c>
      <c r="B391" s="8"/>
      <c r="C391" s="8"/>
      <c r="D391" s="8"/>
      <c r="E391" s="8"/>
      <c r="F391" s="12">
        <v>1.0</v>
      </c>
      <c r="G391" s="12">
        <v>1.0</v>
      </c>
      <c r="H391" s="12">
        <v>0.0</v>
      </c>
      <c r="I391" s="12">
        <v>0.0</v>
      </c>
      <c r="J391" s="12">
        <v>1.0</v>
      </c>
      <c r="K391" s="12">
        <v>1.0</v>
      </c>
      <c r="L391" s="2"/>
      <c r="M391" s="12">
        <v>1.0</v>
      </c>
      <c r="N391" s="12">
        <v>1.0</v>
      </c>
      <c r="O391" s="13">
        <v>0.0</v>
      </c>
      <c r="P391" s="12">
        <v>1.0</v>
      </c>
      <c r="Q391" s="5"/>
      <c r="R391" s="10">
        <f>sum(F391:K391,M391:P391)/(COUNTIF(B391:P391, 1) + (COUNTIF(B391:P391, 0)) + COUNTIF(B391:P391, 0.5))</f>
        <v>0.7</v>
      </c>
    </row>
    <row r="392">
      <c r="A392" s="7">
        <v>254.0</v>
      </c>
      <c r="B392" s="8">
        <v>2060.0</v>
      </c>
      <c r="C392" s="8">
        <v>75.0</v>
      </c>
      <c r="D392" s="8">
        <v>38.31667</v>
      </c>
      <c r="E392" s="8">
        <v>-121.617</v>
      </c>
      <c r="F392" s="1"/>
      <c r="G392" s="1"/>
      <c r="H392" s="3" t="s">
        <v>951</v>
      </c>
      <c r="I392" s="3" t="s">
        <v>947</v>
      </c>
      <c r="J392" s="3" t="s">
        <v>952</v>
      </c>
      <c r="K392" s="1"/>
      <c r="L392" s="2" t="s">
        <v>273</v>
      </c>
      <c r="M392" s="3" t="s">
        <v>953</v>
      </c>
      <c r="N392" s="3" t="s">
        <v>249</v>
      </c>
      <c r="O392" s="4" t="s">
        <v>944</v>
      </c>
      <c r="P392" s="3" t="s">
        <v>56</v>
      </c>
      <c r="Q392" s="5" t="s">
        <v>945</v>
      </c>
      <c r="R392" s="10"/>
    </row>
    <row r="393">
      <c r="A393" s="11" t="s">
        <v>954</v>
      </c>
      <c r="B393" s="8"/>
      <c r="C393" s="8"/>
      <c r="D393" s="8"/>
      <c r="E393" s="8"/>
      <c r="F393" s="12">
        <v>1.0</v>
      </c>
      <c r="G393" s="12">
        <v>1.0</v>
      </c>
      <c r="H393" s="12">
        <v>1.0</v>
      </c>
      <c r="I393" s="12">
        <v>0.0</v>
      </c>
      <c r="J393" s="12">
        <v>1.0</v>
      </c>
      <c r="K393" s="12">
        <v>1.0</v>
      </c>
      <c r="L393" s="2"/>
      <c r="M393" s="12">
        <v>0.5</v>
      </c>
      <c r="N393" s="12">
        <v>1.0</v>
      </c>
      <c r="O393" s="13">
        <v>0.0</v>
      </c>
      <c r="P393" s="12">
        <v>1.0</v>
      </c>
      <c r="Q393" s="5"/>
      <c r="R393" s="10">
        <f>sum(F393:K393,M393:P393)/(COUNTIF(B393:P393, 1) + (COUNTIF(B393:P393, 0)) + COUNTIF(B393:P393, 0.5))</f>
        <v>0.75</v>
      </c>
    </row>
    <row r="394">
      <c r="A394" s="7">
        <v>255.0</v>
      </c>
      <c r="B394" s="8">
        <v>2060.0</v>
      </c>
      <c r="C394" s="8">
        <v>75.0</v>
      </c>
      <c r="D394" s="8">
        <v>38.31667</v>
      </c>
      <c r="E394" s="8">
        <v>-121.617</v>
      </c>
      <c r="F394" s="1"/>
      <c r="G394" s="1"/>
      <c r="H394" s="3" t="s">
        <v>940</v>
      </c>
      <c r="I394" s="3" t="s">
        <v>947</v>
      </c>
      <c r="J394" s="3" t="s">
        <v>955</v>
      </c>
      <c r="K394" s="1"/>
      <c r="L394" s="2" t="s">
        <v>273</v>
      </c>
      <c r="M394" s="3" t="s">
        <v>956</v>
      </c>
      <c r="N394" s="3" t="s">
        <v>249</v>
      </c>
      <c r="O394" s="4" t="s">
        <v>944</v>
      </c>
      <c r="P394" s="3" t="s">
        <v>24</v>
      </c>
      <c r="Q394" s="5" t="s">
        <v>957</v>
      </c>
      <c r="R394" s="10"/>
    </row>
    <row r="395">
      <c r="A395" s="11" t="s">
        <v>958</v>
      </c>
      <c r="B395" s="8"/>
      <c r="C395" s="8"/>
      <c r="D395" s="8"/>
      <c r="E395" s="8"/>
      <c r="F395" s="12">
        <v>1.0</v>
      </c>
      <c r="G395" s="12">
        <v>1.0</v>
      </c>
      <c r="H395" s="12">
        <v>0.0</v>
      </c>
      <c r="I395" s="12">
        <v>0.0</v>
      </c>
      <c r="J395" s="12">
        <v>1.0</v>
      </c>
      <c r="K395" s="12">
        <v>1.0</v>
      </c>
      <c r="L395" s="2"/>
      <c r="M395" s="12">
        <v>0.0</v>
      </c>
      <c r="N395" s="12">
        <v>1.0</v>
      </c>
      <c r="O395" s="13">
        <v>0.0</v>
      </c>
      <c r="P395" s="12">
        <v>1.0</v>
      </c>
      <c r="Q395" s="5"/>
      <c r="R395" s="10">
        <f>sum(F395:K395,M395:P395)/(COUNTIF(B395:P395, 1) + (COUNTIF(B395:P395, 0)) + COUNTIF(B395:P395, 0.5))</f>
        <v>0.6</v>
      </c>
    </row>
    <row r="396">
      <c r="A396" s="7">
        <v>256.0</v>
      </c>
      <c r="B396" s="8">
        <v>2060.0</v>
      </c>
      <c r="C396" s="8">
        <v>75.0</v>
      </c>
      <c r="D396" s="8">
        <v>38.31667</v>
      </c>
      <c r="E396" s="8">
        <v>-121.617</v>
      </c>
      <c r="F396" s="1"/>
      <c r="G396" s="1"/>
      <c r="H396" s="3" t="s">
        <v>940</v>
      </c>
      <c r="I396" s="3" t="s">
        <v>947</v>
      </c>
      <c r="J396" s="3" t="s">
        <v>959</v>
      </c>
      <c r="K396" s="1"/>
      <c r="L396" s="2" t="s">
        <v>273</v>
      </c>
      <c r="M396" s="3" t="s">
        <v>249</v>
      </c>
      <c r="N396" s="3" t="s">
        <v>249</v>
      </c>
      <c r="O396" s="4" t="s">
        <v>944</v>
      </c>
      <c r="P396" s="3" t="s">
        <v>56</v>
      </c>
      <c r="Q396" s="5" t="s">
        <v>960</v>
      </c>
      <c r="R396" s="10"/>
    </row>
    <row r="397">
      <c r="A397" s="11" t="s">
        <v>961</v>
      </c>
      <c r="B397" s="8"/>
      <c r="C397" s="8"/>
      <c r="D397" s="8"/>
      <c r="E397" s="8"/>
      <c r="F397" s="12">
        <v>1.0</v>
      </c>
      <c r="G397" s="12">
        <v>1.0</v>
      </c>
      <c r="H397" s="12">
        <v>1.0</v>
      </c>
      <c r="I397" s="12">
        <v>0.0</v>
      </c>
      <c r="J397" s="12">
        <v>1.0</v>
      </c>
      <c r="K397" s="12">
        <v>1.0</v>
      </c>
      <c r="L397" s="2"/>
      <c r="M397" s="12">
        <v>1.0</v>
      </c>
      <c r="N397" s="12">
        <v>1.0</v>
      </c>
      <c r="O397" s="13">
        <v>0.0</v>
      </c>
      <c r="P397" s="12">
        <v>1.0</v>
      </c>
      <c r="Q397" s="5"/>
      <c r="R397" s="10">
        <f>sum(F397:K397,M397:P397)/(COUNTIF(B397:P397, 1) + (COUNTIF(B397:P397, 0)) + COUNTIF(B397:P397, 0.5))</f>
        <v>0.8</v>
      </c>
    </row>
    <row r="398">
      <c r="A398" s="7">
        <v>257.0</v>
      </c>
      <c r="B398" s="8">
        <v>2060.0</v>
      </c>
      <c r="C398" s="8">
        <v>75.0</v>
      </c>
      <c r="D398" s="8">
        <v>38.31667</v>
      </c>
      <c r="E398" s="8">
        <v>-121.617</v>
      </c>
      <c r="F398" s="1"/>
      <c r="G398" s="1"/>
      <c r="H398" s="3" t="s">
        <v>940</v>
      </c>
      <c r="I398" s="3" t="s">
        <v>947</v>
      </c>
      <c r="J398" s="3" t="s">
        <v>962</v>
      </c>
      <c r="K398" s="1"/>
      <c r="L398" s="2" t="s">
        <v>273</v>
      </c>
      <c r="M398" s="3" t="s">
        <v>249</v>
      </c>
      <c r="N398" s="3" t="s">
        <v>249</v>
      </c>
      <c r="O398" s="4" t="s">
        <v>944</v>
      </c>
      <c r="P398" s="3" t="s">
        <v>56</v>
      </c>
      <c r="Q398" s="5" t="s">
        <v>960</v>
      </c>
      <c r="R398" s="10"/>
    </row>
    <row r="399">
      <c r="A399" s="11" t="s">
        <v>963</v>
      </c>
      <c r="B399" s="8"/>
      <c r="C399" s="8"/>
      <c r="D399" s="8"/>
      <c r="E399" s="8"/>
      <c r="F399" s="12">
        <v>1.0</v>
      </c>
      <c r="G399" s="12">
        <v>1.0</v>
      </c>
      <c r="H399" s="12">
        <v>1.0</v>
      </c>
      <c r="I399" s="12">
        <v>0.0</v>
      </c>
      <c r="J399" s="12">
        <v>1.0</v>
      </c>
      <c r="K399" s="12">
        <v>1.0</v>
      </c>
      <c r="L399" s="2"/>
      <c r="M399" s="12">
        <v>1.0</v>
      </c>
      <c r="N399" s="12">
        <v>1.0</v>
      </c>
      <c r="O399" s="13">
        <v>0.0</v>
      </c>
      <c r="P399" s="12">
        <v>1.0</v>
      </c>
      <c r="Q399" s="5"/>
      <c r="R399" s="10">
        <f>sum(F399:K399,M399:P399)/(COUNTIF(B399:P399, 1) + (COUNTIF(B399:P399, 0)) + COUNTIF(B399:P399, 0.5))</f>
        <v>0.8</v>
      </c>
    </row>
    <row r="400">
      <c r="A400" s="7">
        <v>258.0</v>
      </c>
      <c r="B400" s="8">
        <v>2060.0</v>
      </c>
      <c r="C400" s="8">
        <v>75.0</v>
      </c>
      <c r="D400" s="8">
        <v>38.31667</v>
      </c>
      <c r="E400" s="8">
        <v>-121.617</v>
      </c>
      <c r="F400" s="1"/>
      <c r="G400" s="1"/>
      <c r="H400" s="3" t="s">
        <v>940</v>
      </c>
      <c r="I400" s="3" t="s">
        <v>947</v>
      </c>
      <c r="J400" s="3" t="s">
        <v>964</v>
      </c>
      <c r="K400" s="1"/>
      <c r="L400" s="2" t="s">
        <v>273</v>
      </c>
      <c r="M400" s="3" t="s">
        <v>965</v>
      </c>
      <c r="N400" s="3" t="s">
        <v>249</v>
      </c>
      <c r="O400" s="4" t="s">
        <v>944</v>
      </c>
      <c r="P400" s="3" t="s">
        <v>24</v>
      </c>
      <c r="Q400" s="5" t="s">
        <v>957</v>
      </c>
      <c r="R400" s="10"/>
    </row>
    <row r="401">
      <c r="A401" s="11" t="s">
        <v>966</v>
      </c>
      <c r="B401" s="8"/>
      <c r="C401" s="8"/>
      <c r="D401" s="8"/>
      <c r="E401" s="8"/>
      <c r="F401" s="12">
        <v>1.0</v>
      </c>
      <c r="G401" s="12">
        <v>1.0</v>
      </c>
      <c r="H401" s="12">
        <v>1.0</v>
      </c>
      <c r="I401" s="12">
        <v>0.0</v>
      </c>
      <c r="J401" s="12">
        <v>1.0</v>
      </c>
      <c r="K401" s="12">
        <v>1.0</v>
      </c>
      <c r="L401" s="2"/>
      <c r="M401" s="12">
        <v>1.0</v>
      </c>
      <c r="N401" s="12">
        <v>1.0</v>
      </c>
      <c r="O401" s="13">
        <v>0.0</v>
      </c>
      <c r="P401" s="12">
        <v>1.0</v>
      </c>
      <c r="Q401" s="5"/>
      <c r="R401" s="10">
        <f>sum(F401:K401,M401:P401)/(COUNTIF(B401:P401, 1) + (COUNTIF(B401:P401, 0)) + COUNTIF(B401:P401, 0.5))</f>
        <v>0.8</v>
      </c>
    </row>
    <row r="402">
      <c r="A402" s="7">
        <v>259.0</v>
      </c>
      <c r="B402" s="8">
        <v>2060.0</v>
      </c>
      <c r="C402" s="8">
        <v>75.0</v>
      </c>
      <c r="D402" s="8">
        <v>38.31667</v>
      </c>
      <c r="E402" s="8">
        <v>-121.617</v>
      </c>
      <c r="F402" s="1"/>
      <c r="G402" s="1"/>
      <c r="H402" s="3" t="s">
        <v>940</v>
      </c>
      <c r="I402" s="3" t="s">
        <v>967</v>
      </c>
      <c r="J402" s="3" t="s">
        <v>968</v>
      </c>
      <c r="K402" s="1"/>
      <c r="L402" s="2" t="s">
        <v>273</v>
      </c>
      <c r="M402" s="3" t="s">
        <v>969</v>
      </c>
      <c r="N402" s="3" t="s">
        <v>249</v>
      </c>
      <c r="O402" s="4" t="s">
        <v>944</v>
      </c>
      <c r="P402" s="3" t="s">
        <v>251</v>
      </c>
      <c r="Q402" s="5" t="s">
        <v>970</v>
      </c>
      <c r="R402" s="10"/>
    </row>
    <row r="403">
      <c r="A403" s="11" t="s">
        <v>971</v>
      </c>
      <c r="B403" s="8"/>
      <c r="C403" s="8"/>
      <c r="D403" s="8"/>
      <c r="E403" s="8"/>
      <c r="F403" s="12">
        <v>1.0</v>
      </c>
      <c r="G403" s="12">
        <v>1.0</v>
      </c>
      <c r="H403" s="12">
        <v>1.0</v>
      </c>
      <c r="I403" s="12">
        <v>0.0</v>
      </c>
      <c r="J403" s="12">
        <v>1.0</v>
      </c>
      <c r="K403" s="12">
        <v>1.0</v>
      </c>
      <c r="L403" s="2"/>
      <c r="M403" s="12">
        <v>1.0</v>
      </c>
      <c r="N403" s="12">
        <v>1.0</v>
      </c>
      <c r="O403" s="13">
        <v>0.0</v>
      </c>
      <c r="P403" s="12">
        <v>1.0</v>
      </c>
      <c r="Q403" s="5"/>
      <c r="R403" s="10">
        <f>sum(F403:K403,M403:P403)/(COUNTIF(B403:P403, 1) + (COUNTIF(B403:P403, 0)) + COUNTIF(B403:P403, 0.5))</f>
        <v>0.8</v>
      </c>
    </row>
    <row r="404">
      <c r="A404" s="7">
        <v>260.0</v>
      </c>
      <c r="B404" s="8">
        <v>2060.0</v>
      </c>
      <c r="C404" s="8">
        <v>75.0</v>
      </c>
      <c r="D404" s="8">
        <v>38.31667</v>
      </c>
      <c r="E404" s="8">
        <v>-121.617</v>
      </c>
      <c r="F404" s="1"/>
      <c r="G404" s="1"/>
      <c r="H404" s="3" t="s">
        <v>940</v>
      </c>
      <c r="I404" s="3" t="s">
        <v>967</v>
      </c>
      <c r="J404" s="3" t="s">
        <v>972</v>
      </c>
      <c r="K404" s="1"/>
      <c r="L404" s="2" t="s">
        <v>273</v>
      </c>
      <c r="M404" s="3" t="s">
        <v>969</v>
      </c>
      <c r="N404" s="3" t="s">
        <v>249</v>
      </c>
      <c r="O404" s="4" t="s">
        <v>944</v>
      </c>
      <c r="P404" s="3" t="s">
        <v>243</v>
      </c>
      <c r="Q404" s="5" t="s">
        <v>973</v>
      </c>
      <c r="R404" s="10"/>
    </row>
    <row r="405">
      <c r="A405" s="11" t="s">
        <v>974</v>
      </c>
      <c r="B405" s="8"/>
      <c r="C405" s="8"/>
      <c r="D405" s="8"/>
      <c r="E405" s="8"/>
      <c r="F405" s="12">
        <v>1.0</v>
      </c>
      <c r="G405" s="12">
        <v>1.0</v>
      </c>
      <c r="H405" s="12">
        <v>1.0</v>
      </c>
      <c r="I405" s="12">
        <v>0.0</v>
      </c>
      <c r="J405" s="12">
        <v>1.0</v>
      </c>
      <c r="K405" s="12">
        <v>1.0</v>
      </c>
      <c r="L405" s="2"/>
      <c r="M405" s="12">
        <v>1.0</v>
      </c>
      <c r="N405" s="12">
        <v>1.0</v>
      </c>
      <c r="O405" s="13">
        <v>0.0</v>
      </c>
      <c r="P405" s="12">
        <v>1.0</v>
      </c>
      <c r="Q405" s="5"/>
      <c r="R405" s="10">
        <f>sum(F405:K405,M405:P405)/(COUNTIF(B405:P405, 1) + (COUNTIF(B405:P405, 0)) + COUNTIF(B405:P405, 0.5))</f>
        <v>0.8</v>
      </c>
    </row>
    <row r="406">
      <c r="A406" s="7">
        <v>261.0</v>
      </c>
      <c r="B406" s="8">
        <v>2060.0</v>
      </c>
      <c r="C406" s="8">
        <v>75.0</v>
      </c>
      <c r="D406" s="8">
        <v>38.31667</v>
      </c>
      <c r="E406" s="8">
        <v>-121.617</v>
      </c>
      <c r="F406" s="1"/>
      <c r="G406" s="1"/>
      <c r="H406" s="3" t="s">
        <v>940</v>
      </c>
      <c r="I406" s="3" t="s">
        <v>967</v>
      </c>
      <c r="J406" s="3" t="s">
        <v>975</v>
      </c>
      <c r="K406" s="1"/>
      <c r="L406" s="2" t="s">
        <v>273</v>
      </c>
      <c r="M406" s="3" t="s">
        <v>976</v>
      </c>
      <c r="N406" s="3" t="s">
        <v>249</v>
      </c>
      <c r="O406" s="4" t="s">
        <v>944</v>
      </c>
      <c r="P406" s="3" t="s">
        <v>251</v>
      </c>
      <c r="Q406" s="5" t="s">
        <v>970</v>
      </c>
      <c r="R406" s="10"/>
    </row>
    <row r="407">
      <c r="A407" s="11" t="s">
        <v>977</v>
      </c>
      <c r="B407" s="8"/>
      <c r="C407" s="8"/>
      <c r="D407" s="8"/>
      <c r="E407" s="8"/>
      <c r="F407" s="12">
        <v>1.0</v>
      </c>
      <c r="G407" s="12">
        <v>1.0</v>
      </c>
      <c r="H407" s="12">
        <v>1.0</v>
      </c>
      <c r="I407" s="12">
        <v>0.0</v>
      </c>
      <c r="J407" s="12">
        <v>1.0</v>
      </c>
      <c r="K407" s="12">
        <v>1.0</v>
      </c>
      <c r="L407" s="2"/>
      <c r="M407" s="12">
        <v>1.0</v>
      </c>
      <c r="N407" s="12">
        <v>1.0</v>
      </c>
      <c r="O407" s="13">
        <v>0.0</v>
      </c>
      <c r="P407" s="12">
        <v>1.0</v>
      </c>
      <c r="Q407" s="5"/>
      <c r="R407" s="10">
        <f>sum(F407:K407,M407:P407)/(COUNTIF(B407:P407, 1) + (COUNTIF(B407:P407, 0)) + COUNTIF(B407:P407, 0.5))</f>
        <v>0.8</v>
      </c>
    </row>
    <row r="408">
      <c r="A408" s="7">
        <v>262.0</v>
      </c>
      <c r="B408" s="8">
        <v>2060.0</v>
      </c>
      <c r="C408" s="8">
        <v>75.0</v>
      </c>
      <c r="D408" s="8">
        <v>38.31667</v>
      </c>
      <c r="E408" s="8">
        <v>-121.617</v>
      </c>
      <c r="F408" s="1"/>
      <c r="G408" s="1"/>
      <c r="H408" s="3" t="s">
        <v>951</v>
      </c>
      <c r="I408" s="3" t="s">
        <v>967</v>
      </c>
      <c r="J408" s="25">
        <v>2300.0</v>
      </c>
      <c r="K408" s="1"/>
      <c r="L408" s="2" t="s">
        <v>273</v>
      </c>
      <c r="M408" s="3" t="s">
        <v>978</v>
      </c>
      <c r="N408" s="3" t="s">
        <v>249</v>
      </c>
      <c r="O408" s="4" t="s">
        <v>944</v>
      </c>
      <c r="P408" s="3" t="s">
        <v>56</v>
      </c>
      <c r="Q408" s="5" t="s">
        <v>960</v>
      </c>
      <c r="R408" s="10"/>
    </row>
    <row r="409">
      <c r="A409" s="11" t="s">
        <v>979</v>
      </c>
      <c r="B409" s="8"/>
      <c r="C409" s="8"/>
      <c r="D409" s="8"/>
      <c r="E409" s="8"/>
      <c r="F409" s="12">
        <v>1.0</v>
      </c>
      <c r="G409" s="12">
        <v>1.0</v>
      </c>
      <c r="H409" s="12">
        <v>1.0</v>
      </c>
      <c r="I409" s="12">
        <v>0.0</v>
      </c>
      <c r="J409" s="26">
        <v>0.5</v>
      </c>
      <c r="K409" s="12">
        <v>1.0</v>
      </c>
      <c r="L409" s="2"/>
      <c r="M409" s="12">
        <v>0.5</v>
      </c>
      <c r="N409" s="12">
        <v>1.0</v>
      </c>
      <c r="O409" s="13">
        <v>0.0</v>
      </c>
      <c r="P409" s="12">
        <v>1.0</v>
      </c>
      <c r="Q409" s="5"/>
      <c r="R409" s="10">
        <f>sum(F409:K409,M409:P409)/(COUNTIF(B409:P409, 1) + (COUNTIF(B409:P409, 0)) + COUNTIF(B409:P409, 0.5))</f>
        <v>0.7</v>
      </c>
    </row>
    <row r="410">
      <c r="A410" s="7">
        <v>263.0</v>
      </c>
      <c r="B410" s="8">
        <v>2060.0</v>
      </c>
      <c r="C410" s="8">
        <v>75.0</v>
      </c>
      <c r="D410" s="8">
        <v>38.31667</v>
      </c>
      <c r="E410" s="8">
        <v>-121.617</v>
      </c>
      <c r="F410" s="1"/>
      <c r="G410" s="1"/>
      <c r="H410" s="3" t="s">
        <v>951</v>
      </c>
      <c r="I410" s="3" t="s">
        <v>967</v>
      </c>
      <c r="J410" s="3" t="s">
        <v>980</v>
      </c>
      <c r="K410" s="1"/>
      <c r="L410" s="2" t="s">
        <v>273</v>
      </c>
      <c r="M410" s="3" t="s">
        <v>981</v>
      </c>
      <c r="N410" s="3" t="s">
        <v>249</v>
      </c>
      <c r="O410" s="4" t="s">
        <v>944</v>
      </c>
      <c r="P410" s="3" t="s">
        <v>56</v>
      </c>
      <c r="Q410" s="5" t="s">
        <v>960</v>
      </c>
      <c r="R410" s="10"/>
    </row>
    <row r="411">
      <c r="A411" s="11" t="s">
        <v>982</v>
      </c>
      <c r="B411" s="8"/>
      <c r="C411" s="8"/>
      <c r="D411" s="8"/>
      <c r="E411" s="8"/>
      <c r="F411" s="12">
        <v>1.0</v>
      </c>
      <c r="G411" s="12">
        <v>1.0</v>
      </c>
      <c r="H411" s="12">
        <v>1.0</v>
      </c>
      <c r="I411" s="12">
        <v>0.0</v>
      </c>
      <c r="J411" s="12">
        <v>1.0</v>
      </c>
      <c r="K411" s="12">
        <v>1.0</v>
      </c>
      <c r="L411" s="2"/>
      <c r="M411" s="12">
        <v>0.5</v>
      </c>
      <c r="N411" s="12">
        <v>1.0</v>
      </c>
      <c r="O411" s="13">
        <v>0.0</v>
      </c>
      <c r="P411" s="12">
        <v>1.0</v>
      </c>
      <c r="Q411" s="5"/>
      <c r="R411" s="10">
        <f>sum(F411:K411,M411:P411)/(COUNTIF(B411:P411, 1) + (COUNTIF(B411:P411, 0)) + COUNTIF(B411:P411, 0.5))</f>
        <v>0.75</v>
      </c>
    </row>
    <row r="412">
      <c r="A412" s="7">
        <v>264.0</v>
      </c>
      <c r="B412" s="8">
        <v>2060.0</v>
      </c>
      <c r="C412" s="8">
        <v>75.0</v>
      </c>
      <c r="D412" s="8">
        <v>38.31667</v>
      </c>
      <c r="E412" s="8">
        <v>-121.617</v>
      </c>
      <c r="F412" s="1"/>
      <c r="G412" s="1"/>
      <c r="H412" s="3" t="s">
        <v>951</v>
      </c>
      <c r="I412" s="3" t="s">
        <v>967</v>
      </c>
      <c r="J412" s="3" t="s">
        <v>983</v>
      </c>
      <c r="K412" s="1"/>
      <c r="L412" s="2" t="s">
        <v>273</v>
      </c>
      <c r="M412" s="3" t="s">
        <v>978</v>
      </c>
      <c r="N412" s="3" t="s">
        <v>249</v>
      </c>
      <c r="O412" s="4" t="s">
        <v>944</v>
      </c>
      <c r="P412" s="3" t="s">
        <v>24</v>
      </c>
      <c r="Q412" s="5" t="s">
        <v>957</v>
      </c>
      <c r="R412" s="10"/>
    </row>
    <row r="413">
      <c r="A413" s="11" t="s">
        <v>984</v>
      </c>
      <c r="B413" s="8"/>
      <c r="C413" s="8"/>
      <c r="D413" s="8"/>
      <c r="E413" s="8"/>
      <c r="F413" s="12">
        <v>1.0</v>
      </c>
      <c r="G413" s="12">
        <v>1.0</v>
      </c>
      <c r="H413" s="12">
        <v>1.0</v>
      </c>
      <c r="I413" s="12">
        <v>0.0</v>
      </c>
      <c r="J413" s="12">
        <v>1.0</v>
      </c>
      <c r="K413" s="12">
        <v>1.0</v>
      </c>
      <c r="L413" s="2"/>
      <c r="M413" s="12">
        <v>0.5</v>
      </c>
      <c r="N413" s="12">
        <v>1.0</v>
      </c>
      <c r="O413" s="13">
        <v>0.0</v>
      </c>
      <c r="P413" s="12">
        <v>1.0</v>
      </c>
      <c r="Q413" s="5"/>
      <c r="R413" s="10">
        <f>sum(F413:K413,M413:P413)/(COUNTIF(B413:P413, 1) + (COUNTIF(B413:P413, 0)) + COUNTIF(B413:P413, 0.5))</f>
        <v>0.75</v>
      </c>
    </row>
    <row r="414">
      <c r="A414" s="7">
        <v>265.0</v>
      </c>
      <c r="B414" s="8">
        <v>2060.0</v>
      </c>
      <c r="C414" s="8">
        <v>75.0</v>
      </c>
      <c r="D414" s="8">
        <v>38.31667</v>
      </c>
      <c r="E414" s="8">
        <v>-121.617</v>
      </c>
      <c r="F414" s="1"/>
      <c r="G414" s="1"/>
      <c r="H414" s="3" t="s">
        <v>940</v>
      </c>
      <c r="I414" s="3" t="s">
        <v>985</v>
      </c>
      <c r="J414" s="3" t="s">
        <v>986</v>
      </c>
      <c r="K414" s="1"/>
      <c r="L414" s="2" t="s">
        <v>273</v>
      </c>
      <c r="M414" s="3" t="s">
        <v>987</v>
      </c>
      <c r="N414" s="3" t="s">
        <v>249</v>
      </c>
      <c r="O414" s="4" t="s">
        <v>944</v>
      </c>
      <c r="P414" s="3" t="s">
        <v>251</v>
      </c>
      <c r="Q414" s="5" t="s">
        <v>970</v>
      </c>
      <c r="R414" s="10"/>
    </row>
    <row r="415">
      <c r="A415" s="11" t="s">
        <v>988</v>
      </c>
      <c r="B415" s="8"/>
      <c r="C415" s="8"/>
      <c r="D415" s="8"/>
      <c r="E415" s="8"/>
      <c r="F415" s="12">
        <v>1.0</v>
      </c>
      <c r="G415" s="12">
        <v>1.0</v>
      </c>
      <c r="H415" s="12">
        <v>1.0</v>
      </c>
      <c r="I415" s="12">
        <v>0.0</v>
      </c>
      <c r="J415" s="12">
        <v>1.0</v>
      </c>
      <c r="K415" s="12">
        <v>1.0</v>
      </c>
      <c r="L415" s="2"/>
      <c r="M415" s="12">
        <v>1.0</v>
      </c>
      <c r="N415" s="12">
        <v>1.0</v>
      </c>
      <c r="O415" s="13">
        <v>0.0</v>
      </c>
      <c r="P415" s="12">
        <v>1.0</v>
      </c>
      <c r="Q415" s="5"/>
      <c r="R415" s="10">
        <f>sum(F415:K415,M415:P415)/(COUNTIF(B415:P415, 1) + (COUNTIF(B415:P415, 0)) + COUNTIF(B415:P415, 0.5))</f>
        <v>0.8</v>
      </c>
    </row>
    <row r="416">
      <c r="A416" s="7">
        <v>266.0</v>
      </c>
      <c r="B416" s="8">
        <v>2060.0</v>
      </c>
      <c r="C416" s="8">
        <v>75.0</v>
      </c>
      <c r="D416" s="8">
        <v>38.31667</v>
      </c>
      <c r="E416" s="8">
        <v>-121.617</v>
      </c>
      <c r="F416" s="1"/>
      <c r="G416" s="1"/>
      <c r="H416" s="3" t="s">
        <v>940</v>
      </c>
      <c r="I416" s="3" t="s">
        <v>985</v>
      </c>
      <c r="J416" s="25">
        <v>240.0</v>
      </c>
      <c r="K416" s="1"/>
      <c r="L416" s="2" t="s">
        <v>273</v>
      </c>
      <c r="M416" s="3" t="s">
        <v>989</v>
      </c>
      <c r="N416" s="3" t="s">
        <v>249</v>
      </c>
      <c r="O416" s="4" t="s">
        <v>944</v>
      </c>
      <c r="P416" s="3" t="s">
        <v>24</v>
      </c>
      <c r="Q416" s="5" t="s">
        <v>957</v>
      </c>
      <c r="R416" s="10"/>
    </row>
    <row r="417">
      <c r="A417" s="11" t="s">
        <v>990</v>
      </c>
      <c r="B417" s="8"/>
      <c r="C417" s="8"/>
      <c r="D417" s="8"/>
      <c r="E417" s="8"/>
      <c r="F417" s="12">
        <v>1.0</v>
      </c>
      <c r="G417" s="12">
        <v>1.0</v>
      </c>
      <c r="H417" s="12">
        <v>0.0</v>
      </c>
      <c r="I417" s="12">
        <v>0.0</v>
      </c>
      <c r="J417" s="26">
        <v>0.5</v>
      </c>
      <c r="K417" s="12">
        <v>1.0</v>
      </c>
      <c r="L417" s="2"/>
      <c r="M417" s="12">
        <v>1.0</v>
      </c>
      <c r="N417" s="12">
        <v>1.0</v>
      </c>
      <c r="O417" s="13">
        <v>0.0</v>
      </c>
      <c r="P417" s="12">
        <v>1.0</v>
      </c>
      <c r="Q417" s="5"/>
      <c r="R417" s="10">
        <f>sum(F417:K417,M417:P417)/(COUNTIF(B417:P417, 1) + (COUNTIF(B417:P417, 0)) + COUNTIF(B417:P417, 0.5))</f>
        <v>0.65</v>
      </c>
    </row>
    <row r="418">
      <c r="A418" s="7">
        <v>267.0</v>
      </c>
      <c r="B418" s="8">
        <v>2060.0</v>
      </c>
      <c r="C418" s="8">
        <v>75.0</v>
      </c>
      <c r="D418" s="8">
        <v>38.31667</v>
      </c>
      <c r="E418" s="8">
        <v>-121.617</v>
      </c>
      <c r="F418" s="1"/>
      <c r="G418" s="1"/>
      <c r="H418" s="3" t="s">
        <v>940</v>
      </c>
      <c r="I418" s="3" t="s">
        <v>985</v>
      </c>
      <c r="J418" s="3" t="s">
        <v>991</v>
      </c>
      <c r="K418" s="1"/>
      <c r="L418" s="2" t="s">
        <v>273</v>
      </c>
      <c r="M418" s="3" t="s">
        <v>992</v>
      </c>
      <c r="N418" s="3" t="s">
        <v>249</v>
      </c>
      <c r="O418" s="4" t="s">
        <v>944</v>
      </c>
      <c r="P418" s="3" t="s">
        <v>56</v>
      </c>
      <c r="Q418" s="5" t="s">
        <v>960</v>
      </c>
      <c r="R418" s="10"/>
    </row>
    <row r="419">
      <c r="A419" s="11" t="s">
        <v>993</v>
      </c>
      <c r="B419" s="8"/>
      <c r="C419" s="8"/>
      <c r="D419" s="8"/>
      <c r="E419" s="8"/>
      <c r="F419" s="12">
        <v>1.0</v>
      </c>
      <c r="G419" s="12">
        <v>1.0</v>
      </c>
      <c r="H419" s="12">
        <v>1.0</v>
      </c>
      <c r="I419" s="12">
        <v>0.0</v>
      </c>
      <c r="J419" s="12">
        <v>1.0</v>
      </c>
      <c r="K419" s="12">
        <v>1.0</v>
      </c>
      <c r="L419" s="2"/>
      <c r="M419" s="12">
        <v>0.5</v>
      </c>
      <c r="N419" s="12">
        <v>1.0</v>
      </c>
      <c r="O419" s="13">
        <v>0.0</v>
      </c>
      <c r="P419" s="12">
        <v>1.0</v>
      </c>
      <c r="Q419" s="5"/>
      <c r="R419" s="10">
        <f>sum(F419:K419,M419:P419)/(COUNTIF(B419:P419, 1) + (COUNTIF(B419:P419, 0)) + COUNTIF(B419:P419, 0.5))</f>
        <v>0.75</v>
      </c>
    </row>
    <row r="420">
      <c r="A420" s="7">
        <v>268.0</v>
      </c>
      <c r="B420" s="8">
        <v>2060.0</v>
      </c>
      <c r="C420" s="8">
        <v>75.0</v>
      </c>
      <c r="D420" s="8">
        <v>38.31667</v>
      </c>
      <c r="E420" s="8">
        <v>-121.617</v>
      </c>
      <c r="F420" s="1"/>
      <c r="G420" s="1"/>
      <c r="H420" s="3" t="s">
        <v>940</v>
      </c>
      <c r="I420" s="3" t="s">
        <v>985</v>
      </c>
      <c r="J420" s="3" t="s">
        <v>994</v>
      </c>
      <c r="K420" s="1"/>
      <c r="L420" s="2" t="s">
        <v>273</v>
      </c>
      <c r="M420" s="3" t="s">
        <v>249</v>
      </c>
      <c r="N420" s="3" t="s">
        <v>249</v>
      </c>
      <c r="O420" s="4" t="s">
        <v>944</v>
      </c>
      <c r="P420" s="3" t="s">
        <v>243</v>
      </c>
      <c r="Q420" s="5" t="s">
        <v>973</v>
      </c>
      <c r="R420" s="10"/>
    </row>
    <row r="421">
      <c r="A421" s="11" t="s">
        <v>995</v>
      </c>
      <c r="B421" s="8"/>
      <c r="C421" s="8"/>
      <c r="D421" s="8"/>
      <c r="E421" s="8"/>
      <c r="F421" s="12">
        <v>1.0</v>
      </c>
      <c r="G421" s="12">
        <v>1.0</v>
      </c>
      <c r="H421" s="12">
        <v>1.0</v>
      </c>
      <c r="I421" s="12">
        <v>0.0</v>
      </c>
      <c r="J421" s="12">
        <v>1.0</v>
      </c>
      <c r="K421" s="12">
        <v>1.0</v>
      </c>
      <c r="L421" s="2"/>
      <c r="M421" s="12">
        <v>1.0</v>
      </c>
      <c r="N421" s="12">
        <v>1.0</v>
      </c>
      <c r="O421" s="13">
        <v>0.0</v>
      </c>
      <c r="P421" s="12">
        <v>1.0</v>
      </c>
      <c r="Q421" s="5"/>
      <c r="R421" s="10">
        <f>sum(F421:K421,M421:P421)/(COUNTIF(B421:P421, 1) + (COUNTIF(B421:P421, 0)) + COUNTIF(B421:P421, 0.5))</f>
        <v>0.8</v>
      </c>
    </row>
    <row r="422">
      <c r="A422" s="7">
        <v>269.0</v>
      </c>
      <c r="B422" s="8">
        <v>2060.0</v>
      </c>
      <c r="C422" s="8">
        <v>75.0</v>
      </c>
      <c r="D422" s="8">
        <v>38.31667</v>
      </c>
      <c r="E422" s="8">
        <v>-121.617</v>
      </c>
      <c r="F422" s="12"/>
      <c r="G422" s="12"/>
      <c r="H422" s="3" t="s">
        <v>996</v>
      </c>
      <c r="I422" s="3" t="s">
        <v>985</v>
      </c>
      <c r="J422" s="3" t="s">
        <v>997</v>
      </c>
      <c r="K422" s="12"/>
      <c r="L422" s="2" t="s">
        <v>273</v>
      </c>
      <c r="M422" s="3" t="s">
        <v>998</v>
      </c>
      <c r="N422" s="3" t="s">
        <v>249</v>
      </c>
      <c r="O422" s="4" t="s">
        <v>944</v>
      </c>
      <c r="P422" s="3" t="s">
        <v>251</v>
      </c>
      <c r="Q422" s="5" t="s">
        <v>970</v>
      </c>
      <c r="R422" s="10"/>
    </row>
    <row r="423">
      <c r="A423" s="11" t="s">
        <v>999</v>
      </c>
      <c r="B423" s="8"/>
      <c r="C423" s="8"/>
      <c r="D423" s="8"/>
      <c r="E423" s="8"/>
      <c r="F423" s="12">
        <v>1.0</v>
      </c>
      <c r="G423" s="12">
        <v>1.0</v>
      </c>
      <c r="H423" s="12">
        <v>1.0</v>
      </c>
      <c r="I423" s="12">
        <v>0.0</v>
      </c>
      <c r="J423" s="12">
        <v>1.0</v>
      </c>
      <c r="K423" s="12">
        <v>1.0</v>
      </c>
      <c r="L423" s="2"/>
      <c r="M423" s="12">
        <v>0.5</v>
      </c>
      <c r="N423" s="12">
        <v>1.0</v>
      </c>
      <c r="O423" s="13">
        <v>0.0</v>
      </c>
      <c r="P423" s="12">
        <v>1.0</v>
      </c>
      <c r="Q423" s="5"/>
      <c r="R423" s="10">
        <f>sum(F423:K423,M423:P423)/(COUNTIF(B423:P423, 1) + (COUNTIF(B423:P423, 0)) + COUNTIF(B423:P423, 0.5))</f>
        <v>0.75</v>
      </c>
    </row>
    <row r="424">
      <c r="A424" s="7">
        <v>270.0</v>
      </c>
      <c r="B424" s="8">
        <v>2060.0</v>
      </c>
      <c r="C424" s="8">
        <v>75.0</v>
      </c>
      <c r="D424" s="8">
        <v>38.31667</v>
      </c>
      <c r="E424" s="8">
        <v>-121.617</v>
      </c>
      <c r="F424" s="1"/>
      <c r="G424" s="1"/>
      <c r="H424" s="3" t="s">
        <v>1000</v>
      </c>
      <c r="I424" s="3" t="s">
        <v>985</v>
      </c>
      <c r="J424" s="3" t="s">
        <v>1001</v>
      </c>
      <c r="K424" s="1"/>
      <c r="L424" s="2" t="s">
        <v>273</v>
      </c>
      <c r="M424" s="3" t="s">
        <v>1002</v>
      </c>
      <c r="N424" s="3" t="s">
        <v>249</v>
      </c>
      <c r="O424" s="4" t="s">
        <v>944</v>
      </c>
      <c r="P424" s="3" t="s">
        <v>1003</v>
      </c>
      <c r="Q424" s="5" t="s">
        <v>1004</v>
      </c>
      <c r="R424" s="10"/>
    </row>
    <row r="425">
      <c r="A425" s="11" t="s">
        <v>1005</v>
      </c>
      <c r="B425" s="8"/>
      <c r="C425" s="8"/>
      <c r="D425" s="8"/>
      <c r="E425" s="8"/>
      <c r="F425" s="12">
        <v>1.0</v>
      </c>
      <c r="G425" s="12">
        <v>1.0</v>
      </c>
      <c r="H425" s="12">
        <v>1.0</v>
      </c>
      <c r="I425" s="12">
        <v>0.0</v>
      </c>
      <c r="J425" s="12">
        <v>1.0</v>
      </c>
      <c r="K425" s="12">
        <v>1.0</v>
      </c>
      <c r="L425" s="2"/>
      <c r="M425" s="12">
        <v>0.5</v>
      </c>
      <c r="N425" s="12">
        <v>1.0</v>
      </c>
      <c r="O425" s="13">
        <v>0.0</v>
      </c>
      <c r="P425" s="12">
        <v>1.0</v>
      </c>
      <c r="Q425" s="5"/>
      <c r="R425" s="10">
        <f>sum(F425:K425,M425:P425)/(COUNTIF(B425:P425, 1) + (COUNTIF(B425:P425, 0)) + COUNTIF(B425:P425, 0.5))</f>
        <v>0.75</v>
      </c>
    </row>
    <row r="426">
      <c r="A426" s="7">
        <v>271.0</v>
      </c>
      <c r="B426" s="8">
        <v>2060.0</v>
      </c>
      <c r="C426" s="8">
        <v>75.0</v>
      </c>
      <c r="D426" s="8">
        <v>38.31667</v>
      </c>
      <c r="E426" s="8">
        <v>-121.617</v>
      </c>
      <c r="F426" s="1"/>
      <c r="G426" s="1"/>
      <c r="H426" s="3" t="s">
        <v>1006</v>
      </c>
      <c r="I426" s="3" t="s">
        <v>985</v>
      </c>
      <c r="J426" s="3" t="s">
        <v>1007</v>
      </c>
      <c r="K426" s="1"/>
      <c r="L426" s="2" t="s">
        <v>273</v>
      </c>
      <c r="M426" s="3" t="s">
        <v>1008</v>
      </c>
      <c r="N426" s="3" t="s">
        <v>249</v>
      </c>
      <c r="O426" s="4" t="s">
        <v>944</v>
      </c>
      <c r="P426" s="3" t="s">
        <v>1003</v>
      </c>
      <c r="Q426" s="5" t="s">
        <v>1004</v>
      </c>
      <c r="R426" s="10"/>
    </row>
    <row r="427">
      <c r="A427" s="11" t="s">
        <v>1009</v>
      </c>
      <c r="B427" s="8"/>
      <c r="C427" s="8"/>
      <c r="D427" s="8"/>
      <c r="E427" s="8"/>
      <c r="F427" s="12">
        <v>1.0</v>
      </c>
      <c r="G427" s="12">
        <v>1.0</v>
      </c>
      <c r="H427" s="12">
        <v>1.0</v>
      </c>
      <c r="I427" s="12">
        <v>0.0</v>
      </c>
      <c r="J427" s="12">
        <v>1.0</v>
      </c>
      <c r="K427" s="12">
        <v>1.0</v>
      </c>
      <c r="L427" s="2"/>
      <c r="M427" s="12">
        <v>1.0</v>
      </c>
      <c r="N427" s="12">
        <v>1.0</v>
      </c>
      <c r="O427" s="13">
        <v>0.0</v>
      </c>
      <c r="P427" s="12">
        <v>1.0</v>
      </c>
      <c r="Q427" s="5"/>
      <c r="R427" s="10">
        <f>sum(F427:K427,M427:P427)/(COUNTIF(B427:P427, 1) + (COUNTIF(B427:P427, 0)) + COUNTIF(B427:P427, 0.5))</f>
        <v>0.8</v>
      </c>
    </row>
    <row r="428">
      <c r="A428" s="7">
        <v>272.0</v>
      </c>
      <c r="B428" s="8">
        <v>2060.0</v>
      </c>
      <c r="C428" s="8">
        <v>75.0</v>
      </c>
      <c r="D428" s="8">
        <v>38.31667</v>
      </c>
      <c r="E428" s="8">
        <v>-121.617</v>
      </c>
      <c r="F428" s="1"/>
      <c r="G428" s="1"/>
      <c r="H428" s="3" t="s">
        <v>1006</v>
      </c>
      <c r="I428" s="3" t="s">
        <v>985</v>
      </c>
      <c r="J428" s="3" t="s">
        <v>1010</v>
      </c>
      <c r="K428" s="1"/>
      <c r="L428" s="2" t="s">
        <v>273</v>
      </c>
      <c r="M428" s="3" t="s">
        <v>249</v>
      </c>
      <c r="N428" s="3" t="s">
        <v>249</v>
      </c>
      <c r="O428" s="4" t="s">
        <v>944</v>
      </c>
      <c r="P428" s="3" t="s">
        <v>440</v>
      </c>
      <c r="Q428" s="5" t="s">
        <v>18</v>
      </c>
      <c r="R428" s="10"/>
    </row>
    <row r="429">
      <c r="A429" s="11" t="s">
        <v>1011</v>
      </c>
      <c r="B429" s="8"/>
      <c r="C429" s="8"/>
      <c r="D429" s="8"/>
      <c r="E429" s="8"/>
      <c r="F429" s="12">
        <v>1.0</v>
      </c>
      <c r="G429" s="12">
        <v>1.0</v>
      </c>
      <c r="H429" s="12">
        <v>1.0</v>
      </c>
      <c r="I429" s="12">
        <v>0.0</v>
      </c>
      <c r="J429" s="12">
        <v>1.0</v>
      </c>
      <c r="K429" s="12">
        <v>1.0</v>
      </c>
      <c r="L429" s="2"/>
      <c r="M429" s="12">
        <v>1.0</v>
      </c>
      <c r="N429" s="12">
        <v>1.0</v>
      </c>
      <c r="O429" s="13">
        <v>0.0</v>
      </c>
      <c r="P429" s="12">
        <v>0.0</v>
      </c>
      <c r="Q429" s="5"/>
      <c r="R429" s="10">
        <f>sum(F429:K429,M429:P429)/(COUNTIF(B429:P429, 1) + (COUNTIF(B429:P429, 0)) + COUNTIF(B429:P429, 0.5))</f>
        <v>0.7</v>
      </c>
    </row>
    <row r="430">
      <c r="A430" s="7">
        <v>273.0</v>
      </c>
      <c r="B430" s="8">
        <v>2060.0</v>
      </c>
      <c r="C430" s="8">
        <v>75.0</v>
      </c>
      <c r="D430" s="8">
        <v>38.31667</v>
      </c>
      <c r="E430" s="8">
        <v>-121.617</v>
      </c>
      <c r="F430" s="1"/>
      <c r="G430" s="1"/>
      <c r="H430" s="3" t="s">
        <v>1012</v>
      </c>
      <c r="I430" s="3" t="s">
        <v>985</v>
      </c>
      <c r="J430" s="3" t="s">
        <v>1013</v>
      </c>
      <c r="K430" s="1"/>
      <c r="L430" s="2" t="s">
        <v>273</v>
      </c>
      <c r="M430" s="3" t="s">
        <v>1014</v>
      </c>
      <c r="N430" s="3" t="s">
        <v>249</v>
      </c>
      <c r="O430" s="4" t="s">
        <v>944</v>
      </c>
      <c r="P430" s="3" t="s">
        <v>251</v>
      </c>
      <c r="Q430" s="5" t="s">
        <v>970</v>
      </c>
      <c r="R430" s="10"/>
    </row>
    <row r="431">
      <c r="A431" s="11" t="s">
        <v>1015</v>
      </c>
      <c r="B431" s="8"/>
      <c r="C431" s="8"/>
      <c r="D431" s="8"/>
      <c r="E431" s="8"/>
      <c r="F431" s="12">
        <v>1.0</v>
      </c>
      <c r="G431" s="12">
        <v>1.0</v>
      </c>
      <c r="H431" s="12">
        <v>1.0</v>
      </c>
      <c r="I431" s="12">
        <v>0.0</v>
      </c>
      <c r="J431" s="12">
        <v>1.0</v>
      </c>
      <c r="K431" s="12">
        <v>1.0</v>
      </c>
      <c r="L431" s="2"/>
      <c r="M431" s="12">
        <v>0.5</v>
      </c>
      <c r="N431" s="12">
        <v>1.0</v>
      </c>
      <c r="O431" s="13">
        <v>0.0</v>
      </c>
      <c r="P431" s="12">
        <v>1.0</v>
      </c>
      <c r="Q431" s="5"/>
      <c r="R431" s="10">
        <f>sum(F431:K431,M431:P431)/(COUNTIF(B431:P431, 1) + (COUNTIF(B431:P431, 0)) + COUNTIF(B431:P431, 0.5))</f>
        <v>0.75</v>
      </c>
    </row>
    <row r="432">
      <c r="A432" s="7">
        <v>274.0</v>
      </c>
      <c r="B432" s="8">
        <v>2060.0</v>
      </c>
      <c r="C432" s="8">
        <v>75.0</v>
      </c>
      <c r="D432" s="8">
        <v>38.31667</v>
      </c>
      <c r="E432" s="8">
        <v>-121.617</v>
      </c>
      <c r="F432" s="1"/>
      <c r="G432" s="1"/>
      <c r="H432" s="3" t="s">
        <v>996</v>
      </c>
      <c r="I432" s="3" t="s">
        <v>985</v>
      </c>
      <c r="J432" s="3" t="s">
        <v>1016</v>
      </c>
      <c r="K432" s="1"/>
      <c r="L432" s="2" t="s">
        <v>273</v>
      </c>
      <c r="M432" s="3" t="s">
        <v>1017</v>
      </c>
      <c r="N432" s="3" t="s">
        <v>249</v>
      </c>
      <c r="O432" s="4" t="s">
        <v>944</v>
      </c>
      <c r="P432" s="3" t="s">
        <v>24</v>
      </c>
      <c r="Q432" s="5" t="s">
        <v>957</v>
      </c>
      <c r="R432" s="10"/>
    </row>
    <row r="433">
      <c r="A433" s="11" t="s">
        <v>1018</v>
      </c>
      <c r="B433" s="8"/>
      <c r="C433" s="8"/>
      <c r="D433" s="8"/>
      <c r="E433" s="8"/>
      <c r="F433" s="12">
        <v>1.0</v>
      </c>
      <c r="G433" s="12">
        <v>1.0</v>
      </c>
      <c r="H433" s="12">
        <v>1.0</v>
      </c>
      <c r="I433" s="12">
        <v>0.0</v>
      </c>
      <c r="J433" s="12">
        <v>1.0</v>
      </c>
      <c r="K433" s="12">
        <v>1.0</v>
      </c>
      <c r="L433" s="2"/>
      <c r="M433" s="12">
        <v>0.5</v>
      </c>
      <c r="N433" s="12">
        <v>1.0</v>
      </c>
      <c r="O433" s="13">
        <v>0.0</v>
      </c>
      <c r="P433" s="12">
        <v>1.0</v>
      </c>
      <c r="Q433" s="5"/>
      <c r="R433" s="10">
        <f>sum(F433:K433,M433:P433)/(COUNTIF(B433:P433, 1) + (COUNTIF(B433:P433, 0)) + COUNTIF(B433:P433, 0.5))</f>
        <v>0.75</v>
      </c>
    </row>
    <row r="434">
      <c r="A434" s="7">
        <v>332.0</v>
      </c>
      <c r="B434" s="8">
        <v>2060.0</v>
      </c>
      <c r="C434" s="8">
        <v>79.0</v>
      </c>
      <c r="D434" s="8">
        <v>34.4429</v>
      </c>
      <c r="E434" s="8">
        <v>-119.686</v>
      </c>
      <c r="F434" s="1"/>
      <c r="G434" s="1"/>
      <c r="H434" s="3" t="s">
        <v>1019</v>
      </c>
      <c r="I434" s="1"/>
      <c r="J434" s="3" t="s">
        <v>1020</v>
      </c>
      <c r="K434" s="1"/>
      <c r="L434" s="2" t="s">
        <v>606</v>
      </c>
      <c r="M434" s="3" t="s">
        <v>1021</v>
      </c>
      <c r="N434" s="3" t="s">
        <v>636</v>
      </c>
      <c r="O434" s="4" t="s">
        <v>1022</v>
      </c>
      <c r="P434" s="3" t="s">
        <v>251</v>
      </c>
      <c r="Q434" s="5" t="s">
        <v>1023</v>
      </c>
      <c r="R434" s="10"/>
    </row>
    <row r="435">
      <c r="A435" s="11" t="s">
        <v>1024</v>
      </c>
      <c r="B435" s="8"/>
      <c r="C435" s="8"/>
      <c r="D435" s="8"/>
      <c r="E435" s="8"/>
      <c r="F435" s="12">
        <v>1.0</v>
      </c>
      <c r="G435" s="12">
        <v>1.0</v>
      </c>
      <c r="H435" s="12">
        <v>1.0</v>
      </c>
      <c r="I435" s="12">
        <v>1.0</v>
      </c>
      <c r="J435" s="12">
        <v>1.0</v>
      </c>
      <c r="K435" s="12">
        <v>1.0</v>
      </c>
      <c r="L435" s="2"/>
      <c r="M435" s="12">
        <v>1.0</v>
      </c>
      <c r="N435" s="12">
        <v>1.0</v>
      </c>
      <c r="O435" s="13">
        <v>1.0</v>
      </c>
      <c r="P435" s="12">
        <v>1.0</v>
      </c>
      <c r="Q435" s="5"/>
      <c r="R435" s="10">
        <f>sum(F435:K435,M435:P435)/(COUNTIF(B435:P435, 1) + (COUNTIF(B435:P435, 0)) + COUNTIF(B435:P435, 0.5))</f>
        <v>1</v>
      </c>
    </row>
    <row r="436">
      <c r="A436" s="7">
        <v>333.0</v>
      </c>
      <c r="B436" s="8">
        <v>2060.0</v>
      </c>
      <c r="C436" s="8">
        <v>79.0</v>
      </c>
      <c r="D436" s="8">
        <v>34.4429</v>
      </c>
      <c r="E436" s="8">
        <v>-119.686</v>
      </c>
      <c r="F436" s="1"/>
      <c r="G436" s="1"/>
      <c r="H436" s="3" t="s">
        <v>1025</v>
      </c>
      <c r="I436" s="1"/>
      <c r="J436" s="3" t="s">
        <v>1026</v>
      </c>
      <c r="K436" s="1"/>
      <c r="L436" s="2" t="s">
        <v>606</v>
      </c>
      <c r="M436" s="3" t="s">
        <v>1027</v>
      </c>
      <c r="N436" s="3" t="s">
        <v>1028</v>
      </c>
      <c r="O436" s="4" t="s">
        <v>1022</v>
      </c>
      <c r="P436" s="3" t="s">
        <v>251</v>
      </c>
      <c r="Q436" s="5" t="s">
        <v>1029</v>
      </c>
      <c r="R436" s="10"/>
    </row>
    <row r="437">
      <c r="A437" s="11" t="s">
        <v>1030</v>
      </c>
      <c r="B437" s="8"/>
      <c r="C437" s="8"/>
      <c r="D437" s="8"/>
      <c r="E437" s="8"/>
      <c r="F437" s="12">
        <v>1.0</v>
      </c>
      <c r="G437" s="12">
        <v>1.0</v>
      </c>
      <c r="H437" s="12">
        <v>1.0</v>
      </c>
      <c r="I437" s="12">
        <v>1.0</v>
      </c>
      <c r="J437" s="12">
        <v>1.0</v>
      </c>
      <c r="K437" s="12">
        <v>1.0</v>
      </c>
      <c r="L437" s="2"/>
      <c r="M437" s="12">
        <v>1.0</v>
      </c>
      <c r="N437" s="12">
        <v>1.0</v>
      </c>
      <c r="O437" s="13">
        <v>1.0</v>
      </c>
      <c r="P437" s="12">
        <v>1.0</v>
      </c>
      <c r="Q437" s="5"/>
      <c r="R437" s="10">
        <f>sum(F437:K437,M437:P437)/(COUNTIF(B437:P437, 1) + (COUNTIF(B437:P437, 0)) + COUNTIF(B437:P437, 0.5))</f>
        <v>1</v>
      </c>
    </row>
    <row r="438">
      <c r="A438" s="7">
        <v>334.0</v>
      </c>
      <c r="B438" s="8">
        <v>2060.0</v>
      </c>
      <c r="C438" s="8">
        <v>79.0</v>
      </c>
      <c r="D438" s="8">
        <v>34.4429</v>
      </c>
      <c r="E438" s="8">
        <v>-119.686</v>
      </c>
      <c r="F438" s="1"/>
      <c r="G438" s="1"/>
      <c r="H438" s="3" t="s">
        <v>1031</v>
      </c>
      <c r="I438" s="1"/>
      <c r="J438" s="3" t="s">
        <v>1032</v>
      </c>
      <c r="K438" s="1"/>
      <c r="L438" s="2" t="s">
        <v>606</v>
      </c>
      <c r="M438" s="1"/>
      <c r="N438" s="1"/>
      <c r="O438" s="22"/>
      <c r="P438" s="1"/>
      <c r="Q438" s="5" t="s">
        <v>18</v>
      </c>
      <c r="R438" s="10"/>
    </row>
    <row r="439">
      <c r="A439" s="11" t="s">
        <v>1033</v>
      </c>
      <c r="B439" s="8"/>
      <c r="C439" s="8"/>
      <c r="D439" s="8"/>
      <c r="E439" s="8"/>
      <c r="F439" s="12">
        <v>1.0</v>
      </c>
      <c r="G439" s="12">
        <v>1.0</v>
      </c>
      <c r="H439" s="12">
        <v>1.0</v>
      </c>
      <c r="I439" s="12">
        <v>1.0</v>
      </c>
      <c r="J439" s="12">
        <v>1.0</v>
      </c>
      <c r="K439" s="12">
        <v>1.0</v>
      </c>
      <c r="L439" s="2"/>
      <c r="M439" s="12">
        <v>1.0</v>
      </c>
      <c r="N439" s="12">
        <v>1.0</v>
      </c>
      <c r="O439" s="13">
        <v>1.0</v>
      </c>
      <c r="P439" s="12">
        <v>1.0</v>
      </c>
      <c r="Q439" s="5"/>
      <c r="R439" s="10">
        <f>sum(F439:K439,M439:P439)/(COUNTIF(B439:P439, 1) + (COUNTIF(B439:P439, 0)) + COUNTIF(B439:P439, 0.5))</f>
        <v>1</v>
      </c>
    </row>
    <row r="440">
      <c r="A440" s="7">
        <v>376.0</v>
      </c>
      <c r="B440" s="8">
        <v>2060.0</v>
      </c>
      <c r="C440" s="8">
        <v>333.0</v>
      </c>
      <c r="D440" s="8">
        <v>34.4208</v>
      </c>
      <c r="E440" s="8">
        <v>-119.698</v>
      </c>
      <c r="F440" s="1"/>
      <c r="G440" s="1"/>
      <c r="H440" s="3" t="s">
        <v>1034</v>
      </c>
      <c r="I440" s="3" t="s">
        <v>18</v>
      </c>
      <c r="J440" s="3" t="s">
        <v>1035</v>
      </c>
      <c r="K440" s="3" t="s">
        <v>606</v>
      </c>
      <c r="L440" s="2" t="s">
        <v>606</v>
      </c>
      <c r="M440" s="3" t="s">
        <v>1036</v>
      </c>
      <c r="N440" s="3" t="s">
        <v>1037</v>
      </c>
      <c r="O440" s="4" t="s">
        <v>1038</v>
      </c>
      <c r="P440" s="3" t="s">
        <v>251</v>
      </c>
      <c r="Q440" s="5" t="s">
        <v>1039</v>
      </c>
      <c r="R440" s="10"/>
    </row>
    <row r="441">
      <c r="A441" s="11" t="s">
        <v>1040</v>
      </c>
      <c r="B441" s="8"/>
      <c r="C441" s="8"/>
      <c r="D441" s="8"/>
      <c r="E441" s="8"/>
      <c r="F441" s="12">
        <v>1.0</v>
      </c>
      <c r="G441" s="12">
        <v>1.0</v>
      </c>
      <c r="H441" s="12">
        <v>1.0</v>
      </c>
      <c r="I441" s="12">
        <v>1.0</v>
      </c>
      <c r="J441" s="12">
        <v>1.0</v>
      </c>
      <c r="K441" s="12">
        <v>1.0</v>
      </c>
      <c r="L441" s="2"/>
      <c r="M441" s="12">
        <v>1.0</v>
      </c>
      <c r="N441" s="12">
        <v>1.0</v>
      </c>
      <c r="O441" s="13">
        <v>1.0</v>
      </c>
      <c r="P441" s="12">
        <v>1.0</v>
      </c>
      <c r="Q441" s="5"/>
      <c r="R441" s="10">
        <f>sum(F441:K441,M441:P441)/(COUNTIF(B441:P441, 1) + (COUNTIF(B441:P441, 0)) + COUNTIF(B441:P441, 0.5))</f>
        <v>1</v>
      </c>
    </row>
    <row r="442">
      <c r="A442" s="7">
        <v>55.0</v>
      </c>
      <c r="B442" s="8">
        <v>2060.0</v>
      </c>
      <c r="C442" s="8">
        <v>413.0</v>
      </c>
      <c r="D442" s="8">
        <v>38.0</v>
      </c>
      <c r="E442" s="8">
        <v>-120.0</v>
      </c>
      <c r="F442" s="1"/>
      <c r="G442" s="1"/>
      <c r="H442" s="3" t="s">
        <v>1041</v>
      </c>
      <c r="I442" s="3" t="s">
        <v>18</v>
      </c>
      <c r="J442" s="3" t="s">
        <v>1042</v>
      </c>
      <c r="K442" s="1"/>
      <c r="L442" s="2" t="s">
        <v>354</v>
      </c>
      <c r="M442" s="1"/>
      <c r="N442" s="1"/>
      <c r="O442" s="22"/>
      <c r="P442" s="3" t="s">
        <v>56</v>
      </c>
      <c r="Q442" s="5" t="s">
        <v>1004</v>
      </c>
      <c r="R442" s="27" t="s">
        <v>1043</v>
      </c>
    </row>
    <row r="443">
      <c r="A443" s="11" t="s">
        <v>1044</v>
      </c>
      <c r="B443" s="8"/>
      <c r="C443" s="8"/>
      <c r="D443" s="8"/>
      <c r="E443" s="8"/>
      <c r="F443" s="12">
        <v>1.0</v>
      </c>
      <c r="G443" s="12">
        <v>1.0</v>
      </c>
      <c r="H443" s="12">
        <v>1.0</v>
      </c>
      <c r="I443" s="12">
        <v>1.0</v>
      </c>
      <c r="J443" s="12">
        <v>1.0</v>
      </c>
      <c r="K443" s="12">
        <v>1.0</v>
      </c>
      <c r="L443" s="2"/>
      <c r="M443" s="12">
        <v>1.0</v>
      </c>
      <c r="N443" s="12">
        <v>1.0</v>
      </c>
      <c r="O443" s="13">
        <v>1.0</v>
      </c>
      <c r="P443" s="12">
        <v>1.0</v>
      </c>
      <c r="Q443" s="5"/>
      <c r="R443" s="10">
        <f>sum(F443:K443,M443:P443)/(COUNTIF(B443:P443, 1) + (COUNTIF(B443:P443, 0)) + COUNTIF(B443:P443, 0.5))</f>
        <v>1</v>
      </c>
    </row>
    <row r="444">
      <c r="A444" s="7">
        <v>56.0</v>
      </c>
      <c r="B444" s="8">
        <v>2060.0</v>
      </c>
      <c r="C444" s="8">
        <v>413.0</v>
      </c>
      <c r="D444" s="8">
        <v>38.0</v>
      </c>
      <c r="E444" s="8">
        <v>-120.0</v>
      </c>
      <c r="F444" s="1"/>
      <c r="G444" s="1"/>
      <c r="H444" s="3" t="s">
        <v>1045</v>
      </c>
      <c r="I444" s="3" t="s">
        <v>18</v>
      </c>
      <c r="J444" s="3" t="s">
        <v>1046</v>
      </c>
      <c r="K444" s="1"/>
      <c r="L444" s="2" t="s">
        <v>354</v>
      </c>
      <c r="M444" s="12"/>
      <c r="N444" s="1"/>
      <c r="O444" s="22"/>
      <c r="P444" s="3" t="s">
        <v>56</v>
      </c>
      <c r="Q444" s="5" t="s">
        <v>1004</v>
      </c>
      <c r="R444" s="10"/>
    </row>
    <row r="445">
      <c r="A445" s="11" t="s">
        <v>1047</v>
      </c>
      <c r="B445" s="8"/>
      <c r="C445" s="8"/>
      <c r="D445" s="8"/>
      <c r="E445" s="8"/>
      <c r="F445" s="12">
        <v>1.0</v>
      </c>
      <c r="G445" s="12">
        <v>1.0</v>
      </c>
      <c r="H445" s="12">
        <v>1.0</v>
      </c>
      <c r="I445" s="12">
        <v>1.0</v>
      </c>
      <c r="J445" s="12">
        <v>1.0</v>
      </c>
      <c r="K445" s="12">
        <v>1.0</v>
      </c>
      <c r="L445" s="2"/>
      <c r="M445" s="12">
        <v>0.0</v>
      </c>
      <c r="N445" s="12">
        <v>1.0</v>
      </c>
      <c r="O445" s="13">
        <v>1.0</v>
      </c>
      <c r="P445" s="12">
        <v>1.0</v>
      </c>
      <c r="Q445" s="5"/>
      <c r="R445" s="10">
        <f>sum(F445:K445,M445:P445)/(COUNTIF(B445:P445, 1) + (COUNTIF(B445:P445, 0)) + COUNTIF(B445:P445, 0.5))</f>
        <v>0.9</v>
      </c>
    </row>
    <row r="446">
      <c r="A446" s="7">
        <v>57.0</v>
      </c>
      <c r="B446" s="8">
        <v>2060.0</v>
      </c>
      <c r="C446" s="8">
        <v>413.0</v>
      </c>
      <c r="D446" s="8">
        <v>38.0</v>
      </c>
      <c r="E446" s="8">
        <v>-120.0</v>
      </c>
      <c r="F446" s="1"/>
      <c r="G446" s="1"/>
      <c r="H446" s="3" t="s">
        <v>1048</v>
      </c>
      <c r="I446" s="3" t="s">
        <v>18</v>
      </c>
      <c r="J446" s="3" t="s">
        <v>1049</v>
      </c>
      <c r="K446" s="1"/>
      <c r="L446" s="2" t="s">
        <v>354</v>
      </c>
      <c r="M446" s="12"/>
      <c r="N446" s="1"/>
      <c r="O446" s="22"/>
      <c r="P446" s="3" t="s">
        <v>56</v>
      </c>
      <c r="Q446" s="5" t="s">
        <v>1004</v>
      </c>
      <c r="R446" s="10"/>
    </row>
    <row r="447">
      <c r="A447" s="11" t="s">
        <v>1050</v>
      </c>
      <c r="B447" s="8"/>
      <c r="C447" s="8"/>
      <c r="D447" s="8"/>
      <c r="E447" s="8"/>
      <c r="F447" s="12">
        <v>1.0</v>
      </c>
      <c r="G447" s="12">
        <v>1.0</v>
      </c>
      <c r="H447" s="12">
        <v>1.0</v>
      </c>
      <c r="I447" s="12">
        <v>1.0</v>
      </c>
      <c r="J447" s="12">
        <v>1.0</v>
      </c>
      <c r="K447" s="12">
        <v>1.0</v>
      </c>
      <c r="L447" s="2"/>
      <c r="M447" s="12">
        <v>0.0</v>
      </c>
      <c r="N447" s="12">
        <v>1.0</v>
      </c>
      <c r="O447" s="13">
        <v>1.0</v>
      </c>
      <c r="P447" s="12">
        <v>1.0</v>
      </c>
      <c r="Q447" s="5"/>
      <c r="R447" s="10">
        <f>sum(F447:K447,M447:P447)/(COUNTIF(B447:P447, 1) + (COUNTIF(B447:P447, 0)) + COUNTIF(B447:P447, 0.5))</f>
        <v>0.9</v>
      </c>
    </row>
    <row r="448">
      <c r="A448" s="7">
        <v>58.0</v>
      </c>
      <c r="B448" s="8">
        <v>2060.0</v>
      </c>
      <c r="C448" s="8">
        <v>413.0</v>
      </c>
      <c r="D448" s="8">
        <v>38.0</v>
      </c>
      <c r="E448" s="8">
        <v>-120.0</v>
      </c>
      <c r="F448" s="1"/>
      <c r="G448" s="1"/>
      <c r="H448" s="3" t="s">
        <v>1051</v>
      </c>
      <c r="I448" s="3" t="s">
        <v>18</v>
      </c>
      <c r="J448" s="3" t="s">
        <v>1052</v>
      </c>
      <c r="K448" s="1"/>
      <c r="L448" s="2" t="s">
        <v>354</v>
      </c>
      <c r="M448" s="12"/>
      <c r="N448" s="1"/>
      <c r="O448" s="22"/>
      <c r="P448" s="3" t="s">
        <v>56</v>
      </c>
      <c r="Q448" s="5" t="s">
        <v>1004</v>
      </c>
      <c r="R448" s="10"/>
    </row>
    <row r="449">
      <c r="A449" s="11" t="s">
        <v>1053</v>
      </c>
      <c r="B449" s="8"/>
      <c r="C449" s="8"/>
      <c r="D449" s="8"/>
      <c r="E449" s="8"/>
      <c r="F449" s="12">
        <v>1.0</v>
      </c>
      <c r="G449" s="12">
        <v>1.0</v>
      </c>
      <c r="H449" s="12">
        <v>1.0</v>
      </c>
      <c r="I449" s="12">
        <v>1.0</v>
      </c>
      <c r="J449" s="12">
        <v>1.0</v>
      </c>
      <c r="K449" s="12">
        <v>1.0</v>
      </c>
      <c r="L449" s="2"/>
      <c r="M449" s="12">
        <v>0.0</v>
      </c>
      <c r="N449" s="12">
        <v>1.0</v>
      </c>
      <c r="O449" s="13">
        <v>1.0</v>
      </c>
      <c r="P449" s="12">
        <v>1.0</v>
      </c>
      <c r="Q449" s="5"/>
      <c r="R449" s="10">
        <f>sum(F449:K449,M449:P449)/(COUNTIF(B449:P449, 1) + (COUNTIF(B449:P449, 0)) + COUNTIF(B449:P449, 0.5))</f>
        <v>0.9</v>
      </c>
    </row>
    <row r="450">
      <c r="A450" s="7">
        <v>59.0</v>
      </c>
      <c r="B450" s="8">
        <v>2060.0</v>
      </c>
      <c r="C450" s="8">
        <v>413.0</v>
      </c>
      <c r="D450" s="8">
        <v>38.0</v>
      </c>
      <c r="E450" s="8">
        <v>-120.0</v>
      </c>
      <c r="F450" s="1"/>
      <c r="G450" s="1"/>
      <c r="H450" s="3" t="s">
        <v>1054</v>
      </c>
      <c r="I450" s="3" t="s">
        <v>18</v>
      </c>
      <c r="J450" s="3" t="s">
        <v>1055</v>
      </c>
      <c r="K450" s="1"/>
      <c r="L450" s="2" t="s">
        <v>354</v>
      </c>
      <c r="M450" s="12"/>
      <c r="N450" s="1"/>
      <c r="O450" s="22"/>
      <c r="P450" s="3" t="s">
        <v>56</v>
      </c>
      <c r="Q450" s="5" t="s">
        <v>1004</v>
      </c>
      <c r="R450" s="10"/>
    </row>
    <row r="451">
      <c r="A451" s="11" t="s">
        <v>1056</v>
      </c>
      <c r="B451" s="8"/>
      <c r="C451" s="8"/>
      <c r="D451" s="8"/>
      <c r="E451" s="8"/>
      <c r="F451" s="12">
        <v>1.0</v>
      </c>
      <c r="G451" s="12">
        <v>1.0</v>
      </c>
      <c r="H451" s="12">
        <v>1.0</v>
      </c>
      <c r="I451" s="12">
        <v>1.0</v>
      </c>
      <c r="J451" s="12">
        <v>1.0</v>
      </c>
      <c r="K451" s="12">
        <v>1.0</v>
      </c>
      <c r="L451" s="2"/>
      <c r="M451" s="12">
        <v>0.0</v>
      </c>
      <c r="N451" s="12">
        <v>1.0</v>
      </c>
      <c r="O451" s="13">
        <v>1.0</v>
      </c>
      <c r="P451" s="12">
        <v>1.0</v>
      </c>
      <c r="Q451" s="5"/>
      <c r="R451" s="10">
        <f>sum(F451:K451,M451:P451)/(COUNTIF(B451:P451, 1) + (COUNTIF(B451:P451, 0)) + COUNTIF(B451:P451, 0.5))</f>
        <v>0.9</v>
      </c>
    </row>
    <row r="452">
      <c r="A452" s="7">
        <v>60.0</v>
      </c>
      <c r="B452" s="8">
        <v>2060.0</v>
      </c>
      <c r="C452" s="8">
        <v>413.0</v>
      </c>
      <c r="D452" s="8">
        <v>38.0</v>
      </c>
      <c r="E452" s="8">
        <v>-120.0</v>
      </c>
      <c r="F452" s="1"/>
      <c r="G452" s="1"/>
      <c r="H452" s="3" t="s">
        <v>1057</v>
      </c>
      <c r="I452" s="3" t="s">
        <v>18</v>
      </c>
      <c r="J452" s="3" t="s">
        <v>1058</v>
      </c>
      <c r="K452" s="1"/>
      <c r="L452" s="2" t="s">
        <v>354</v>
      </c>
      <c r="M452" s="1"/>
      <c r="N452" s="1"/>
      <c r="O452" s="22"/>
      <c r="P452" s="3" t="s">
        <v>56</v>
      </c>
      <c r="Q452" s="5" t="s">
        <v>1004</v>
      </c>
      <c r="R452" s="10"/>
    </row>
    <row r="453">
      <c r="A453" s="11" t="s">
        <v>1059</v>
      </c>
      <c r="B453" s="8"/>
      <c r="C453" s="8"/>
      <c r="D453" s="8"/>
      <c r="E453" s="8"/>
      <c r="F453" s="12">
        <v>1.0</v>
      </c>
      <c r="G453" s="12">
        <v>1.0</v>
      </c>
      <c r="H453" s="12">
        <v>1.0</v>
      </c>
      <c r="I453" s="12">
        <v>1.0</v>
      </c>
      <c r="J453" s="12">
        <v>1.0</v>
      </c>
      <c r="K453" s="12">
        <v>1.0</v>
      </c>
      <c r="L453" s="2"/>
      <c r="M453" s="12">
        <v>0.0</v>
      </c>
      <c r="N453" s="12">
        <v>1.0</v>
      </c>
      <c r="O453" s="13">
        <v>1.0</v>
      </c>
      <c r="P453" s="12">
        <v>1.0</v>
      </c>
      <c r="Q453" s="5"/>
      <c r="R453" s="10">
        <f>sum(F453:K453,M453:P453)/(COUNTIF(B453:P453, 1) + (COUNTIF(B453:P453, 0)) + COUNTIF(B453:P453, 0.5))</f>
        <v>0.9</v>
      </c>
    </row>
    <row r="454">
      <c r="A454" s="7">
        <v>61.0</v>
      </c>
      <c r="B454" s="8">
        <v>2060.0</v>
      </c>
      <c r="C454" s="8">
        <v>413.0</v>
      </c>
      <c r="D454" s="8">
        <v>38.0</v>
      </c>
      <c r="E454" s="8">
        <v>-120.0</v>
      </c>
      <c r="F454" s="1"/>
      <c r="G454" s="1"/>
      <c r="H454" s="3" t="s">
        <v>1060</v>
      </c>
      <c r="I454" s="3" t="s">
        <v>18</v>
      </c>
      <c r="J454" s="3" t="s">
        <v>1061</v>
      </c>
      <c r="K454" s="1"/>
      <c r="L454" s="2" t="s">
        <v>354</v>
      </c>
      <c r="M454" s="1"/>
      <c r="N454" s="1"/>
      <c r="O454" s="22"/>
      <c r="P454" s="3" t="s">
        <v>56</v>
      </c>
      <c r="Q454" s="5" t="s">
        <v>1004</v>
      </c>
      <c r="R454" s="10"/>
    </row>
    <row r="455">
      <c r="A455" s="11" t="s">
        <v>1062</v>
      </c>
      <c r="B455" s="8"/>
      <c r="C455" s="8"/>
      <c r="D455" s="8"/>
      <c r="E455" s="8"/>
      <c r="F455" s="12">
        <v>1.0</v>
      </c>
      <c r="G455" s="12">
        <v>1.0</v>
      </c>
      <c r="H455" s="12">
        <v>1.0</v>
      </c>
      <c r="I455" s="12">
        <v>1.0</v>
      </c>
      <c r="J455" s="12">
        <v>1.0</v>
      </c>
      <c r="K455" s="12">
        <v>1.0</v>
      </c>
      <c r="L455" s="2"/>
      <c r="M455" s="12">
        <v>1.0</v>
      </c>
      <c r="N455" s="12">
        <v>1.0</v>
      </c>
      <c r="O455" s="13">
        <v>1.0</v>
      </c>
      <c r="P455" s="12">
        <v>1.0</v>
      </c>
      <c r="Q455" s="5"/>
      <c r="R455" s="10">
        <f>sum(F455:K455,M455:P455)/(COUNTIF(B455:P455, 1) + (COUNTIF(B455:P455, 0)) + COUNTIF(B455:P455, 0.5))</f>
        <v>1</v>
      </c>
    </row>
    <row r="456">
      <c r="A456" s="7">
        <v>62.0</v>
      </c>
      <c r="B456" s="8">
        <v>2060.0</v>
      </c>
      <c r="C456" s="8">
        <v>413.0</v>
      </c>
      <c r="D456" s="8">
        <v>38.0</v>
      </c>
      <c r="E456" s="8">
        <v>-120.0</v>
      </c>
      <c r="F456" s="1"/>
      <c r="G456" s="1"/>
      <c r="H456" s="3" t="s">
        <v>1063</v>
      </c>
      <c r="I456" s="3" t="s">
        <v>18</v>
      </c>
      <c r="J456" s="3" t="s">
        <v>1064</v>
      </c>
      <c r="K456" s="1"/>
      <c r="L456" s="2" t="s">
        <v>354</v>
      </c>
      <c r="M456" s="1"/>
      <c r="N456" s="1"/>
      <c r="O456" s="22"/>
      <c r="P456" s="3" t="s">
        <v>56</v>
      </c>
      <c r="Q456" s="5" t="s">
        <v>1004</v>
      </c>
      <c r="R456" s="10"/>
    </row>
    <row r="457">
      <c r="A457" s="11" t="s">
        <v>1065</v>
      </c>
      <c r="B457" s="8"/>
      <c r="C457" s="8"/>
      <c r="D457" s="8"/>
      <c r="E457" s="8"/>
      <c r="F457" s="12">
        <v>1.0</v>
      </c>
      <c r="G457" s="12">
        <v>1.0</v>
      </c>
      <c r="H457" s="12">
        <v>1.0</v>
      </c>
      <c r="I457" s="12">
        <v>1.0</v>
      </c>
      <c r="J457" s="12">
        <v>1.0</v>
      </c>
      <c r="K457" s="12">
        <v>1.0</v>
      </c>
      <c r="L457" s="2"/>
      <c r="M457" s="12">
        <v>0.0</v>
      </c>
      <c r="N457" s="12">
        <v>1.0</v>
      </c>
      <c r="O457" s="13">
        <v>1.0</v>
      </c>
      <c r="P457" s="12">
        <v>1.0</v>
      </c>
      <c r="Q457" s="5"/>
      <c r="R457" s="10">
        <f>sum(F457:K457,M457:P457)/(COUNTIF(B457:P457, 1) + (COUNTIF(B457:P457, 0)) + COUNTIF(B457:P457, 0.5))</f>
        <v>0.9</v>
      </c>
    </row>
    <row r="458">
      <c r="A458" s="7">
        <v>63.0</v>
      </c>
      <c r="B458" s="8">
        <v>2060.0</v>
      </c>
      <c r="C458" s="8">
        <v>413.0</v>
      </c>
      <c r="D458" s="8">
        <v>38.0</v>
      </c>
      <c r="E458" s="8">
        <v>-120.0</v>
      </c>
      <c r="F458" s="1"/>
      <c r="G458" s="1"/>
      <c r="H458" s="3" t="s">
        <v>1066</v>
      </c>
      <c r="I458" s="3" t="s">
        <v>18</v>
      </c>
      <c r="J458" s="3" t="s">
        <v>1067</v>
      </c>
      <c r="K458" s="1"/>
      <c r="L458" s="2" t="s">
        <v>354</v>
      </c>
      <c r="M458" s="1"/>
      <c r="N458" s="1"/>
      <c r="O458" s="13"/>
      <c r="P458" s="3" t="s">
        <v>56</v>
      </c>
      <c r="Q458" s="5" t="s">
        <v>1004</v>
      </c>
      <c r="R458" s="10"/>
    </row>
    <row r="459">
      <c r="A459" s="11" t="s">
        <v>1068</v>
      </c>
      <c r="B459" s="8"/>
      <c r="C459" s="8"/>
      <c r="D459" s="8"/>
      <c r="E459" s="8"/>
      <c r="F459" s="12">
        <v>1.0</v>
      </c>
      <c r="G459" s="12">
        <v>1.0</v>
      </c>
      <c r="H459" s="12">
        <v>1.0</v>
      </c>
      <c r="I459" s="12">
        <v>1.0</v>
      </c>
      <c r="J459" s="12">
        <v>1.0</v>
      </c>
      <c r="K459" s="12">
        <v>1.0</v>
      </c>
      <c r="L459" s="2"/>
      <c r="M459" s="12">
        <v>1.0</v>
      </c>
      <c r="N459" s="12">
        <v>1.0</v>
      </c>
      <c r="O459" s="13">
        <v>1.0</v>
      </c>
      <c r="P459" s="12">
        <v>1.0</v>
      </c>
      <c r="Q459" s="5"/>
      <c r="R459" s="10">
        <f>sum(F459:K459,M459:P459)/(COUNTIF(B459:P459, 1) + (COUNTIF(B459:P459, 0)) + COUNTIF(B459:P459, 0.5))</f>
        <v>1</v>
      </c>
    </row>
    <row r="460">
      <c r="A460" s="7">
        <v>64.0</v>
      </c>
      <c r="B460" s="8">
        <v>2060.0</v>
      </c>
      <c r="C460" s="8">
        <v>413.0</v>
      </c>
      <c r="D460" s="8">
        <v>38.0</v>
      </c>
      <c r="E460" s="8">
        <v>-120.0</v>
      </c>
      <c r="F460" s="1"/>
      <c r="G460" s="1"/>
      <c r="H460" s="1"/>
      <c r="I460" s="3" t="s">
        <v>18</v>
      </c>
      <c r="J460" s="3" t="s">
        <v>1069</v>
      </c>
      <c r="K460" s="1"/>
      <c r="L460" s="2" t="s">
        <v>354</v>
      </c>
      <c r="M460" s="1"/>
      <c r="N460" s="1"/>
      <c r="O460" s="22"/>
      <c r="P460" s="3" t="s">
        <v>56</v>
      </c>
      <c r="Q460" s="5" t="s">
        <v>1070</v>
      </c>
      <c r="R460" s="10"/>
    </row>
    <row r="461">
      <c r="A461" s="11" t="s">
        <v>1071</v>
      </c>
      <c r="B461" s="8"/>
      <c r="C461" s="8"/>
      <c r="D461" s="8"/>
      <c r="E461" s="8"/>
      <c r="F461" s="12">
        <v>1.0</v>
      </c>
      <c r="G461" s="12">
        <v>1.0</v>
      </c>
      <c r="H461" s="12">
        <v>1.0</v>
      </c>
      <c r="I461" s="12">
        <v>1.0</v>
      </c>
      <c r="J461" s="12">
        <v>0.0</v>
      </c>
      <c r="K461" s="12">
        <v>1.0</v>
      </c>
      <c r="L461" s="2"/>
      <c r="M461" s="12">
        <v>1.0</v>
      </c>
      <c r="N461" s="12">
        <v>1.0</v>
      </c>
      <c r="O461" s="13">
        <v>1.0</v>
      </c>
      <c r="P461" s="12">
        <v>1.0</v>
      </c>
      <c r="Q461" s="5"/>
      <c r="R461" s="10">
        <f>sum(F461:K461,M461:P461)/(COUNTIF(B461:P461, 1) + (COUNTIF(B461:P461, 0)) + COUNTIF(B461:P461, 0.5))</f>
        <v>0.9</v>
      </c>
    </row>
    <row r="462">
      <c r="A462" s="7">
        <v>65.0</v>
      </c>
      <c r="B462" s="8">
        <v>2060.0</v>
      </c>
      <c r="C462" s="8">
        <v>413.0</v>
      </c>
      <c r="D462" s="8">
        <v>38.0</v>
      </c>
      <c r="E462" s="8">
        <v>-120.0</v>
      </c>
      <c r="F462" s="1"/>
      <c r="G462" s="1"/>
      <c r="H462" s="1"/>
      <c r="I462" s="3" t="s">
        <v>18</v>
      </c>
      <c r="J462" s="3" t="s">
        <v>1072</v>
      </c>
      <c r="K462" s="1"/>
      <c r="L462" s="2" t="s">
        <v>354</v>
      </c>
      <c r="M462" s="1"/>
      <c r="N462" s="1"/>
      <c r="O462" s="22"/>
      <c r="P462" s="3" t="s">
        <v>56</v>
      </c>
      <c r="Q462" s="5" t="s">
        <v>1073</v>
      </c>
      <c r="R462" s="10"/>
    </row>
    <row r="463">
      <c r="A463" s="11" t="s">
        <v>1074</v>
      </c>
      <c r="B463" s="8"/>
      <c r="C463" s="8"/>
      <c r="D463" s="8"/>
      <c r="E463" s="8"/>
      <c r="F463" s="12">
        <v>1.0</v>
      </c>
      <c r="G463" s="12">
        <v>1.0</v>
      </c>
      <c r="H463" s="12">
        <v>1.0</v>
      </c>
      <c r="I463" s="12">
        <v>1.0</v>
      </c>
      <c r="J463" s="12">
        <v>0.0</v>
      </c>
      <c r="K463" s="12">
        <v>1.0</v>
      </c>
      <c r="L463" s="2"/>
      <c r="M463" s="12">
        <v>1.0</v>
      </c>
      <c r="N463" s="12">
        <v>1.0</v>
      </c>
      <c r="O463" s="13">
        <v>1.0</v>
      </c>
      <c r="P463" s="12">
        <v>1.0</v>
      </c>
      <c r="Q463" s="5"/>
      <c r="R463" s="10">
        <f>sum(F463:K463,M463:P463)/(COUNTIF(B463:P463, 1) + (COUNTIF(B463:P463, 0)) + COUNTIF(B463:P463, 0.5))</f>
        <v>0.9</v>
      </c>
    </row>
    <row r="464">
      <c r="A464" s="7">
        <v>110.0</v>
      </c>
      <c r="B464" s="8">
        <v>2060.0</v>
      </c>
      <c r="C464" s="8">
        <v>444.0</v>
      </c>
      <c r="D464" s="8">
        <v>34.9678</v>
      </c>
      <c r="E464" s="8">
        <v>-120.436</v>
      </c>
      <c r="F464" s="1"/>
      <c r="G464" s="1"/>
      <c r="H464" s="3" t="s">
        <v>1075</v>
      </c>
      <c r="I464" s="12" t="s">
        <v>1076</v>
      </c>
      <c r="J464" s="3" t="s">
        <v>1077</v>
      </c>
      <c r="K464" s="3" t="s">
        <v>606</v>
      </c>
      <c r="L464" s="2" t="s">
        <v>606</v>
      </c>
      <c r="M464" s="3" t="s">
        <v>1078</v>
      </c>
      <c r="N464" s="3" t="s">
        <v>1079</v>
      </c>
      <c r="O464" s="4" t="s">
        <v>1022</v>
      </c>
      <c r="P464" s="3" t="s">
        <v>251</v>
      </c>
      <c r="Q464" s="5" t="s">
        <v>1080</v>
      </c>
      <c r="R464" s="10"/>
    </row>
    <row r="465">
      <c r="A465" s="11" t="s">
        <v>1081</v>
      </c>
      <c r="B465" s="8"/>
      <c r="C465" s="8"/>
      <c r="D465" s="8"/>
      <c r="E465" s="8"/>
      <c r="F465" s="12">
        <v>1.0</v>
      </c>
      <c r="G465" s="12">
        <v>1.0</v>
      </c>
      <c r="H465" s="12">
        <v>1.0</v>
      </c>
      <c r="I465" s="12">
        <v>0.0</v>
      </c>
      <c r="J465" s="12">
        <v>1.0</v>
      </c>
      <c r="K465" s="12">
        <v>1.0</v>
      </c>
      <c r="L465" s="2"/>
      <c r="M465" s="12">
        <v>1.0</v>
      </c>
      <c r="N465" s="12">
        <v>1.0</v>
      </c>
      <c r="O465" s="13">
        <v>1.0</v>
      </c>
      <c r="P465" s="12">
        <v>1.0</v>
      </c>
      <c r="Q465" s="5"/>
      <c r="R465" s="10">
        <f>sum(F465:K465,M465:P465)/(COUNTIF(B465:P465, 1) + (COUNTIF(B465:P465, 0)) + COUNTIF(B465:P465, 0.5))</f>
        <v>0.9</v>
      </c>
    </row>
    <row r="466">
      <c r="A466" s="7">
        <v>111.0</v>
      </c>
      <c r="B466" s="8">
        <v>2060.0</v>
      </c>
      <c r="C466" s="8">
        <v>444.0</v>
      </c>
      <c r="D466" s="8">
        <v>34.9678</v>
      </c>
      <c r="E466" s="8">
        <v>-120.436</v>
      </c>
      <c r="F466" s="1"/>
      <c r="G466" s="1"/>
      <c r="H466" s="3" t="s">
        <v>1082</v>
      </c>
      <c r="I466" s="3" t="s">
        <v>1083</v>
      </c>
      <c r="J466" s="3" t="s">
        <v>1084</v>
      </c>
      <c r="K466" s="3" t="s">
        <v>606</v>
      </c>
      <c r="L466" s="2" t="s">
        <v>606</v>
      </c>
      <c r="M466" s="3" t="s">
        <v>1085</v>
      </c>
      <c r="N466" s="3" t="s">
        <v>1079</v>
      </c>
      <c r="O466" s="4" t="s">
        <v>1022</v>
      </c>
      <c r="P466" s="3" t="s">
        <v>251</v>
      </c>
      <c r="Q466" s="5" t="s">
        <v>1086</v>
      </c>
      <c r="R466" s="10"/>
    </row>
    <row r="467">
      <c r="A467" s="11" t="s">
        <v>1087</v>
      </c>
      <c r="B467" s="8"/>
      <c r="C467" s="8"/>
      <c r="D467" s="8"/>
      <c r="E467" s="8"/>
      <c r="F467" s="12">
        <v>1.0</v>
      </c>
      <c r="G467" s="12">
        <v>1.0</v>
      </c>
      <c r="H467" s="12">
        <v>1.0</v>
      </c>
      <c r="I467" s="12">
        <v>0.0</v>
      </c>
      <c r="J467" s="12">
        <v>1.0</v>
      </c>
      <c r="K467" s="12">
        <v>1.0</v>
      </c>
      <c r="L467" s="2"/>
      <c r="M467" s="12">
        <v>1.0</v>
      </c>
      <c r="N467" s="12">
        <v>1.0</v>
      </c>
      <c r="O467" s="13">
        <v>1.0</v>
      </c>
      <c r="P467" s="12">
        <v>1.0</v>
      </c>
      <c r="Q467" s="5"/>
      <c r="R467" s="10">
        <f>sum(F467:K467,M467:P467)/(COUNTIF(B467:P467, 1) + (COUNTIF(B467:P467, 0)) + COUNTIF(B467:P467, 0.5))</f>
        <v>0.9</v>
      </c>
    </row>
    <row r="468">
      <c r="A468" s="7">
        <v>240.0</v>
      </c>
      <c r="B468" s="8">
        <v>2063.0</v>
      </c>
      <c r="C468" s="8">
        <v>125.0</v>
      </c>
      <c r="D468" s="8">
        <v>35.0482</v>
      </c>
      <c r="E468" s="8">
        <v>-111.522</v>
      </c>
      <c r="F468" s="1"/>
      <c r="G468" s="1"/>
      <c r="H468" s="3" t="s">
        <v>1088</v>
      </c>
      <c r="I468" s="3" t="s">
        <v>18</v>
      </c>
      <c r="J468" s="3" t="s">
        <v>1089</v>
      </c>
      <c r="K468" s="1"/>
      <c r="L468" s="2" t="s">
        <v>1090</v>
      </c>
      <c r="M468" s="3" t="s">
        <v>1091</v>
      </c>
      <c r="N468" s="3" t="s">
        <v>43</v>
      </c>
      <c r="O468" s="4" t="s">
        <v>1092</v>
      </c>
      <c r="P468" s="3" t="s">
        <v>24</v>
      </c>
      <c r="Q468" s="5" t="s">
        <v>1093</v>
      </c>
      <c r="R468" s="10"/>
    </row>
    <row r="469">
      <c r="A469" s="11" t="s">
        <v>1094</v>
      </c>
      <c r="B469" s="8"/>
      <c r="C469" s="8"/>
      <c r="D469" s="8"/>
      <c r="E469" s="8"/>
      <c r="F469" s="12">
        <v>1.0</v>
      </c>
      <c r="G469" s="12">
        <v>1.0</v>
      </c>
      <c r="H469" s="12">
        <v>1.0</v>
      </c>
      <c r="I469" s="12">
        <v>1.0</v>
      </c>
      <c r="J469" s="12">
        <v>1.0</v>
      </c>
      <c r="K469" s="12">
        <v>1.0</v>
      </c>
      <c r="L469" s="2"/>
      <c r="M469" s="12">
        <v>1.0</v>
      </c>
      <c r="N469" s="12">
        <v>1.0</v>
      </c>
      <c r="O469" s="13">
        <v>1.0</v>
      </c>
      <c r="P469" s="12">
        <v>1.0</v>
      </c>
      <c r="Q469" s="5"/>
      <c r="R469" s="10">
        <f>sum(F469:K469,M469:P469)/(COUNTIF(B469:P469, 1) + (COUNTIF(B469:P469, 0)) + COUNTIF(B469:P469, 0.5))</f>
        <v>1</v>
      </c>
    </row>
    <row r="470">
      <c r="A470" s="7">
        <v>241.0</v>
      </c>
      <c r="B470" s="8">
        <v>2063.0</v>
      </c>
      <c r="C470" s="8">
        <v>125.0</v>
      </c>
      <c r="D470" s="8">
        <v>37.1133</v>
      </c>
      <c r="E470" s="8">
        <v>-112.975</v>
      </c>
      <c r="F470" s="1"/>
      <c r="G470" s="1"/>
      <c r="H470" s="3" t="s">
        <v>1095</v>
      </c>
      <c r="I470" s="3" t="s">
        <v>1096</v>
      </c>
      <c r="J470" s="3" t="s">
        <v>1097</v>
      </c>
      <c r="K470" s="1"/>
      <c r="L470" s="2" t="s">
        <v>185</v>
      </c>
      <c r="M470" s="3" t="s">
        <v>1098</v>
      </c>
      <c r="N470" s="3" t="s">
        <v>43</v>
      </c>
      <c r="O470" s="4" t="s">
        <v>1092</v>
      </c>
      <c r="P470" s="3" t="s">
        <v>24</v>
      </c>
      <c r="Q470" s="5" t="s">
        <v>1093</v>
      </c>
      <c r="R470" s="10"/>
    </row>
    <row r="471">
      <c r="A471" s="11" t="s">
        <v>1099</v>
      </c>
      <c r="B471" s="8"/>
      <c r="C471" s="8"/>
      <c r="D471" s="8"/>
      <c r="E471" s="8"/>
      <c r="F471" s="12">
        <v>1.0</v>
      </c>
      <c r="G471" s="12">
        <v>1.0</v>
      </c>
      <c r="H471" s="12">
        <v>1.0</v>
      </c>
      <c r="I471" s="12">
        <v>1.0</v>
      </c>
      <c r="J471" s="12">
        <v>1.0</v>
      </c>
      <c r="K471" s="12">
        <v>1.0</v>
      </c>
      <c r="L471" s="2"/>
      <c r="M471" s="12">
        <v>1.0</v>
      </c>
      <c r="N471" s="12">
        <v>1.0</v>
      </c>
      <c r="O471" s="13">
        <v>1.0</v>
      </c>
      <c r="P471" s="12">
        <v>1.0</v>
      </c>
      <c r="Q471" s="5"/>
      <c r="R471" s="10">
        <f>sum(F471:K471,M471:P471)/(COUNTIF(B471:P471, 1) + (COUNTIF(B471:P471, 0)) + COUNTIF(B471:P471, 0.5))</f>
        <v>1</v>
      </c>
    </row>
    <row r="472">
      <c r="A472" s="7">
        <v>156.0</v>
      </c>
      <c r="B472" s="8">
        <v>2063.0</v>
      </c>
      <c r="C472" s="8">
        <v>137.0</v>
      </c>
      <c r="D472" s="8">
        <v>34.0</v>
      </c>
      <c r="E472" s="8">
        <v>-111.5</v>
      </c>
      <c r="F472" s="1"/>
      <c r="G472" s="1"/>
      <c r="H472" s="12" t="s">
        <v>1100</v>
      </c>
      <c r="I472" s="12" t="s">
        <v>1101</v>
      </c>
      <c r="J472" s="3" t="s">
        <v>1102</v>
      </c>
      <c r="K472" s="1"/>
      <c r="L472" s="2" t="s">
        <v>1103</v>
      </c>
      <c r="M472" s="1"/>
      <c r="N472" s="1"/>
      <c r="O472" s="4" t="s">
        <v>1104</v>
      </c>
      <c r="P472" s="3" t="s">
        <v>65</v>
      </c>
      <c r="Q472" s="5" t="s">
        <v>1105</v>
      </c>
      <c r="R472" s="10"/>
    </row>
    <row r="473">
      <c r="A473" s="11" t="s">
        <v>1106</v>
      </c>
      <c r="B473" s="8"/>
      <c r="C473" s="8"/>
      <c r="D473" s="8"/>
      <c r="E473" s="8"/>
      <c r="F473" s="12">
        <v>1.0</v>
      </c>
      <c r="G473" s="12">
        <v>1.0</v>
      </c>
      <c r="H473" s="12">
        <v>1.0</v>
      </c>
      <c r="I473" s="12">
        <v>1.0</v>
      </c>
      <c r="J473" s="12">
        <v>1.0</v>
      </c>
      <c r="K473" s="12">
        <v>1.0</v>
      </c>
      <c r="L473" s="2"/>
      <c r="M473" s="12">
        <v>1.0</v>
      </c>
      <c r="N473" s="12">
        <v>1.0</v>
      </c>
      <c r="O473" s="13">
        <v>1.0</v>
      </c>
      <c r="P473" s="12">
        <v>1.0</v>
      </c>
      <c r="Q473" s="5"/>
      <c r="R473" s="10">
        <f>sum(F473:K473,M473:P473)/(COUNTIF(B473:P473, 1) + (COUNTIF(B473:P473, 0)) + COUNTIF(B473:P473, 0.5))</f>
        <v>1</v>
      </c>
    </row>
    <row r="474">
      <c r="A474" s="7">
        <v>157.0</v>
      </c>
      <c r="B474" s="8">
        <v>2063.0</v>
      </c>
      <c r="C474" s="8">
        <v>137.0</v>
      </c>
      <c r="D474" s="8">
        <v>34.0</v>
      </c>
      <c r="E474" s="8">
        <v>-111.5</v>
      </c>
      <c r="F474" s="1"/>
      <c r="G474" s="1"/>
      <c r="H474" s="3" t="s">
        <v>1107</v>
      </c>
      <c r="I474" s="3" t="s">
        <v>1108</v>
      </c>
      <c r="J474" s="3" t="s">
        <v>1109</v>
      </c>
      <c r="K474" s="1"/>
      <c r="L474" s="2" t="s">
        <v>1103</v>
      </c>
      <c r="M474" s="1"/>
      <c r="N474" s="1"/>
      <c r="O474" s="4" t="s">
        <v>1104</v>
      </c>
      <c r="P474" s="3" t="s">
        <v>65</v>
      </c>
      <c r="Q474" s="5" t="s">
        <v>1105</v>
      </c>
      <c r="R474" s="10"/>
    </row>
    <row r="475">
      <c r="A475" s="11" t="s">
        <v>1110</v>
      </c>
      <c r="B475" s="8"/>
      <c r="C475" s="8"/>
      <c r="D475" s="8"/>
      <c r="E475" s="8"/>
      <c r="F475" s="12">
        <v>1.0</v>
      </c>
      <c r="G475" s="12">
        <v>1.0</v>
      </c>
      <c r="H475" s="12">
        <v>1.0</v>
      </c>
      <c r="I475" s="12">
        <v>1.0</v>
      </c>
      <c r="J475" s="12">
        <v>1.0</v>
      </c>
      <c r="K475" s="12">
        <v>1.0</v>
      </c>
      <c r="L475" s="2"/>
      <c r="M475" s="12">
        <v>1.0</v>
      </c>
      <c r="N475" s="12">
        <v>1.0</v>
      </c>
      <c r="O475" s="13">
        <v>1.0</v>
      </c>
      <c r="P475" s="12">
        <v>1.0</v>
      </c>
      <c r="Q475" s="5"/>
      <c r="R475" s="10">
        <f>sum(F475:K475,M475:P475)/(COUNTIF(B475:P475, 1) + (COUNTIF(B475:P475, 0)) + COUNTIF(B475:P475, 0.5))</f>
        <v>1</v>
      </c>
    </row>
    <row r="476">
      <c r="A476" s="7">
        <v>158.0</v>
      </c>
      <c r="B476" s="8">
        <v>2063.0</v>
      </c>
      <c r="C476" s="8">
        <v>137.0</v>
      </c>
      <c r="D476" s="8">
        <v>34.0</v>
      </c>
      <c r="E476" s="8">
        <v>-111.5</v>
      </c>
      <c r="F476" s="1"/>
      <c r="G476" s="1"/>
      <c r="H476" s="3" t="s">
        <v>1111</v>
      </c>
      <c r="I476" s="3" t="s">
        <v>1112</v>
      </c>
      <c r="J476" s="3" t="s">
        <v>1113</v>
      </c>
      <c r="K476" s="1"/>
      <c r="L476" s="2" t="s">
        <v>1103</v>
      </c>
      <c r="M476" s="1"/>
      <c r="N476" s="1"/>
      <c r="O476" s="4" t="s">
        <v>1104</v>
      </c>
      <c r="P476" s="3" t="s">
        <v>65</v>
      </c>
      <c r="Q476" s="5" t="s">
        <v>1105</v>
      </c>
      <c r="R476" s="10"/>
    </row>
    <row r="477">
      <c r="A477" s="11" t="s">
        <v>1114</v>
      </c>
      <c r="B477" s="8"/>
      <c r="C477" s="8"/>
      <c r="D477" s="8"/>
      <c r="E477" s="8"/>
      <c r="F477" s="12">
        <v>1.0</v>
      </c>
      <c r="G477" s="12">
        <v>1.0</v>
      </c>
      <c r="H477" s="12">
        <v>1.0</v>
      </c>
      <c r="I477" s="12">
        <v>1.0</v>
      </c>
      <c r="J477" s="12">
        <v>1.0</v>
      </c>
      <c r="K477" s="12">
        <v>1.0</v>
      </c>
      <c r="L477" s="2"/>
      <c r="M477" s="12">
        <v>1.0</v>
      </c>
      <c r="N477" s="12">
        <v>1.0</v>
      </c>
      <c r="O477" s="13">
        <v>1.0</v>
      </c>
      <c r="P477" s="12">
        <v>1.0</v>
      </c>
      <c r="Q477" s="5"/>
      <c r="R477" s="10">
        <f>sum(F477:K477,M477:P477)/(COUNTIF(B477:P477, 1) + (COUNTIF(B477:P477, 0)) + COUNTIF(B477:P477, 0.5))</f>
        <v>1</v>
      </c>
    </row>
    <row r="478">
      <c r="A478" s="7">
        <v>159.0</v>
      </c>
      <c r="B478" s="8">
        <v>2063.0</v>
      </c>
      <c r="C478" s="8">
        <v>137.0</v>
      </c>
      <c r="D478" s="8">
        <v>34.0</v>
      </c>
      <c r="E478" s="8">
        <v>-111.5</v>
      </c>
      <c r="F478" s="1"/>
      <c r="G478" s="1"/>
      <c r="H478" s="3" t="s">
        <v>1115</v>
      </c>
      <c r="I478" s="3" t="s">
        <v>1116</v>
      </c>
      <c r="J478" s="3" t="s">
        <v>1117</v>
      </c>
      <c r="K478" s="1"/>
      <c r="L478" s="2" t="s">
        <v>1103</v>
      </c>
      <c r="M478" s="1"/>
      <c r="N478" s="1"/>
      <c r="O478" s="4" t="s">
        <v>1104</v>
      </c>
      <c r="P478" s="3" t="s">
        <v>65</v>
      </c>
      <c r="Q478" s="5" t="s">
        <v>1105</v>
      </c>
      <c r="R478" s="10"/>
    </row>
    <row r="479">
      <c r="A479" s="11" t="s">
        <v>1118</v>
      </c>
      <c r="B479" s="8"/>
      <c r="C479" s="8"/>
      <c r="D479" s="8"/>
      <c r="E479" s="8"/>
      <c r="F479" s="12">
        <v>1.0</v>
      </c>
      <c r="G479" s="12">
        <v>1.0</v>
      </c>
      <c r="H479" s="12">
        <v>1.0</v>
      </c>
      <c r="I479" s="12">
        <v>1.0</v>
      </c>
      <c r="J479" s="12">
        <v>1.0</v>
      </c>
      <c r="K479" s="12">
        <v>1.0</v>
      </c>
      <c r="L479" s="2"/>
      <c r="M479" s="12">
        <v>1.0</v>
      </c>
      <c r="N479" s="12">
        <v>1.0</v>
      </c>
      <c r="O479" s="13">
        <v>1.0</v>
      </c>
      <c r="P479" s="12">
        <v>1.0</v>
      </c>
      <c r="Q479" s="5"/>
      <c r="R479" s="10">
        <f>sum(F479:K479,M479:P479)/(COUNTIF(B479:P479, 1) + (COUNTIF(B479:P479, 0)) + COUNTIF(B479:P479, 0.5))</f>
        <v>1</v>
      </c>
    </row>
    <row r="480">
      <c r="A480" s="7">
        <v>160.0</v>
      </c>
      <c r="B480" s="8">
        <v>2063.0</v>
      </c>
      <c r="C480" s="8">
        <v>137.0</v>
      </c>
      <c r="D480" s="8">
        <v>34.0</v>
      </c>
      <c r="E480" s="8">
        <v>-111.5</v>
      </c>
      <c r="F480" s="1"/>
      <c r="G480" s="1"/>
      <c r="H480" s="3" t="s">
        <v>1119</v>
      </c>
      <c r="I480" s="3" t="s">
        <v>1120</v>
      </c>
      <c r="J480" s="3" t="s">
        <v>1121</v>
      </c>
      <c r="K480" s="1"/>
      <c r="L480" s="2" t="s">
        <v>1103</v>
      </c>
      <c r="M480" s="1"/>
      <c r="N480" s="1"/>
      <c r="O480" s="4" t="s">
        <v>1104</v>
      </c>
      <c r="P480" s="3" t="s">
        <v>65</v>
      </c>
      <c r="Q480" s="5" t="s">
        <v>1105</v>
      </c>
      <c r="R480" s="10"/>
    </row>
    <row r="481">
      <c r="A481" s="11" t="s">
        <v>1122</v>
      </c>
      <c r="B481" s="8"/>
      <c r="C481" s="8"/>
      <c r="D481" s="8"/>
      <c r="E481" s="8"/>
      <c r="F481" s="12">
        <v>1.0</v>
      </c>
      <c r="G481" s="12">
        <v>1.0</v>
      </c>
      <c r="H481" s="12">
        <v>1.0</v>
      </c>
      <c r="I481" s="12">
        <v>1.0</v>
      </c>
      <c r="J481" s="12">
        <v>1.0</v>
      </c>
      <c r="K481" s="12">
        <v>1.0</v>
      </c>
      <c r="L481" s="2"/>
      <c r="M481" s="12">
        <v>1.0</v>
      </c>
      <c r="N481" s="12">
        <v>1.0</v>
      </c>
      <c r="O481" s="13">
        <v>1.0</v>
      </c>
      <c r="P481" s="12">
        <v>1.0</v>
      </c>
      <c r="Q481" s="5"/>
      <c r="R481" s="10">
        <f>sum(F481:K481,M481:P481)/(COUNTIF(B481:P481, 1) + (COUNTIF(B481:P481, 0)) + COUNTIF(B481:P481, 0.5))</f>
        <v>1</v>
      </c>
    </row>
    <row r="482">
      <c r="A482" s="7">
        <v>161.0</v>
      </c>
      <c r="B482" s="8">
        <v>2063.0</v>
      </c>
      <c r="C482" s="8">
        <v>137.0</v>
      </c>
      <c r="D482" s="8">
        <v>34.0</v>
      </c>
      <c r="E482" s="8">
        <v>-111.5</v>
      </c>
      <c r="F482" s="1"/>
      <c r="G482" s="1"/>
      <c r="H482" s="3" t="s">
        <v>1123</v>
      </c>
      <c r="I482" s="3" t="s">
        <v>1124</v>
      </c>
      <c r="J482" s="3" t="s">
        <v>1125</v>
      </c>
      <c r="K482" s="1"/>
      <c r="L482" s="2" t="s">
        <v>1103</v>
      </c>
      <c r="M482" s="1"/>
      <c r="N482" s="1"/>
      <c r="O482" s="4" t="s">
        <v>1104</v>
      </c>
      <c r="P482" s="3" t="s">
        <v>65</v>
      </c>
      <c r="Q482" s="5" t="s">
        <v>1105</v>
      </c>
      <c r="R482" s="10"/>
    </row>
    <row r="483">
      <c r="A483" s="11" t="s">
        <v>1126</v>
      </c>
      <c r="B483" s="8"/>
      <c r="C483" s="8"/>
      <c r="D483" s="8"/>
      <c r="E483" s="8"/>
      <c r="F483" s="12">
        <v>1.0</v>
      </c>
      <c r="G483" s="12">
        <v>1.0</v>
      </c>
      <c r="H483" s="12">
        <v>1.0</v>
      </c>
      <c r="I483" s="12">
        <v>1.0</v>
      </c>
      <c r="J483" s="12">
        <v>1.0</v>
      </c>
      <c r="K483" s="12">
        <v>1.0</v>
      </c>
      <c r="L483" s="2"/>
      <c r="M483" s="12">
        <v>1.0</v>
      </c>
      <c r="N483" s="12">
        <v>1.0</v>
      </c>
      <c r="O483" s="13">
        <v>1.0</v>
      </c>
      <c r="P483" s="12">
        <v>1.0</v>
      </c>
      <c r="Q483" s="5"/>
      <c r="R483" s="10">
        <f>sum(F483:K483,M483:P483)/(COUNTIF(B483:P483, 1) + (COUNTIF(B483:P483, 0)) + COUNTIF(B483:P483, 0.5))</f>
        <v>1</v>
      </c>
    </row>
    <row r="484">
      <c r="A484" s="7">
        <v>162.0</v>
      </c>
      <c r="B484" s="8">
        <v>2063.0</v>
      </c>
      <c r="C484" s="8">
        <v>137.0</v>
      </c>
      <c r="D484" s="8">
        <v>34.0</v>
      </c>
      <c r="E484" s="8">
        <v>-111.5</v>
      </c>
      <c r="F484" s="1"/>
      <c r="G484" s="1"/>
      <c r="H484" s="3" t="s">
        <v>1127</v>
      </c>
      <c r="I484" s="3" t="s">
        <v>1128</v>
      </c>
      <c r="J484" s="3" t="s">
        <v>1129</v>
      </c>
      <c r="K484" s="1"/>
      <c r="L484" s="2" t="s">
        <v>1103</v>
      </c>
      <c r="M484" s="1"/>
      <c r="N484" s="1"/>
      <c r="O484" s="4" t="s">
        <v>1104</v>
      </c>
      <c r="P484" s="3" t="s">
        <v>65</v>
      </c>
      <c r="Q484" s="5" t="s">
        <v>1105</v>
      </c>
      <c r="R484" s="10"/>
    </row>
    <row r="485">
      <c r="A485" s="11" t="s">
        <v>1130</v>
      </c>
      <c r="B485" s="8"/>
      <c r="C485" s="8"/>
      <c r="D485" s="8"/>
      <c r="E485" s="8"/>
      <c r="F485" s="12">
        <v>1.0</v>
      </c>
      <c r="G485" s="12">
        <v>1.0</v>
      </c>
      <c r="H485" s="12">
        <v>1.0</v>
      </c>
      <c r="I485" s="12">
        <v>1.0</v>
      </c>
      <c r="J485" s="12">
        <v>1.0</v>
      </c>
      <c r="K485" s="12">
        <v>1.0</v>
      </c>
      <c r="L485" s="2"/>
      <c r="M485" s="12">
        <v>1.0</v>
      </c>
      <c r="N485" s="12">
        <v>1.0</v>
      </c>
      <c r="O485" s="13">
        <v>1.0</v>
      </c>
      <c r="P485" s="12">
        <v>1.0</v>
      </c>
      <c r="Q485" s="5"/>
      <c r="R485" s="10">
        <f>sum(F485:K485,M485:P485)/(COUNTIF(B485:P485, 1) + (COUNTIF(B485:P485, 0)) + COUNTIF(B485:P485, 0.5))</f>
        <v>1</v>
      </c>
    </row>
    <row r="486">
      <c r="A486" s="7">
        <v>163.0</v>
      </c>
      <c r="B486" s="8">
        <v>2063.0</v>
      </c>
      <c r="C486" s="8">
        <v>137.0</v>
      </c>
      <c r="D486" s="8">
        <v>34.0</v>
      </c>
      <c r="E486" s="8">
        <v>-111.5</v>
      </c>
      <c r="F486" s="1"/>
      <c r="G486" s="1"/>
      <c r="H486" s="3" t="s">
        <v>1131</v>
      </c>
      <c r="I486" s="3" t="s">
        <v>1132</v>
      </c>
      <c r="J486" s="3" t="s">
        <v>1133</v>
      </c>
      <c r="K486" s="1"/>
      <c r="L486" s="2" t="s">
        <v>1103</v>
      </c>
      <c r="M486" s="1"/>
      <c r="N486" s="1"/>
      <c r="O486" s="4" t="s">
        <v>1104</v>
      </c>
      <c r="P486" s="3" t="s">
        <v>65</v>
      </c>
      <c r="Q486" s="5" t="s">
        <v>1105</v>
      </c>
      <c r="R486" s="10"/>
    </row>
    <row r="487">
      <c r="A487" s="11" t="s">
        <v>1134</v>
      </c>
      <c r="B487" s="8"/>
      <c r="C487" s="8"/>
      <c r="D487" s="8"/>
      <c r="E487" s="8"/>
      <c r="F487" s="12">
        <v>1.0</v>
      </c>
      <c r="G487" s="12">
        <v>1.0</v>
      </c>
      <c r="H487" s="12">
        <v>1.0</v>
      </c>
      <c r="I487" s="12">
        <v>1.0</v>
      </c>
      <c r="J487" s="12">
        <v>1.0</v>
      </c>
      <c r="K487" s="12">
        <v>1.0</v>
      </c>
      <c r="L487" s="2"/>
      <c r="M487" s="12">
        <v>1.0</v>
      </c>
      <c r="N487" s="12">
        <v>1.0</v>
      </c>
      <c r="O487" s="13">
        <v>1.0</v>
      </c>
      <c r="P487" s="12">
        <v>1.0</v>
      </c>
      <c r="Q487" s="5"/>
      <c r="R487" s="10">
        <f>sum(F487:K487,M487:P487)/(COUNTIF(B487:P487, 1) + (COUNTIF(B487:P487, 0)) + COUNTIF(B487:P487, 0.5))</f>
        <v>1</v>
      </c>
    </row>
    <row r="488">
      <c r="A488" s="7">
        <v>164.0</v>
      </c>
      <c r="B488" s="8">
        <v>2063.0</v>
      </c>
      <c r="C488" s="8">
        <v>137.0</v>
      </c>
      <c r="D488" s="8">
        <v>34.0</v>
      </c>
      <c r="E488" s="8">
        <v>-111.5</v>
      </c>
      <c r="F488" s="1"/>
      <c r="G488" s="1"/>
      <c r="H488" s="3" t="s">
        <v>1135</v>
      </c>
      <c r="I488" s="3" t="s">
        <v>1136</v>
      </c>
      <c r="J488" s="3" t="s">
        <v>1137</v>
      </c>
      <c r="K488" s="1"/>
      <c r="L488" s="2" t="s">
        <v>1103</v>
      </c>
      <c r="M488" s="1"/>
      <c r="N488" s="1"/>
      <c r="O488" s="4" t="s">
        <v>1104</v>
      </c>
      <c r="P488" s="3" t="s">
        <v>65</v>
      </c>
      <c r="Q488" s="5" t="s">
        <v>1105</v>
      </c>
      <c r="R488" s="10"/>
    </row>
    <row r="489">
      <c r="A489" s="11" t="s">
        <v>1138</v>
      </c>
      <c r="B489" s="8"/>
      <c r="C489" s="8"/>
      <c r="D489" s="8"/>
      <c r="E489" s="8"/>
      <c r="F489" s="12">
        <v>1.0</v>
      </c>
      <c r="G489" s="12">
        <v>1.0</v>
      </c>
      <c r="H489" s="12">
        <v>1.0</v>
      </c>
      <c r="I489" s="12">
        <v>1.0</v>
      </c>
      <c r="J489" s="12">
        <v>1.0</v>
      </c>
      <c r="K489" s="12">
        <v>1.0</v>
      </c>
      <c r="L489" s="2"/>
      <c r="M489" s="12">
        <v>1.0</v>
      </c>
      <c r="N489" s="12">
        <v>1.0</v>
      </c>
      <c r="O489" s="13">
        <v>1.0</v>
      </c>
      <c r="P489" s="12">
        <v>1.0</v>
      </c>
      <c r="Q489" s="5"/>
      <c r="R489" s="10">
        <f>sum(F489:K489,M489:P489)/(COUNTIF(B489:P489, 1) + (COUNTIF(B489:P489, 0)) + COUNTIF(B489:P489, 0.5))</f>
        <v>1</v>
      </c>
    </row>
    <row r="490">
      <c r="A490" s="7">
        <v>112.0</v>
      </c>
      <c r="B490" s="8">
        <v>2063.0</v>
      </c>
      <c r="C490" s="8">
        <v>140.0</v>
      </c>
      <c r="D490" s="8">
        <v>37.4</v>
      </c>
      <c r="E490" s="8">
        <v>-112.7</v>
      </c>
      <c r="F490" s="1"/>
      <c r="G490" s="1"/>
      <c r="H490" s="3" t="s">
        <v>1139</v>
      </c>
      <c r="I490" s="3" t="s">
        <v>18</v>
      </c>
      <c r="J490" s="3" t="s">
        <v>1140</v>
      </c>
      <c r="K490" s="1"/>
      <c r="L490" s="2" t="s">
        <v>185</v>
      </c>
      <c r="M490" s="3" t="s">
        <v>1141</v>
      </c>
      <c r="N490" s="3" t="s">
        <v>139</v>
      </c>
      <c r="O490" s="4" t="s">
        <v>231</v>
      </c>
      <c r="P490" s="3" t="s">
        <v>24</v>
      </c>
      <c r="Q490" s="5" t="s">
        <v>1142</v>
      </c>
      <c r="R490" s="10"/>
    </row>
    <row r="491">
      <c r="A491" s="11" t="s">
        <v>1143</v>
      </c>
      <c r="B491" s="8"/>
      <c r="C491" s="8"/>
      <c r="D491" s="8"/>
      <c r="E491" s="8"/>
      <c r="F491" s="12">
        <v>1.0</v>
      </c>
      <c r="G491" s="12">
        <v>1.0</v>
      </c>
      <c r="H491" s="12">
        <v>1.0</v>
      </c>
      <c r="I491" s="12">
        <v>1.0</v>
      </c>
      <c r="J491" s="12">
        <v>1.0</v>
      </c>
      <c r="K491" s="12">
        <v>1.0</v>
      </c>
      <c r="L491" s="2"/>
      <c r="M491" s="12">
        <v>1.0</v>
      </c>
      <c r="N491" s="12">
        <v>1.0</v>
      </c>
      <c r="O491" s="13">
        <v>1.0</v>
      </c>
      <c r="P491" s="12">
        <v>1.0</v>
      </c>
      <c r="Q491" s="5"/>
      <c r="R491" s="10">
        <f>sum(F491:K491,M491:P491)/(COUNTIF(B491:P491, 1) + (COUNTIF(B491:P491, 0)) + COUNTIF(B491:P491, 0.5))</f>
        <v>1</v>
      </c>
    </row>
    <row r="492">
      <c r="A492" s="7">
        <v>113.0</v>
      </c>
      <c r="B492" s="8">
        <v>2063.0</v>
      </c>
      <c r="C492" s="8">
        <v>140.0</v>
      </c>
      <c r="D492" s="8">
        <v>38.35</v>
      </c>
      <c r="E492" s="8">
        <v>-111.89</v>
      </c>
      <c r="F492" s="1"/>
      <c r="G492" s="1"/>
      <c r="H492" s="3" t="s">
        <v>1144</v>
      </c>
      <c r="I492" s="3" t="s">
        <v>18</v>
      </c>
      <c r="J492" s="3" t="s">
        <v>1145</v>
      </c>
      <c r="K492" s="1"/>
      <c r="L492" s="2" t="s">
        <v>1146</v>
      </c>
      <c r="M492" s="3" t="s">
        <v>1141</v>
      </c>
      <c r="N492" s="3" t="s">
        <v>139</v>
      </c>
      <c r="O492" s="4" t="s">
        <v>231</v>
      </c>
      <c r="P492" s="3" t="s">
        <v>24</v>
      </c>
      <c r="Q492" s="5" t="s">
        <v>1147</v>
      </c>
      <c r="R492" s="10"/>
    </row>
    <row r="493">
      <c r="A493" s="11" t="s">
        <v>1148</v>
      </c>
      <c r="B493" s="8"/>
      <c r="C493" s="8"/>
      <c r="D493" s="8"/>
      <c r="E493" s="8"/>
      <c r="F493" s="12">
        <v>1.0</v>
      </c>
      <c r="G493" s="12">
        <v>1.0</v>
      </c>
      <c r="H493" s="12">
        <v>1.0</v>
      </c>
      <c r="I493" s="12">
        <v>1.0</v>
      </c>
      <c r="J493" s="12">
        <v>1.0</v>
      </c>
      <c r="K493" s="12">
        <v>1.0</v>
      </c>
      <c r="L493" s="2"/>
      <c r="M493" s="12">
        <v>1.0</v>
      </c>
      <c r="N493" s="12">
        <v>1.0</v>
      </c>
      <c r="O493" s="13">
        <v>1.0</v>
      </c>
      <c r="P493" s="12">
        <v>1.0</v>
      </c>
      <c r="Q493" s="5"/>
      <c r="R493" s="10">
        <f>sum(F493:K493,M493:P493)/(COUNTIF(B493:P493, 1) + (COUNTIF(B493:P493, 0)) + COUNTIF(B493:P493, 0.5))</f>
        <v>1</v>
      </c>
    </row>
    <row r="494">
      <c r="A494" s="7">
        <v>114.0</v>
      </c>
      <c r="B494" s="8">
        <v>2063.0</v>
      </c>
      <c r="C494" s="8">
        <v>140.0</v>
      </c>
      <c r="D494" s="8">
        <v>39.28</v>
      </c>
      <c r="E494" s="8">
        <v>-111.13</v>
      </c>
      <c r="F494" s="1"/>
      <c r="G494" s="1"/>
      <c r="H494" s="3" t="s">
        <v>1149</v>
      </c>
      <c r="I494" s="3" t="s">
        <v>18</v>
      </c>
      <c r="J494" s="3" t="s">
        <v>1150</v>
      </c>
      <c r="K494" s="1"/>
      <c r="L494" s="2" t="s">
        <v>1151</v>
      </c>
      <c r="M494" s="3" t="s">
        <v>1141</v>
      </c>
      <c r="N494" s="3" t="s">
        <v>139</v>
      </c>
      <c r="O494" s="4" t="s">
        <v>231</v>
      </c>
      <c r="P494" s="3" t="s">
        <v>24</v>
      </c>
      <c r="Q494" s="5" t="s">
        <v>1147</v>
      </c>
      <c r="R494" s="10"/>
    </row>
    <row r="495">
      <c r="A495" s="11" t="s">
        <v>1152</v>
      </c>
      <c r="B495" s="8"/>
      <c r="C495" s="8"/>
      <c r="D495" s="8"/>
      <c r="E495" s="8"/>
      <c r="F495" s="12">
        <v>1.0</v>
      </c>
      <c r="G495" s="12">
        <v>1.0</v>
      </c>
      <c r="H495" s="12">
        <v>1.0</v>
      </c>
      <c r="I495" s="12">
        <v>1.0</v>
      </c>
      <c r="J495" s="12">
        <v>1.0</v>
      </c>
      <c r="K495" s="12">
        <v>1.0</v>
      </c>
      <c r="L495" s="2"/>
      <c r="M495" s="12">
        <v>1.0</v>
      </c>
      <c r="N495" s="12">
        <v>1.0</v>
      </c>
      <c r="O495" s="13">
        <v>1.0</v>
      </c>
      <c r="P495" s="12">
        <v>1.0</v>
      </c>
      <c r="Q495" s="5"/>
      <c r="R495" s="10">
        <f>sum(F495:K495,M495:P495)/(COUNTIF(B495:P495, 1) + (COUNTIF(B495:P495, 0)) + COUNTIF(B495:P495, 0.5))</f>
        <v>1</v>
      </c>
    </row>
    <row r="496">
      <c r="A496" s="7">
        <v>115.0</v>
      </c>
      <c r="B496" s="8">
        <v>2063.0</v>
      </c>
      <c r="C496" s="8">
        <v>140.0</v>
      </c>
      <c r="D496" s="8">
        <v>38.5</v>
      </c>
      <c r="E496" s="8">
        <v>-111.8</v>
      </c>
      <c r="F496" s="1"/>
      <c r="G496" s="1"/>
      <c r="H496" s="3" t="s">
        <v>1153</v>
      </c>
      <c r="I496" s="3" t="s">
        <v>18</v>
      </c>
      <c r="J496" s="3" t="s">
        <v>1154</v>
      </c>
      <c r="K496" s="1"/>
      <c r="L496" s="2" t="s">
        <v>1146</v>
      </c>
      <c r="M496" s="1"/>
      <c r="N496" s="1"/>
      <c r="O496" s="4" t="s">
        <v>231</v>
      </c>
      <c r="P496" s="3" t="s">
        <v>65</v>
      </c>
      <c r="Q496" s="5" t="s">
        <v>1155</v>
      </c>
      <c r="R496" s="10"/>
    </row>
    <row r="497">
      <c r="A497" s="11" t="s">
        <v>1156</v>
      </c>
      <c r="B497" s="8"/>
      <c r="C497" s="8"/>
      <c r="D497" s="8"/>
      <c r="E497" s="8"/>
      <c r="F497" s="12">
        <v>1.0</v>
      </c>
      <c r="G497" s="12">
        <v>1.0</v>
      </c>
      <c r="H497" s="12">
        <v>1.0</v>
      </c>
      <c r="I497" s="12">
        <v>1.0</v>
      </c>
      <c r="J497" s="12">
        <v>1.0</v>
      </c>
      <c r="K497" s="12">
        <v>1.0</v>
      </c>
      <c r="L497" s="2"/>
      <c r="M497" s="12">
        <v>1.0</v>
      </c>
      <c r="N497" s="12">
        <v>1.0</v>
      </c>
      <c r="O497" s="13">
        <v>1.0</v>
      </c>
      <c r="P497" s="12">
        <v>1.0</v>
      </c>
      <c r="Q497" s="5"/>
      <c r="R497" s="10">
        <f>sum(F497:K497,M497:P497)/(COUNTIF(B497:P497, 1) + (COUNTIF(B497:P497, 0)) + COUNTIF(B497:P497, 0.5))</f>
        <v>1</v>
      </c>
    </row>
    <row r="498">
      <c r="A498" s="7">
        <v>116.0</v>
      </c>
      <c r="B498" s="8">
        <v>2063.0</v>
      </c>
      <c r="C498" s="8">
        <v>140.0</v>
      </c>
      <c r="D498" s="8">
        <v>38.5</v>
      </c>
      <c r="E498" s="8">
        <v>-111.8</v>
      </c>
      <c r="F498" s="1"/>
      <c r="G498" s="1"/>
      <c r="H498" s="3" t="s">
        <v>1157</v>
      </c>
      <c r="I498" s="3" t="s">
        <v>18</v>
      </c>
      <c r="J498" s="3" t="s">
        <v>1158</v>
      </c>
      <c r="K498" s="1"/>
      <c r="L498" s="2" t="s">
        <v>1146</v>
      </c>
      <c r="M498" s="1"/>
      <c r="N498" s="1"/>
      <c r="O498" s="4" t="s">
        <v>231</v>
      </c>
      <c r="P498" s="3" t="s">
        <v>65</v>
      </c>
      <c r="Q498" s="5" t="s">
        <v>1155</v>
      </c>
      <c r="R498" s="10"/>
    </row>
    <row r="499">
      <c r="A499" s="11" t="s">
        <v>1159</v>
      </c>
      <c r="B499" s="8"/>
      <c r="C499" s="8"/>
      <c r="D499" s="8"/>
      <c r="E499" s="8"/>
      <c r="F499" s="12">
        <v>1.0</v>
      </c>
      <c r="G499" s="12">
        <v>1.0</v>
      </c>
      <c r="H499" s="12">
        <v>1.0</v>
      </c>
      <c r="I499" s="12">
        <v>1.0</v>
      </c>
      <c r="J499" s="12">
        <v>1.0</v>
      </c>
      <c r="K499" s="12">
        <v>1.0</v>
      </c>
      <c r="L499" s="2"/>
      <c r="M499" s="12">
        <v>1.0</v>
      </c>
      <c r="N499" s="12">
        <v>1.0</v>
      </c>
      <c r="O499" s="13">
        <v>1.0</v>
      </c>
      <c r="P499" s="12">
        <v>1.0</v>
      </c>
      <c r="Q499" s="5"/>
      <c r="R499" s="10">
        <f>sum(F499:K499,M499:P499)/(COUNTIF(B499:P499, 1) + (COUNTIF(B499:P499, 0)) + COUNTIF(B499:P499, 0.5))</f>
        <v>1</v>
      </c>
    </row>
    <row r="500">
      <c r="A500" s="7">
        <v>117.0</v>
      </c>
      <c r="B500" s="8">
        <v>2063.0</v>
      </c>
      <c r="C500" s="8">
        <v>140.0</v>
      </c>
      <c r="D500" s="8">
        <v>38.5</v>
      </c>
      <c r="E500" s="8">
        <v>-111.8</v>
      </c>
      <c r="F500" s="1"/>
      <c r="G500" s="1"/>
      <c r="H500" s="3" t="s">
        <v>1160</v>
      </c>
      <c r="I500" s="3" t="s">
        <v>18</v>
      </c>
      <c r="J500" s="3" t="s">
        <v>1161</v>
      </c>
      <c r="K500" s="1"/>
      <c r="L500" s="2" t="s">
        <v>1146</v>
      </c>
      <c r="M500" s="1"/>
      <c r="N500" s="1"/>
      <c r="O500" s="22"/>
      <c r="P500" s="3" t="s">
        <v>65</v>
      </c>
      <c r="Q500" s="5" t="s">
        <v>1155</v>
      </c>
      <c r="R500" s="10"/>
    </row>
    <row r="501">
      <c r="A501" s="11" t="s">
        <v>1162</v>
      </c>
      <c r="B501" s="8"/>
      <c r="C501" s="8"/>
      <c r="D501" s="8"/>
      <c r="E501" s="8"/>
      <c r="F501" s="12">
        <v>1.0</v>
      </c>
      <c r="G501" s="12">
        <v>1.0</v>
      </c>
      <c r="H501" s="12">
        <v>1.0</v>
      </c>
      <c r="I501" s="12">
        <v>1.0</v>
      </c>
      <c r="J501" s="12">
        <v>1.0</v>
      </c>
      <c r="K501" s="12">
        <v>1.0</v>
      </c>
      <c r="L501" s="2"/>
      <c r="M501" s="12">
        <v>1.0</v>
      </c>
      <c r="N501" s="12">
        <v>1.0</v>
      </c>
      <c r="O501" s="13">
        <v>0.0</v>
      </c>
      <c r="P501" s="12">
        <v>1.0</v>
      </c>
      <c r="Q501" s="5"/>
      <c r="R501" s="10">
        <f>sum(F501:K501,M501:P501)/(COUNTIF(B501:P501, 1) + (COUNTIF(B501:P501, 0)) + COUNTIF(B501:P501, 0.5))</f>
        <v>0.9</v>
      </c>
    </row>
    <row r="502">
      <c r="A502" s="7">
        <v>118.0</v>
      </c>
      <c r="B502" s="8">
        <v>2063.0</v>
      </c>
      <c r="C502" s="8">
        <v>140.0</v>
      </c>
      <c r="D502" s="8">
        <v>38.35</v>
      </c>
      <c r="E502" s="8">
        <v>-111.89</v>
      </c>
      <c r="F502" s="1"/>
      <c r="G502" s="1"/>
      <c r="H502" s="3" t="s">
        <v>1163</v>
      </c>
      <c r="I502" s="3" t="s">
        <v>18</v>
      </c>
      <c r="J502" s="3" t="s">
        <v>1164</v>
      </c>
      <c r="K502" s="1"/>
      <c r="L502" s="2" t="s">
        <v>1146</v>
      </c>
      <c r="M502" s="1"/>
      <c r="N502" s="1"/>
      <c r="O502" s="4" t="s">
        <v>231</v>
      </c>
      <c r="P502" s="3" t="s">
        <v>65</v>
      </c>
      <c r="Q502" s="5" t="s">
        <v>1155</v>
      </c>
      <c r="R502" s="10"/>
    </row>
    <row r="503">
      <c r="A503" s="11" t="s">
        <v>1165</v>
      </c>
      <c r="B503" s="8"/>
      <c r="C503" s="8"/>
      <c r="D503" s="8"/>
      <c r="E503" s="8"/>
      <c r="F503" s="12">
        <v>1.0</v>
      </c>
      <c r="G503" s="12">
        <v>1.0</v>
      </c>
      <c r="H503" s="12">
        <v>1.0</v>
      </c>
      <c r="I503" s="12">
        <v>1.0</v>
      </c>
      <c r="J503" s="12">
        <v>1.0</v>
      </c>
      <c r="K503" s="12">
        <v>1.0</v>
      </c>
      <c r="L503" s="2"/>
      <c r="M503" s="12">
        <v>1.0</v>
      </c>
      <c r="N503" s="12">
        <v>1.0</v>
      </c>
      <c r="O503" s="13">
        <v>1.0</v>
      </c>
      <c r="P503" s="12">
        <v>1.0</v>
      </c>
      <c r="Q503" s="5"/>
      <c r="R503" s="10">
        <f>sum(F503:K503,M503:P503)/(COUNTIF(B503:P503, 1) + (COUNTIF(B503:P503, 0)) + COUNTIF(B503:P503, 0.5))</f>
        <v>1</v>
      </c>
    </row>
    <row r="504">
      <c r="A504" s="7">
        <v>70.0</v>
      </c>
      <c r="B504" s="8">
        <v>2063.0</v>
      </c>
      <c r="C504" s="8">
        <v>228.0</v>
      </c>
      <c r="D504" s="8">
        <v>39.2</v>
      </c>
      <c r="E504" s="8">
        <v>-109.9</v>
      </c>
      <c r="F504" s="1"/>
      <c r="G504" s="1"/>
      <c r="H504" s="3" t="s">
        <v>1166</v>
      </c>
      <c r="I504" s="3" t="s">
        <v>1167</v>
      </c>
      <c r="J504" s="3" t="s">
        <v>1168</v>
      </c>
      <c r="K504" s="3" t="s">
        <v>1169</v>
      </c>
      <c r="L504" s="9"/>
      <c r="M504" s="3" t="s">
        <v>1170</v>
      </c>
      <c r="N504" s="1"/>
      <c r="O504" s="4" t="s">
        <v>1171</v>
      </c>
      <c r="P504" s="3" t="s">
        <v>65</v>
      </c>
      <c r="Q504" s="5" t="s">
        <v>1172</v>
      </c>
      <c r="R504" s="10"/>
    </row>
    <row r="505">
      <c r="A505" s="11" t="s">
        <v>1173</v>
      </c>
      <c r="B505" s="8"/>
      <c r="C505" s="8"/>
      <c r="D505" s="8"/>
      <c r="E505" s="8"/>
      <c r="F505" s="12">
        <v>1.0</v>
      </c>
      <c r="G505" s="12">
        <v>1.0</v>
      </c>
      <c r="H505" s="12">
        <v>1.0</v>
      </c>
      <c r="I505" s="12">
        <v>1.0</v>
      </c>
      <c r="J505" s="12">
        <v>1.0</v>
      </c>
      <c r="K505" s="12">
        <v>0.0</v>
      </c>
      <c r="L505" s="9"/>
      <c r="M505" s="12">
        <v>1.0</v>
      </c>
      <c r="N505" s="12">
        <v>1.0</v>
      </c>
      <c r="O505" s="13">
        <v>1.0</v>
      </c>
      <c r="P505" s="12">
        <v>1.0</v>
      </c>
      <c r="Q505" s="5"/>
      <c r="R505" s="10">
        <f>sum(F505:K505,M505:P505)/(COUNTIF(B505:P505, 1) + (COUNTIF(B505:P505, 0)) + COUNTIF(B505:P505, 0.5))</f>
        <v>0.9</v>
      </c>
    </row>
    <row r="506">
      <c r="A506" s="7">
        <v>50.0</v>
      </c>
      <c r="B506" s="8">
        <v>2063.0</v>
      </c>
      <c r="C506" s="8">
        <v>246.0</v>
      </c>
      <c r="D506" s="8">
        <v>32.7667</v>
      </c>
      <c r="E506" s="8">
        <v>-115.474</v>
      </c>
      <c r="F506" s="1"/>
      <c r="G506" s="1"/>
      <c r="H506" s="3" t="s">
        <v>1174</v>
      </c>
      <c r="I506" s="3" t="s">
        <v>18</v>
      </c>
      <c r="J506" s="3" t="s">
        <v>1175</v>
      </c>
      <c r="K506" s="1"/>
      <c r="L506" s="2" t="s">
        <v>694</v>
      </c>
      <c r="M506" s="1"/>
      <c r="N506" s="1"/>
      <c r="O506" s="4" t="s">
        <v>1176</v>
      </c>
      <c r="P506" s="3" t="s">
        <v>65</v>
      </c>
      <c r="Q506" s="5" t="s">
        <v>1177</v>
      </c>
      <c r="R506" s="10"/>
    </row>
    <row r="507">
      <c r="A507" s="11" t="s">
        <v>1178</v>
      </c>
      <c r="B507" s="8"/>
      <c r="C507" s="8"/>
      <c r="D507" s="8"/>
      <c r="E507" s="8"/>
      <c r="F507" s="12">
        <v>1.0</v>
      </c>
      <c r="G507" s="12">
        <v>1.0</v>
      </c>
      <c r="H507" s="12">
        <v>1.0</v>
      </c>
      <c r="I507" s="12">
        <v>1.0</v>
      </c>
      <c r="J507" s="12">
        <v>1.0</v>
      </c>
      <c r="K507" s="12">
        <v>1.0</v>
      </c>
      <c r="L507" s="2"/>
      <c r="M507" s="12">
        <v>1.0</v>
      </c>
      <c r="N507" s="12">
        <v>1.0</v>
      </c>
      <c r="O507" s="13">
        <v>1.0</v>
      </c>
      <c r="P507" s="12">
        <v>1.0</v>
      </c>
      <c r="Q507" s="5"/>
      <c r="R507" s="10">
        <f>sum(F507:K507,M507:P507)/(COUNTIF(B507:P507, 1) + (COUNTIF(B507:P507, 0)) + COUNTIF(B507:P507, 0.5))</f>
        <v>1</v>
      </c>
    </row>
    <row r="508">
      <c r="A508" s="7">
        <v>51.0</v>
      </c>
      <c r="B508" s="8">
        <v>2063.0</v>
      </c>
      <c r="C508" s="8">
        <v>246.0</v>
      </c>
      <c r="D508" s="8">
        <v>34.9008</v>
      </c>
      <c r="E508" s="8">
        <v>-114.613</v>
      </c>
      <c r="F508" s="1"/>
      <c r="G508" s="1"/>
      <c r="H508" s="3" t="s">
        <v>1179</v>
      </c>
      <c r="I508" s="3" t="s">
        <v>18</v>
      </c>
      <c r="J508" s="3" t="s">
        <v>1180</v>
      </c>
      <c r="K508" s="1"/>
      <c r="L508" s="2" t="s">
        <v>129</v>
      </c>
      <c r="M508" s="1"/>
      <c r="N508" s="1"/>
      <c r="O508" s="4" t="s">
        <v>1181</v>
      </c>
      <c r="P508" s="3" t="s">
        <v>65</v>
      </c>
      <c r="Q508" s="5" t="s">
        <v>1182</v>
      </c>
      <c r="R508" s="10"/>
    </row>
    <row r="509">
      <c r="A509" s="11" t="s">
        <v>1183</v>
      </c>
      <c r="B509" s="8"/>
      <c r="C509" s="8"/>
      <c r="D509" s="8"/>
      <c r="E509" s="8"/>
      <c r="F509" s="12">
        <v>1.0</v>
      </c>
      <c r="G509" s="12">
        <v>1.0</v>
      </c>
      <c r="H509" s="12">
        <v>1.0</v>
      </c>
      <c r="I509" s="12">
        <v>1.0</v>
      </c>
      <c r="J509" s="12">
        <v>1.0</v>
      </c>
      <c r="K509" s="12">
        <v>1.0</v>
      </c>
      <c r="L509" s="2"/>
      <c r="M509" s="12">
        <v>1.0</v>
      </c>
      <c r="N509" s="12">
        <v>1.0</v>
      </c>
      <c r="O509" s="13">
        <v>1.0</v>
      </c>
      <c r="P509" s="12">
        <v>1.0</v>
      </c>
      <c r="Q509" s="5"/>
      <c r="R509" s="10">
        <f>sum(F509:K509,M509:P509)/(COUNTIF(B509:P509, 1) + (COUNTIF(B509:P509, 0)) + COUNTIF(B509:P509, 0.5))</f>
        <v>1</v>
      </c>
    </row>
    <row r="510">
      <c r="A510" s="7">
        <v>53.0</v>
      </c>
      <c r="B510" s="8">
        <v>2131.0</v>
      </c>
      <c r="C510" s="8">
        <v>16.0</v>
      </c>
      <c r="D510" s="9"/>
      <c r="E510" s="9"/>
      <c r="F510" s="7">
        <v>33.9537</v>
      </c>
      <c r="G510" s="7">
        <v>-117.396</v>
      </c>
      <c r="H510" s="3" t="s">
        <v>1184</v>
      </c>
      <c r="I510" s="1"/>
      <c r="J510" s="3" t="s">
        <v>1185</v>
      </c>
      <c r="K510" s="3" t="s">
        <v>585</v>
      </c>
      <c r="L510" s="9"/>
      <c r="M510" s="12" t="s">
        <v>1186</v>
      </c>
      <c r="N510" s="3" t="s">
        <v>139</v>
      </c>
      <c r="O510" s="4" t="s">
        <v>1187</v>
      </c>
      <c r="P510" s="3" t="s">
        <v>440</v>
      </c>
      <c r="Q510" s="5" t="s">
        <v>1188</v>
      </c>
      <c r="R510" s="10"/>
    </row>
    <row r="511">
      <c r="A511" s="11" t="s">
        <v>1189</v>
      </c>
      <c r="B511" s="8"/>
      <c r="C511" s="8"/>
      <c r="D511" s="9"/>
      <c r="E511" s="9"/>
      <c r="F511" s="11">
        <v>0.0</v>
      </c>
      <c r="G511" s="11">
        <v>0.0</v>
      </c>
      <c r="H511" s="12">
        <v>1.0</v>
      </c>
      <c r="I511" s="12">
        <v>1.0</v>
      </c>
      <c r="J511" s="12">
        <v>1.0</v>
      </c>
      <c r="K511" s="12">
        <v>1.0</v>
      </c>
      <c r="L511" s="9"/>
      <c r="M511" s="12">
        <v>1.0</v>
      </c>
      <c r="N511" s="12">
        <v>0.5</v>
      </c>
      <c r="O511" s="13">
        <v>1.0</v>
      </c>
      <c r="P511" s="12">
        <v>1.0</v>
      </c>
      <c r="Q511" s="5"/>
      <c r="R511" s="10">
        <f>sum(F511:K511,M511:P511)/(COUNTIF(B511:P511, 1) + (COUNTIF(B511:P511, 0)) + COUNTIF(B511:P511, 0.5))</f>
        <v>0.75</v>
      </c>
    </row>
    <row r="512">
      <c r="A512" s="7">
        <v>54.0</v>
      </c>
      <c r="B512" s="8">
        <v>2131.0</v>
      </c>
      <c r="C512" s="8">
        <v>16.0</v>
      </c>
      <c r="D512" s="9"/>
      <c r="E512" s="9"/>
      <c r="F512" s="7">
        <v>33.9537</v>
      </c>
      <c r="G512" s="7">
        <v>-117.396</v>
      </c>
      <c r="H512" s="3" t="s">
        <v>1184</v>
      </c>
      <c r="I512" s="1"/>
      <c r="J512" s="3" t="s">
        <v>1190</v>
      </c>
      <c r="K512" s="3" t="s">
        <v>585</v>
      </c>
      <c r="L512" s="9"/>
      <c r="M512" s="3" t="s">
        <v>1191</v>
      </c>
      <c r="N512" s="3" t="s">
        <v>139</v>
      </c>
      <c r="O512" s="4" t="s">
        <v>1192</v>
      </c>
      <c r="P512" s="3" t="s">
        <v>243</v>
      </c>
      <c r="Q512" s="5" t="s">
        <v>1193</v>
      </c>
      <c r="R512" s="10"/>
    </row>
    <row r="513">
      <c r="A513" s="11" t="s">
        <v>1194</v>
      </c>
      <c r="B513" s="8"/>
      <c r="C513" s="8"/>
      <c r="D513" s="9"/>
      <c r="E513" s="9"/>
      <c r="F513" s="11">
        <v>0.0</v>
      </c>
      <c r="G513" s="11">
        <v>0.0</v>
      </c>
      <c r="H513" s="12">
        <v>1.0</v>
      </c>
      <c r="I513" s="12">
        <v>1.0</v>
      </c>
      <c r="J513" s="12">
        <v>1.0</v>
      </c>
      <c r="K513" s="12">
        <v>1.0</v>
      </c>
      <c r="L513" s="9"/>
      <c r="M513" s="12">
        <v>1.0</v>
      </c>
      <c r="N513" s="12">
        <v>0.5</v>
      </c>
      <c r="O513" s="13">
        <v>1.0</v>
      </c>
      <c r="P513" s="12">
        <v>1.0</v>
      </c>
      <c r="Q513" s="5"/>
      <c r="R513" s="10">
        <f>sum(F513:K513,M513:P513)/(COUNTIF(B513:P513, 1) + (COUNTIF(B513:P513, 0)) + COUNTIF(B513:P513, 0.5))</f>
        <v>0.75</v>
      </c>
    </row>
    <row r="514">
      <c r="A514" s="7">
        <v>66.0</v>
      </c>
      <c r="B514" s="8">
        <v>2131.0</v>
      </c>
      <c r="C514" s="8">
        <v>89.0</v>
      </c>
      <c r="D514" s="9"/>
      <c r="E514" s="9"/>
      <c r="F514" s="1"/>
      <c r="G514" s="1"/>
      <c r="H514" s="3" t="s">
        <v>1195</v>
      </c>
      <c r="I514" s="3" t="s">
        <v>18</v>
      </c>
      <c r="J514" s="3" t="s">
        <v>1196</v>
      </c>
      <c r="K514" s="1"/>
      <c r="L514" s="9"/>
      <c r="M514" s="1"/>
      <c r="N514" s="3" t="s">
        <v>1197</v>
      </c>
      <c r="O514" s="4" t="s">
        <v>1198</v>
      </c>
      <c r="P514" s="3" t="s">
        <v>251</v>
      </c>
      <c r="Q514" s="5" t="s">
        <v>1199</v>
      </c>
      <c r="R514" s="10"/>
    </row>
    <row r="515">
      <c r="A515" s="11" t="s">
        <v>1200</v>
      </c>
      <c r="B515" s="8"/>
      <c r="C515" s="8"/>
      <c r="D515" s="9"/>
      <c r="E515" s="9"/>
      <c r="F515" s="12">
        <v>1.0</v>
      </c>
      <c r="G515" s="12">
        <v>1.0</v>
      </c>
      <c r="H515" s="12">
        <v>1.0</v>
      </c>
      <c r="I515" s="12">
        <v>1.0</v>
      </c>
      <c r="J515" s="12">
        <v>1.0</v>
      </c>
      <c r="K515" s="12">
        <v>1.0</v>
      </c>
      <c r="L515" s="9"/>
      <c r="M515" s="12">
        <v>1.0</v>
      </c>
      <c r="N515" s="12">
        <v>1.0</v>
      </c>
      <c r="O515" s="13">
        <v>1.0</v>
      </c>
      <c r="P515" s="12">
        <v>1.0</v>
      </c>
      <c r="Q515" s="5"/>
      <c r="R515" s="10">
        <f>sum(F515:K515,M515:P515)/(COUNTIF(B515:P515, 1) + (COUNTIF(B515:P515, 0)) + COUNTIF(B515:P515, 0.5))</f>
        <v>1</v>
      </c>
    </row>
    <row r="516">
      <c r="A516" s="7">
        <v>67.0</v>
      </c>
      <c r="B516" s="8">
        <v>2131.0</v>
      </c>
      <c r="C516" s="8">
        <v>89.0</v>
      </c>
      <c r="D516" s="9"/>
      <c r="E516" s="9"/>
      <c r="F516" s="1"/>
      <c r="G516" s="1"/>
      <c r="H516" s="3" t="s">
        <v>1201</v>
      </c>
      <c r="I516" s="3" t="s">
        <v>18</v>
      </c>
      <c r="J516" s="3" t="s">
        <v>1202</v>
      </c>
      <c r="K516" s="1"/>
      <c r="L516" s="9"/>
      <c r="M516" s="1"/>
      <c r="N516" s="1"/>
      <c r="O516" s="4" t="s">
        <v>1203</v>
      </c>
      <c r="P516" s="3" t="s">
        <v>251</v>
      </c>
      <c r="Q516" s="5" t="s">
        <v>1204</v>
      </c>
      <c r="R516" s="10"/>
    </row>
    <row r="517">
      <c r="A517" s="11" t="s">
        <v>1205</v>
      </c>
      <c r="B517" s="8"/>
      <c r="C517" s="8"/>
      <c r="D517" s="9"/>
      <c r="E517" s="9"/>
      <c r="F517" s="12">
        <v>1.0</v>
      </c>
      <c r="G517" s="12">
        <v>1.0</v>
      </c>
      <c r="H517" s="12">
        <v>1.0</v>
      </c>
      <c r="I517" s="12">
        <v>1.0</v>
      </c>
      <c r="J517" s="12">
        <v>1.0</v>
      </c>
      <c r="K517" s="12">
        <v>1.0</v>
      </c>
      <c r="L517" s="9"/>
      <c r="M517" s="12">
        <v>1.0</v>
      </c>
      <c r="N517" s="12">
        <v>1.0</v>
      </c>
      <c r="O517" s="13">
        <v>1.0</v>
      </c>
      <c r="P517" s="12">
        <v>1.0</v>
      </c>
      <c r="Q517" s="5"/>
      <c r="R517" s="10">
        <f>sum(F517:K517,M517:P517)/(COUNTIF(B517:P517, 1) + (COUNTIF(B517:P517, 0)) + COUNTIF(B517:P517, 0.5))</f>
        <v>1</v>
      </c>
    </row>
    <row r="518">
      <c r="A518" s="7">
        <v>68.0</v>
      </c>
      <c r="B518" s="8">
        <v>2131.0</v>
      </c>
      <c r="C518" s="8">
        <v>89.0</v>
      </c>
      <c r="D518" s="9"/>
      <c r="E518" s="9"/>
      <c r="F518" s="1"/>
      <c r="G518" s="1"/>
      <c r="H518" s="3" t="s">
        <v>1206</v>
      </c>
      <c r="I518" s="3" t="s">
        <v>18</v>
      </c>
      <c r="J518" s="3" t="s">
        <v>1207</v>
      </c>
      <c r="K518" s="1"/>
      <c r="L518" s="9"/>
      <c r="M518" s="1"/>
      <c r="N518" s="3" t="s">
        <v>1197</v>
      </c>
      <c r="O518" s="4" t="s">
        <v>1208</v>
      </c>
      <c r="P518" s="3" t="s">
        <v>251</v>
      </c>
      <c r="Q518" s="5" t="s">
        <v>1209</v>
      </c>
      <c r="R518" s="10"/>
    </row>
    <row r="519">
      <c r="A519" s="11" t="s">
        <v>1210</v>
      </c>
      <c r="B519" s="8"/>
      <c r="C519" s="8"/>
      <c r="D519" s="9"/>
      <c r="E519" s="9"/>
      <c r="F519" s="12">
        <v>1.0</v>
      </c>
      <c r="G519" s="12">
        <v>1.0</v>
      </c>
      <c r="H519" s="12">
        <v>1.0</v>
      </c>
      <c r="I519" s="12">
        <v>1.0</v>
      </c>
      <c r="J519" s="12">
        <v>1.0</v>
      </c>
      <c r="K519" s="12">
        <v>1.0</v>
      </c>
      <c r="L519" s="9"/>
      <c r="M519" s="12">
        <v>1.0</v>
      </c>
      <c r="N519" s="12">
        <v>1.0</v>
      </c>
      <c r="O519" s="13">
        <v>1.0</v>
      </c>
      <c r="P519" s="12">
        <v>1.0</v>
      </c>
      <c r="Q519" s="5"/>
      <c r="R519" s="10">
        <f>sum(F519:K519,M519:P519)/(COUNTIF(B519:P519, 1) + (COUNTIF(B519:P519, 0)) + COUNTIF(B519:P519, 0.5))</f>
        <v>1</v>
      </c>
    </row>
    <row r="520">
      <c r="A520" s="7">
        <v>381.0</v>
      </c>
      <c r="B520" s="8">
        <v>2132.0</v>
      </c>
      <c r="C520" s="8">
        <v>21.0</v>
      </c>
      <c r="D520" s="9"/>
      <c r="E520" s="9"/>
      <c r="F520" s="7">
        <v>36.7167</v>
      </c>
      <c r="G520" s="7">
        <v>-119.817</v>
      </c>
      <c r="H520" s="3" t="s">
        <v>1211</v>
      </c>
      <c r="I520" s="3" t="s">
        <v>18</v>
      </c>
      <c r="J520" s="3" t="s">
        <v>1212</v>
      </c>
      <c r="K520" s="3" t="s">
        <v>491</v>
      </c>
      <c r="L520" s="9"/>
      <c r="M520" s="3" t="s">
        <v>1213</v>
      </c>
      <c r="N520" s="3" t="s">
        <v>43</v>
      </c>
      <c r="O520" s="4" t="s">
        <v>242</v>
      </c>
      <c r="P520" s="3" t="s">
        <v>243</v>
      </c>
      <c r="Q520" s="5" t="s">
        <v>1214</v>
      </c>
      <c r="R520" s="10"/>
    </row>
    <row r="521">
      <c r="A521" s="11" t="s">
        <v>1215</v>
      </c>
      <c r="B521" s="8"/>
      <c r="C521" s="8"/>
      <c r="D521" s="9"/>
      <c r="E521" s="9"/>
      <c r="F521" s="11">
        <v>1.0</v>
      </c>
      <c r="G521" s="11">
        <v>1.0</v>
      </c>
      <c r="H521" s="12">
        <v>1.0</v>
      </c>
      <c r="I521" s="12">
        <v>1.0</v>
      </c>
      <c r="J521" s="12">
        <v>1.0</v>
      </c>
      <c r="K521" s="12">
        <v>1.0</v>
      </c>
      <c r="L521" s="9"/>
      <c r="M521" s="12">
        <v>1.0</v>
      </c>
      <c r="N521" s="12">
        <v>1.0</v>
      </c>
      <c r="O521" s="13">
        <v>1.0</v>
      </c>
      <c r="P521" s="12">
        <v>1.0</v>
      </c>
      <c r="Q521" s="5"/>
      <c r="R521" s="10">
        <f>sum(F521:K521,M521:P521)/(COUNTIF(B521:P521, 1) + (COUNTIF(B521:P521, 0)) + COUNTIF(B521:P521, 0.5))</f>
        <v>1</v>
      </c>
    </row>
    <row r="522">
      <c r="A522" s="7">
        <v>382.0</v>
      </c>
      <c r="B522" s="8">
        <v>2132.0</v>
      </c>
      <c r="C522" s="8">
        <v>21.0</v>
      </c>
      <c r="D522" s="9"/>
      <c r="E522" s="9"/>
      <c r="F522" s="7">
        <v>38.5817</v>
      </c>
      <c r="G522" s="7">
        <v>-121.494</v>
      </c>
      <c r="H522" s="3" t="s">
        <v>1216</v>
      </c>
      <c r="I522" s="3" t="s">
        <v>18</v>
      </c>
      <c r="J522" s="3" t="s">
        <v>1217</v>
      </c>
      <c r="K522" s="3" t="s">
        <v>273</v>
      </c>
      <c r="L522" s="9"/>
      <c r="M522" s="3" t="s">
        <v>1218</v>
      </c>
      <c r="N522" s="3" t="s">
        <v>43</v>
      </c>
      <c r="O522" s="4" t="s">
        <v>242</v>
      </c>
      <c r="P522" s="3" t="s">
        <v>243</v>
      </c>
      <c r="Q522" s="5" t="s">
        <v>1219</v>
      </c>
      <c r="R522" s="10"/>
    </row>
    <row r="523">
      <c r="A523" s="11" t="s">
        <v>1220</v>
      </c>
      <c r="B523" s="8"/>
      <c r="C523" s="8"/>
      <c r="D523" s="9"/>
      <c r="E523" s="9"/>
      <c r="F523" s="11">
        <v>0.0</v>
      </c>
      <c r="G523" s="11">
        <v>0.0</v>
      </c>
      <c r="H523" s="12">
        <v>1.0</v>
      </c>
      <c r="I523" s="12">
        <v>1.0</v>
      </c>
      <c r="J523" s="12">
        <v>1.0</v>
      </c>
      <c r="K523" s="12">
        <v>1.0</v>
      </c>
      <c r="L523" s="9"/>
      <c r="M523" s="12">
        <v>0.5</v>
      </c>
      <c r="N523" s="12">
        <v>1.0</v>
      </c>
      <c r="O523" s="13">
        <v>1.0</v>
      </c>
      <c r="P523" s="12">
        <v>1.0</v>
      </c>
      <c r="Q523" s="5"/>
      <c r="R523" s="10">
        <f>sum(F523:K523,M523:P523)/(COUNTIF(B523:P523, 1) + (COUNTIF(B523:P523, 0)) + COUNTIF(B523:P523, 0.5))</f>
        <v>0.75</v>
      </c>
    </row>
    <row r="524">
      <c r="A524" s="7">
        <v>49.0</v>
      </c>
      <c r="B524" s="8">
        <v>2132.0</v>
      </c>
      <c r="C524" s="8">
        <v>41.0</v>
      </c>
      <c r="D524" s="8">
        <v>36.5</v>
      </c>
      <c r="E524" s="8">
        <v>-119.3</v>
      </c>
      <c r="F524" s="1"/>
      <c r="G524" s="1"/>
      <c r="H524" s="3" t="s">
        <v>1221</v>
      </c>
      <c r="I524" s="3" t="s">
        <v>1222</v>
      </c>
      <c r="J524" s="3" t="s">
        <v>1223</v>
      </c>
      <c r="K524" s="3" t="s">
        <v>114</v>
      </c>
      <c r="L524" s="9"/>
      <c r="M524" s="1"/>
      <c r="N524" s="1"/>
      <c r="O524" s="4" t="s">
        <v>1224</v>
      </c>
      <c r="P524" s="3" t="s">
        <v>65</v>
      </c>
      <c r="Q524" s="5" t="s">
        <v>1225</v>
      </c>
      <c r="R524" s="10"/>
    </row>
    <row r="525">
      <c r="A525" s="11" t="s">
        <v>1226</v>
      </c>
      <c r="B525" s="8"/>
      <c r="C525" s="8"/>
      <c r="D525" s="8"/>
      <c r="E525" s="8"/>
      <c r="F525" s="12">
        <v>1.0</v>
      </c>
      <c r="G525" s="12">
        <v>1.0</v>
      </c>
      <c r="H525" s="12">
        <v>1.0</v>
      </c>
      <c r="I525" s="12">
        <v>1.0</v>
      </c>
      <c r="J525" s="12">
        <v>1.0</v>
      </c>
      <c r="K525" s="12">
        <v>0.0</v>
      </c>
      <c r="L525" s="9"/>
      <c r="M525" s="12">
        <v>1.0</v>
      </c>
      <c r="N525" s="12">
        <v>1.0</v>
      </c>
      <c r="O525" s="13">
        <v>1.0</v>
      </c>
      <c r="P525" s="12">
        <v>1.0</v>
      </c>
      <c r="Q525" s="5"/>
      <c r="R525" s="10">
        <f>sum(F525:K525,M525:P525)/(COUNTIF(B525:P525, 1) + (COUNTIF(B525:P525, 0)) + COUNTIF(B525:P525, 0.5))</f>
        <v>0.9</v>
      </c>
    </row>
    <row r="526">
      <c r="A526" s="7">
        <v>379.0</v>
      </c>
      <c r="B526" s="8">
        <v>2133.0</v>
      </c>
      <c r="C526" s="8">
        <v>72.0</v>
      </c>
      <c r="D526" s="8">
        <v>34.4259</v>
      </c>
      <c r="E526" s="8">
        <v>-119.698</v>
      </c>
      <c r="F526" s="1"/>
      <c r="G526" s="1"/>
      <c r="H526" s="3" t="s">
        <v>590</v>
      </c>
      <c r="I526" s="3" t="s">
        <v>18</v>
      </c>
      <c r="J526" s="3" t="s">
        <v>1227</v>
      </c>
      <c r="K526" s="1"/>
      <c r="L526" s="2" t="s">
        <v>606</v>
      </c>
      <c r="M526" s="3" t="s">
        <v>1228</v>
      </c>
      <c r="N526" s="3" t="s">
        <v>1229</v>
      </c>
      <c r="O526" s="4" t="s">
        <v>1230</v>
      </c>
      <c r="P526" s="3" t="s">
        <v>65</v>
      </c>
      <c r="Q526" s="5" t="s">
        <v>1231</v>
      </c>
      <c r="R526" s="10"/>
    </row>
    <row r="527">
      <c r="A527" s="11" t="s">
        <v>1232</v>
      </c>
      <c r="B527" s="8"/>
      <c r="C527" s="8"/>
      <c r="D527" s="8"/>
      <c r="E527" s="8"/>
      <c r="F527" s="12">
        <v>1.0</v>
      </c>
      <c r="G527" s="12">
        <v>1.0</v>
      </c>
      <c r="H527" s="12">
        <v>1.0</v>
      </c>
      <c r="I527" s="12">
        <v>1.0</v>
      </c>
      <c r="J527" s="12">
        <v>1.0</v>
      </c>
      <c r="K527" s="12">
        <v>1.0</v>
      </c>
      <c r="L527" s="2"/>
      <c r="M527" s="12">
        <v>1.0</v>
      </c>
      <c r="N527" s="12">
        <v>1.0</v>
      </c>
      <c r="O527" s="13">
        <v>1.0</v>
      </c>
      <c r="P527" s="12">
        <v>1.0</v>
      </c>
      <c r="Q527" s="5"/>
      <c r="R527" s="10">
        <f>sum(F527:K527,M527:P527)/(COUNTIF(B527:P527, 1) + (COUNTIF(B527:P527, 0)) + COUNTIF(B527:P527, 0.5))</f>
        <v>1</v>
      </c>
    </row>
    <row r="528">
      <c r="A528" s="7">
        <v>135.0</v>
      </c>
      <c r="B528" s="8">
        <v>2133.0</v>
      </c>
      <c r="C528" s="8">
        <v>90.0</v>
      </c>
      <c r="D528" s="8">
        <v>34.4321</v>
      </c>
      <c r="E528" s="8">
        <v>-119.698</v>
      </c>
      <c r="F528" s="1"/>
      <c r="G528" s="1"/>
      <c r="H528" s="3" t="s">
        <v>1233</v>
      </c>
      <c r="I528" s="3" t="s">
        <v>18</v>
      </c>
      <c r="J528" s="3" t="s">
        <v>1234</v>
      </c>
      <c r="K528" s="3" t="s">
        <v>606</v>
      </c>
      <c r="L528" s="2" t="s">
        <v>606</v>
      </c>
      <c r="M528" s="3" t="s">
        <v>249</v>
      </c>
      <c r="N528" s="1"/>
      <c r="O528" s="4" t="s">
        <v>1235</v>
      </c>
      <c r="P528" s="3" t="s">
        <v>65</v>
      </c>
      <c r="Q528" s="5" t="s">
        <v>1236</v>
      </c>
      <c r="R528" s="10"/>
    </row>
    <row r="529">
      <c r="A529" s="11" t="s">
        <v>1237</v>
      </c>
      <c r="B529" s="8"/>
      <c r="C529" s="8"/>
      <c r="D529" s="8"/>
      <c r="E529" s="8"/>
      <c r="F529" s="12">
        <v>1.0</v>
      </c>
      <c r="G529" s="12">
        <v>1.0</v>
      </c>
      <c r="H529" s="12">
        <v>1.0</v>
      </c>
      <c r="I529" s="12">
        <v>1.0</v>
      </c>
      <c r="J529" s="12">
        <v>1.0</v>
      </c>
      <c r="K529" s="12">
        <v>1.0</v>
      </c>
      <c r="L529" s="2"/>
      <c r="M529" s="12">
        <v>1.0</v>
      </c>
      <c r="N529" s="12">
        <v>1.0</v>
      </c>
      <c r="O529" s="13">
        <v>1.0</v>
      </c>
      <c r="P529" s="12">
        <v>1.0</v>
      </c>
      <c r="Q529" s="5"/>
      <c r="R529" s="10">
        <f>sum(F529:K529,M529:P529)/(COUNTIF(B529:P529, 1) + (COUNTIF(B529:P529, 0)) + COUNTIF(B529:P529, 0.5))</f>
        <v>1</v>
      </c>
    </row>
    <row r="530">
      <c r="A530" s="7">
        <v>275.0</v>
      </c>
      <c r="B530" s="8">
        <v>2187.0</v>
      </c>
      <c r="C530" s="8">
        <v>17.0</v>
      </c>
      <c r="D530" s="8">
        <v>41.7785</v>
      </c>
      <c r="E530" s="8">
        <v>-122.976</v>
      </c>
      <c r="F530" s="1"/>
      <c r="G530" s="1"/>
      <c r="H530" s="3" t="s">
        <v>1238</v>
      </c>
      <c r="I530" s="3" t="s">
        <v>18</v>
      </c>
      <c r="J530" s="3" t="s">
        <v>1239</v>
      </c>
      <c r="K530" s="3" t="s">
        <v>1240</v>
      </c>
      <c r="L530" s="2" t="s">
        <v>1240</v>
      </c>
      <c r="M530" s="3" t="s">
        <v>1241</v>
      </c>
      <c r="N530" s="3" t="s">
        <v>302</v>
      </c>
      <c r="O530" s="4" t="s">
        <v>242</v>
      </c>
      <c r="P530" s="3" t="s">
        <v>243</v>
      </c>
      <c r="Q530" s="5" t="s">
        <v>1242</v>
      </c>
      <c r="R530" s="10"/>
    </row>
    <row r="531">
      <c r="A531" s="11" t="s">
        <v>1243</v>
      </c>
      <c r="B531" s="8"/>
      <c r="C531" s="8"/>
      <c r="D531" s="8"/>
      <c r="E531" s="8"/>
      <c r="F531" s="12">
        <v>1.0</v>
      </c>
      <c r="G531" s="12">
        <v>1.0</v>
      </c>
      <c r="H531" s="12">
        <v>1.0</v>
      </c>
      <c r="I531" s="12">
        <v>1.0</v>
      </c>
      <c r="J531" s="12">
        <v>1.0</v>
      </c>
      <c r="K531" s="12">
        <v>0.0</v>
      </c>
      <c r="L531" s="2"/>
      <c r="M531" s="12">
        <v>1.0</v>
      </c>
      <c r="N531" s="12">
        <v>1.0</v>
      </c>
      <c r="O531" s="13">
        <v>1.0</v>
      </c>
      <c r="P531" s="12">
        <v>1.0</v>
      </c>
      <c r="Q531" s="5"/>
      <c r="R531" s="10">
        <f>sum(F531:K531,M531:P531)/(COUNTIF(B531:P531, 1) + (COUNTIF(B531:P531, 0)) + COUNTIF(B531:P531, 0.5))</f>
        <v>0.9</v>
      </c>
    </row>
    <row r="532">
      <c r="A532" s="7">
        <v>276.0</v>
      </c>
      <c r="B532" s="8">
        <v>2187.0</v>
      </c>
      <c r="C532" s="8">
        <v>17.0</v>
      </c>
      <c r="D532" s="8">
        <v>41.7747</v>
      </c>
      <c r="E532" s="8">
        <v>-122.968</v>
      </c>
      <c r="F532" s="1"/>
      <c r="G532" s="1"/>
      <c r="H532" s="3" t="s">
        <v>1244</v>
      </c>
      <c r="I532" s="3" t="s">
        <v>18</v>
      </c>
      <c r="J532" s="3" t="s">
        <v>1245</v>
      </c>
      <c r="K532" s="3" t="s">
        <v>1240</v>
      </c>
      <c r="L532" s="2" t="s">
        <v>1240</v>
      </c>
      <c r="M532" s="3" t="s">
        <v>1246</v>
      </c>
      <c r="N532" s="3" t="s">
        <v>302</v>
      </c>
      <c r="O532" s="4" t="s">
        <v>242</v>
      </c>
      <c r="P532" s="3" t="s">
        <v>243</v>
      </c>
      <c r="Q532" s="5" t="s">
        <v>1247</v>
      </c>
      <c r="R532" s="10"/>
    </row>
    <row r="533">
      <c r="A533" s="11" t="s">
        <v>1248</v>
      </c>
      <c r="B533" s="8"/>
      <c r="C533" s="8"/>
      <c r="D533" s="8"/>
      <c r="E533" s="8"/>
      <c r="F533" s="12">
        <v>1.0</v>
      </c>
      <c r="G533" s="12">
        <v>1.0</v>
      </c>
      <c r="H533" s="12">
        <v>1.0</v>
      </c>
      <c r="I533" s="12">
        <v>1.0</v>
      </c>
      <c r="J533" s="12">
        <v>1.0</v>
      </c>
      <c r="K533" s="12">
        <v>0.0</v>
      </c>
      <c r="L533" s="2"/>
      <c r="M533" s="12">
        <v>1.0</v>
      </c>
      <c r="N533" s="12">
        <v>1.0</v>
      </c>
      <c r="O533" s="13">
        <v>1.0</v>
      </c>
      <c r="P533" s="12">
        <v>1.0</v>
      </c>
      <c r="Q533" s="5"/>
      <c r="R533" s="10">
        <f>sum(F533:K533,M533:P533)/(COUNTIF(B533:P533, 1) + (COUNTIF(B533:P533, 0)) + COUNTIF(B533:P533, 0.5))</f>
        <v>0.9</v>
      </c>
    </row>
    <row r="534">
      <c r="A534" s="7">
        <v>78.0</v>
      </c>
      <c r="B534" s="8">
        <v>2187.0</v>
      </c>
      <c r="C534" s="8">
        <v>87.0</v>
      </c>
      <c r="D534" s="8">
        <v>37.5</v>
      </c>
      <c r="E534" s="8">
        <v>-120.75</v>
      </c>
      <c r="F534" s="1"/>
      <c r="G534" s="1"/>
      <c r="H534" s="3" t="s">
        <v>1249</v>
      </c>
      <c r="I534" s="3" t="s">
        <v>1250</v>
      </c>
      <c r="J534" s="3" t="s">
        <v>1251</v>
      </c>
      <c r="K534" s="1"/>
      <c r="L534" s="2" t="s">
        <v>41</v>
      </c>
      <c r="M534" s="3" t="s">
        <v>1252</v>
      </c>
      <c r="N534" s="3" t="s">
        <v>54</v>
      </c>
      <c r="O534" s="4" t="s">
        <v>1253</v>
      </c>
      <c r="P534" s="3" t="s">
        <v>56</v>
      </c>
      <c r="Q534" s="5" t="s">
        <v>1254</v>
      </c>
      <c r="R534" s="10"/>
    </row>
    <row r="535">
      <c r="A535" s="11" t="s">
        <v>1255</v>
      </c>
      <c r="B535" s="8"/>
      <c r="C535" s="8"/>
      <c r="D535" s="8"/>
      <c r="E535" s="8"/>
      <c r="F535" s="12">
        <v>1.0</v>
      </c>
      <c r="G535" s="12">
        <v>1.0</v>
      </c>
      <c r="H535" s="12">
        <v>1.0</v>
      </c>
      <c r="I535" s="12">
        <v>0.0</v>
      </c>
      <c r="J535" s="12">
        <v>1.0</v>
      </c>
      <c r="K535" s="12">
        <v>1.0</v>
      </c>
      <c r="L535" s="2"/>
      <c r="M535" s="12">
        <v>1.0</v>
      </c>
      <c r="N535" s="12">
        <v>1.0</v>
      </c>
      <c r="O535" s="13">
        <v>0.0</v>
      </c>
      <c r="P535" s="12">
        <v>1.0</v>
      </c>
      <c r="Q535" s="5"/>
      <c r="R535" s="10">
        <f>sum(F535:K535,M535:P535)/(COUNTIF(B535:P535, 1) + (COUNTIF(B535:P535, 0)) + COUNTIF(B535:P535, 0.5))</f>
        <v>0.8</v>
      </c>
    </row>
    <row r="536">
      <c r="A536" s="7">
        <v>79.0</v>
      </c>
      <c r="B536" s="8">
        <v>2187.0</v>
      </c>
      <c r="C536" s="8">
        <v>87.0</v>
      </c>
      <c r="D536" s="8">
        <v>36.75</v>
      </c>
      <c r="E536" s="8">
        <v>-119.5</v>
      </c>
      <c r="F536" s="1"/>
      <c r="G536" s="1"/>
      <c r="H536" s="3" t="s">
        <v>1249</v>
      </c>
      <c r="I536" s="3" t="s">
        <v>1256</v>
      </c>
      <c r="J536" s="3" t="s">
        <v>1257</v>
      </c>
      <c r="K536" s="1"/>
      <c r="L536" s="2" t="s">
        <v>491</v>
      </c>
      <c r="M536" s="3" t="s">
        <v>1252</v>
      </c>
      <c r="N536" s="3" t="s">
        <v>54</v>
      </c>
      <c r="O536" s="4" t="s">
        <v>1253</v>
      </c>
      <c r="P536" s="3" t="s">
        <v>251</v>
      </c>
      <c r="Q536" s="5" t="s">
        <v>1258</v>
      </c>
      <c r="R536" s="10"/>
    </row>
    <row r="537">
      <c r="A537" s="11" t="s">
        <v>1259</v>
      </c>
      <c r="B537" s="8"/>
      <c r="C537" s="8"/>
      <c r="D537" s="8"/>
      <c r="E537" s="8"/>
      <c r="F537" s="12">
        <v>1.0</v>
      </c>
      <c r="G537" s="12">
        <v>1.0</v>
      </c>
      <c r="H537" s="12">
        <v>1.0</v>
      </c>
      <c r="I537" s="12">
        <v>0.0</v>
      </c>
      <c r="J537" s="12">
        <v>1.0</v>
      </c>
      <c r="K537" s="12">
        <v>1.0</v>
      </c>
      <c r="L537" s="2"/>
      <c r="M537" s="12">
        <v>1.0</v>
      </c>
      <c r="N537" s="12">
        <v>1.0</v>
      </c>
      <c r="O537" s="13">
        <v>0.0</v>
      </c>
      <c r="P537" s="12">
        <v>1.0</v>
      </c>
      <c r="Q537" s="5"/>
      <c r="R537" s="10">
        <f>sum(F537:K537,M537:P537)/(COUNTIF(B537:P537, 1) + (COUNTIF(B537:P537, 0)) + COUNTIF(B537:P537, 0.5))</f>
        <v>0.8</v>
      </c>
    </row>
    <row r="538">
      <c r="A538" s="7">
        <v>80.0</v>
      </c>
      <c r="B538" s="8">
        <v>2187.0</v>
      </c>
      <c r="C538" s="8">
        <v>87.0</v>
      </c>
      <c r="D538" s="8">
        <v>35.25</v>
      </c>
      <c r="E538" s="8">
        <v>-118.75</v>
      </c>
      <c r="F538" s="1"/>
      <c r="G538" s="1"/>
      <c r="H538" s="3" t="s">
        <v>1249</v>
      </c>
      <c r="I538" s="3" t="s">
        <v>1260</v>
      </c>
      <c r="J538" s="3" t="s">
        <v>1261</v>
      </c>
      <c r="K538" s="1"/>
      <c r="L538" s="2" t="s">
        <v>106</v>
      </c>
      <c r="M538" s="3" t="s">
        <v>1252</v>
      </c>
      <c r="N538" s="3" t="s">
        <v>54</v>
      </c>
      <c r="O538" s="4" t="s">
        <v>1253</v>
      </c>
      <c r="P538" s="3" t="s">
        <v>24</v>
      </c>
      <c r="Q538" s="5" t="s">
        <v>1262</v>
      </c>
      <c r="R538" s="10"/>
    </row>
    <row r="539">
      <c r="A539" s="11" t="s">
        <v>1263</v>
      </c>
      <c r="B539" s="8"/>
      <c r="C539" s="8"/>
      <c r="D539" s="8"/>
      <c r="E539" s="8"/>
      <c r="F539" s="12">
        <v>1.0</v>
      </c>
      <c r="G539" s="12">
        <v>1.0</v>
      </c>
      <c r="H539" s="12">
        <v>1.0</v>
      </c>
      <c r="I539" s="12">
        <v>0.0</v>
      </c>
      <c r="J539" s="12">
        <v>1.0</v>
      </c>
      <c r="K539" s="12">
        <v>1.0</v>
      </c>
      <c r="L539" s="2"/>
      <c r="M539" s="12">
        <v>1.0</v>
      </c>
      <c r="N539" s="12">
        <v>1.0</v>
      </c>
      <c r="O539" s="13">
        <v>0.0</v>
      </c>
      <c r="P539" s="12">
        <v>1.0</v>
      </c>
      <c r="Q539" s="5"/>
      <c r="R539" s="10">
        <f>sum(F539:K539,M539:P539)/(COUNTIF(B539:P539, 1) + (COUNTIF(B539:P539, 0)) + COUNTIF(B539:P539, 0.5))</f>
        <v>0.8</v>
      </c>
    </row>
    <row r="540">
      <c r="A540" s="7">
        <v>229.0</v>
      </c>
      <c r="B540" s="8">
        <v>2187.0</v>
      </c>
      <c r="C540" s="8">
        <v>92.0</v>
      </c>
      <c r="D540" s="8">
        <v>41.6667</v>
      </c>
      <c r="E540" s="8">
        <v>-122.9</v>
      </c>
      <c r="F540" s="1"/>
      <c r="G540" s="1"/>
      <c r="H540" s="3" t="s">
        <v>1264</v>
      </c>
      <c r="I540" s="1"/>
      <c r="J540" s="3" t="s">
        <v>1265</v>
      </c>
      <c r="K540" s="3" t="s">
        <v>1240</v>
      </c>
      <c r="L540" s="2" t="s">
        <v>1240</v>
      </c>
      <c r="M540" s="3" t="s">
        <v>1266</v>
      </c>
      <c r="N540" s="3" t="s">
        <v>636</v>
      </c>
      <c r="O540" s="4" t="s">
        <v>1267</v>
      </c>
      <c r="P540" s="3" t="s">
        <v>251</v>
      </c>
      <c r="Q540" s="5" t="s">
        <v>1268</v>
      </c>
      <c r="R540" s="10"/>
    </row>
    <row r="541">
      <c r="A541" s="11" t="s">
        <v>1269</v>
      </c>
      <c r="B541" s="8"/>
      <c r="C541" s="8"/>
      <c r="D541" s="8"/>
      <c r="E541" s="8"/>
      <c r="F541" s="12">
        <v>1.0</v>
      </c>
      <c r="G541" s="12">
        <v>1.0</v>
      </c>
      <c r="H541" s="12">
        <v>1.0</v>
      </c>
      <c r="I541" s="12">
        <v>1.0</v>
      </c>
      <c r="J541" s="12">
        <v>1.0</v>
      </c>
      <c r="K541" s="12">
        <v>0.0</v>
      </c>
      <c r="L541" s="2"/>
      <c r="M541" s="12">
        <v>1.0</v>
      </c>
      <c r="N541" s="12">
        <v>1.0</v>
      </c>
      <c r="O541" s="13">
        <v>1.0</v>
      </c>
      <c r="P541" s="12">
        <v>1.0</v>
      </c>
      <c r="Q541" s="5"/>
      <c r="R541" s="10">
        <f>sum(F541:K541,M541:P541)/(COUNTIF(B541:P541, 1) + (COUNTIF(B541:P541, 0)) + COUNTIF(B541:P541, 0.5))</f>
        <v>0.9</v>
      </c>
    </row>
    <row r="542">
      <c r="A542" s="7">
        <v>230.0</v>
      </c>
      <c r="B542" s="8">
        <v>2187.0</v>
      </c>
      <c r="C542" s="8">
        <v>92.0</v>
      </c>
      <c r="D542" s="8">
        <v>41.6622</v>
      </c>
      <c r="E542" s="8">
        <v>-123.0</v>
      </c>
      <c r="F542" s="1"/>
      <c r="G542" s="1"/>
      <c r="H542" s="3" t="s">
        <v>1270</v>
      </c>
      <c r="I542" s="1"/>
      <c r="J542" s="3" t="s">
        <v>1271</v>
      </c>
      <c r="K542" s="3" t="s">
        <v>1240</v>
      </c>
      <c r="L542" s="2" t="s">
        <v>1240</v>
      </c>
      <c r="M542" s="3" t="s">
        <v>1272</v>
      </c>
      <c r="N542" s="3" t="s">
        <v>636</v>
      </c>
      <c r="O542" s="4" t="s">
        <v>1273</v>
      </c>
      <c r="P542" s="3" t="s">
        <v>251</v>
      </c>
      <c r="Q542" s="5" t="s">
        <v>1274</v>
      </c>
      <c r="R542" s="10"/>
    </row>
    <row r="543">
      <c r="A543" s="11" t="s">
        <v>1275</v>
      </c>
      <c r="B543" s="8"/>
      <c r="C543" s="8"/>
      <c r="D543" s="8"/>
      <c r="E543" s="8"/>
      <c r="F543" s="12">
        <v>1.0</v>
      </c>
      <c r="G543" s="12">
        <v>1.0</v>
      </c>
      <c r="H543" s="12">
        <v>1.0</v>
      </c>
      <c r="I543" s="12">
        <v>1.0</v>
      </c>
      <c r="J543" s="12">
        <v>1.0</v>
      </c>
      <c r="K543" s="12">
        <v>0.0</v>
      </c>
      <c r="L543" s="2"/>
      <c r="M543" s="12">
        <v>1.0</v>
      </c>
      <c r="N543" s="12">
        <v>1.0</v>
      </c>
      <c r="O543" s="13">
        <v>1.0</v>
      </c>
      <c r="P543" s="12">
        <v>1.0</v>
      </c>
      <c r="Q543" s="5"/>
      <c r="R543" s="10">
        <f>sum(F543:K543,M543:P543)/(COUNTIF(B543:P543, 1) + (COUNTIF(B543:P543, 0)) + COUNTIF(B543:P543, 0.5))</f>
        <v>0.9</v>
      </c>
    </row>
    <row r="544">
      <c r="A544" s="7">
        <v>231.0</v>
      </c>
      <c r="B544" s="8">
        <v>2187.0</v>
      </c>
      <c r="C544" s="8">
        <v>92.0</v>
      </c>
      <c r="D544" s="8">
        <v>41.6767</v>
      </c>
      <c r="E544" s="8">
        <v>-122.88</v>
      </c>
      <c r="F544" s="1"/>
      <c r="G544" s="1"/>
      <c r="H544" s="3" t="s">
        <v>1276</v>
      </c>
      <c r="I544" s="1"/>
      <c r="J544" s="3" t="s">
        <v>1277</v>
      </c>
      <c r="K544" s="3" t="s">
        <v>1240</v>
      </c>
      <c r="L544" s="2" t="s">
        <v>1240</v>
      </c>
      <c r="M544" s="3" t="s">
        <v>1278</v>
      </c>
      <c r="N544" s="3" t="s">
        <v>636</v>
      </c>
      <c r="O544" s="4" t="s">
        <v>1273</v>
      </c>
      <c r="P544" s="3" t="s">
        <v>251</v>
      </c>
      <c r="Q544" s="5" t="s">
        <v>1279</v>
      </c>
      <c r="R544" s="10"/>
    </row>
    <row r="545">
      <c r="A545" s="11" t="s">
        <v>1280</v>
      </c>
      <c r="B545" s="8"/>
      <c r="C545" s="8"/>
      <c r="D545" s="8"/>
      <c r="E545" s="8"/>
      <c r="F545" s="12">
        <v>1.0</v>
      </c>
      <c r="G545" s="12">
        <v>1.0</v>
      </c>
      <c r="H545" s="12">
        <v>1.0</v>
      </c>
      <c r="I545" s="12">
        <v>1.0</v>
      </c>
      <c r="J545" s="12">
        <v>1.0</v>
      </c>
      <c r="K545" s="12">
        <v>0.0</v>
      </c>
      <c r="L545" s="2"/>
      <c r="M545" s="12">
        <v>1.0</v>
      </c>
      <c r="N545" s="12">
        <v>1.0</v>
      </c>
      <c r="O545" s="13">
        <v>1.0</v>
      </c>
      <c r="P545" s="12">
        <v>1.0</v>
      </c>
      <c r="Q545" s="5"/>
      <c r="R545" s="10">
        <f>sum(F545:K545,M545:P545)/(COUNTIF(B545:P545, 1) + (COUNTIF(B545:P545, 0)) + COUNTIF(B545:P545, 0.5))</f>
        <v>0.9</v>
      </c>
    </row>
    <row r="546">
      <c r="A546" s="7">
        <v>232.0</v>
      </c>
      <c r="B546" s="8">
        <v>2187.0</v>
      </c>
      <c r="C546" s="8">
        <v>92.0</v>
      </c>
      <c r="D546" s="8">
        <v>41.6833</v>
      </c>
      <c r="E546" s="8">
        <v>-122.86</v>
      </c>
      <c r="F546" s="1"/>
      <c r="G546" s="1"/>
      <c r="H546" s="3" t="s">
        <v>1281</v>
      </c>
      <c r="I546" s="1"/>
      <c r="J546" s="3" t="s">
        <v>1282</v>
      </c>
      <c r="K546" s="3" t="s">
        <v>1240</v>
      </c>
      <c r="L546" s="2" t="s">
        <v>1240</v>
      </c>
      <c r="M546" s="3" t="s">
        <v>1266</v>
      </c>
      <c r="N546" s="3" t="s">
        <v>636</v>
      </c>
      <c r="O546" s="4" t="s">
        <v>1267</v>
      </c>
      <c r="P546" s="3" t="s">
        <v>251</v>
      </c>
      <c r="Q546" s="5" t="s">
        <v>1283</v>
      </c>
      <c r="R546" s="10"/>
    </row>
    <row r="547">
      <c r="A547" s="11" t="s">
        <v>1284</v>
      </c>
      <c r="B547" s="8"/>
      <c r="C547" s="8"/>
      <c r="D547" s="8"/>
      <c r="E547" s="8"/>
      <c r="F547" s="12">
        <v>1.0</v>
      </c>
      <c r="G547" s="12">
        <v>1.0</v>
      </c>
      <c r="H547" s="12">
        <v>1.0</v>
      </c>
      <c r="I547" s="12">
        <v>1.0</v>
      </c>
      <c r="J547" s="12">
        <v>1.0</v>
      </c>
      <c r="K547" s="12">
        <v>0.0</v>
      </c>
      <c r="L547" s="2"/>
      <c r="M547" s="12">
        <v>1.0</v>
      </c>
      <c r="N547" s="12">
        <v>1.0</v>
      </c>
      <c r="O547" s="13">
        <v>1.0</v>
      </c>
      <c r="P547" s="12">
        <v>1.0</v>
      </c>
      <c r="Q547" s="5"/>
      <c r="R547" s="10">
        <f>sum(F547:K547,M547:P547)/(COUNTIF(B547:P547, 1) + (COUNTIF(B547:P547, 0)) + COUNTIF(B547:P547, 0.5))</f>
        <v>0.9</v>
      </c>
    </row>
    <row r="548">
      <c r="A548" s="7">
        <v>22.0</v>
      </c>
      <c r="B548" s="8">
        <v>2188.0</v>
      </c>
      <c r="C548" s="8">
        <v>15.0</v>
      </c>
      <c r="D548" s="8">
        <v>40.7</v>
      </c>
      <c r="E548" s="8">
        <v>-122.2</v>
      </c>
      <c r="F548" s="1"/>
      <c r="G548" s="1"/>
      <c r="H548" s="3" t="s">
        <v>1285</v>
      </c>
      <c r="I548" s="3" t="s">
        <v>18</v>
      </c>
      <c r="J548" s="3" t="s">
        <v>1286</v>
      </c>
      <c r="K548" s="1"/>
      <c r="L548" s="2" t="s">
        <v>1287</v>
      </c>
      <c r="M548" s="3" t="s">
        <v>1288</v>
      </c>
      <c r="N548" s="3" t="s">
        <v>43</v>
      </c>
      <c r="O548" s="4" t="s">
        <v>619</v>
      </c>
      <c r="P548" s="3" t="s">
        <v>24</v>
      </c>
      <c r="Q548" s="5" t="s">
        <v>1289</v>
      </c>
      <c r="R548" s="10"/>
    </row>
    <row r="549">
      <c r="A549" s="11" t="s">
        <v>1290</v>
      </c>
      <c r="B549" s="8"/>
      <c r="C549" s="8"/>
      <c r="D549" s="8"/>
      <c r="E549" s="8"/>
      <c r="F549" s="12">
        <v>1.0</v>
      </c>
      <c r="G549" s="12">
        <v>1.0</v>
      </c>
      <c r="H549" s="12">
        <v>1.0</v>
      </c>
      <c r="I549" s="12">
        <v>1.0</v>
      </c>
      <c r="J549" s="12">
        <v>1.0</v>
      </c>
      <c r="K549" s="12">
        <v>1.0</v>
      </c>
      <c r="L549" s="2"/>
      <c r="M549" s="12">
        <v>0.0</v>
      </c>
      <c r="N549" s="12">
        <v>1.0</v>
      </c>
      <c r="O549" s="13">
        <v>1.0</v>
      </c>
      <c r="P549" s="12">
        <v>1.0</v>
      </c>
      <c r="Q549" s="5"/>
      <c r="R549" s="10">
        <f>sum(F549:K549,M549:P549)/(COUNTIF(B549:P549, 1) + (COUNTIF(B549:P549, 0)) + COUNTIF(B549:P549, 0.5))</f>
        <v>0.9</v>
      </c>
    </row>
    <row r="550">
      <c r="A550" s="7">
        <v>23.0</v>
      </c>
      <c r="B550" s="8">
        <v>2188.0</v>
      </c>
      <c r="C550" s="8">
        <v>15.0</v>
      </c>
      <c r="D550" s="8">
        <v>40.7</v>
      </c>
      <c r="E550" s="8">
        <v>-122.2</v>
      </c>
      <c r="F550" s="1"/>
      <c r="G550" s="1"/>
      <c r="H550" s="3" t="s">
        <v>1285</v>
      </c>
      <c r="I550" s="3" t="s">
        <v>18</v>
      </c>
      <c r="J550" s="3" t="s">
        <v>1291</v>
      </c>
      <c r="K550" s="1"/>
      <c r="L550" s="2" t="s">
        <v>1287</v>
      </c>
      <c r="M550" s="3" t="s">
        <v>1288</v>
      </c>
      <c r="N550" s="3" t="s">
        <v>43</v>
      </c>
      <c r="O550" s="4" t="s">
        <v>619</v>
      </c>
      <c r="P550" s="3" t="s">
        <v>24</v>
      </c>
      <c r="Q550" s="5" t="s">
        <v>1289</v>
      </c>
      <c r="R550" s="10"/>
    </row>
    <row r="551">
      <c r="A551" s="11" t="s">
        <v>1292</v>
      </c>
      <c r="B551" s="8"/>
      <c r="C551" s="8"/>
      <c r="D551" s="8"/>
      <c r="E551" s="8"/>
      <c r="F551" s="12">
        <v>1.0</v>
      </c>
      <c r="G551" s="12">
        <v>1.0</v>
      </c>
      <c r="H551" s="12">
        <v>1.0</v>
      </c>
      <c r="I551" s="12">
        <v>1.0</v>
      </c>
      <c r="J551" s="12">
        <v>1.0</v>
      </c>
      <c r="K551" s="12">
        <v>1.0</v>
      </c>
      <c r="L551" s="2"/>
      <c r="M551" s="12">
        <v>0.0</v>
      </c>
      <c r="N551" s="12">
        <v>1.0</v>
      </c>
      <c r="O551" s="13">
        <v>1.0</v>
      </c>
      <c r="P551" s="12">
        <v>1.0</v>
      </c>
      <c r="Q551" s="5"/>
      <c r="R551" s="10">
        <f>sum(F551:K551,M551:P551)/(COUNTIF(B551:P551, 1) + (COUNTIF(B551:P551, 0)) + COUNTIF(B551:P551, 0.5))</f>
        <v>0.9</v>
      </c>
    </row>
    <row r="552">
      <c r="A552" s="7">
        <v>24.0</v>
      </c>
      <c r="B552" s="8">
        <v>2188.0</v>
      </c>
      <c r="C552" s="8">
        <v>15.0</v>
      </c>
      <c r="D552" s="8">
        <v>41.3</v>
      </c>
      <c r="E552" s="8">
        <v>-122.6</v>
      </c>
      <c r="F552" s="1"/>
      <c r="G552" s="1"/>
      <c r="H552" s="3" t="s">
        <v>1285</v>
      </c>
      <c r="I552" s="3" t="s">
        <v>18</v>
      </c>
      <c r="J552" s="3" t="s">
        <v>1293</v>
      </c>
      <c r="K552" s="1"/>
      <c r="L552" s="2" t="s">
        <v>1294</v>
      </c>
      <c r="M552" s="3" t="s">
        <v>1288</v>
      </c>
      <c r="N552" s="3" t="s">
        <v>43</v>
      </c>
      <c r="O552" s="4" t="s">
        <v>619</v>
      </c>
      <c r="P552" s="3" t="s">
        <v>24</v>
      </c>
      <c r="Q552" s="5" t="s">
        <v>1289</v>
      </c>
      <c r="R552" s="10"/>
    </row>
    <row r="553">
      <c r="A553" s="11" t="s">
        <v>1295</v>
      </c>
      <c r="B553" s="8"/>
      <c r="C553" s="8"/>
      <c r="D553" s="8"/>
      <c r="E553" s="8"/>
      <c r="F553" s="12">
        <v>1.0</v>
      </c>
      <c r="G553" s="12">
        <v>1.0</v>
      </c>
      <c r="H553" s="12">
        <v>1.0</v>
      </c>
      <c r="I553" s="12">
        <v>1.0</v>
      </c>
      <c r="J553" s="12">
        <v>1.0</v>
      </c>
      <c r="K553" s="12">
        <v>1.0</v>
      </c>
      <c r="L553" s="2"/>
      <c r="M553" s="12">
        <v>0.0</v>
      </c>
      <c r="N553" s="12">
        <v>1.0</v>
      </c>
      <c r="O553" s="13">
        <v>1.0</v>
      </c>
      <c r="P553" s="12">
        <v>1.0</v>
      </c>
      <c r="Q553" s="5"/>
      <c r="R553" s="10">
        <f>sum(F553:K553,M553:P553)/(COUNTIF(B553:P553, 1) + (COUNTIF(B553:P553, 0)) + COUNTIF(B553:P553, 0.5))</f>
        <v>0.9</v>
      </c>
    </row>
    <row r="554">
      <c r="A554" s="7">
        <v>151.0</v>
      </c>
      <c r="B554" s="8">
        <v>2188.0</v>
      </c>
      <c r="C554" s="8">
        <v>18.0</v>
      </c>
      <c r="D554" s="9"/>
      <c r="E554" s="9"/>
      <c r="F554" s="7">
        <v>41.696</v>
      </c>
      <c r="G554" s="7">
        <v>-122.638</v>
      </c>
      <c r="H554" s="3" t="s">
        <v>1296</v>
      </c>
      <c r="I554" s="3" t="s">
        <v>18</v>
      </c>
      <c r="J554" s="3" t="s">
        <v>1297</v>
      </c>
      <c r="K554" s="3" t="s">
        <v>1294</v>
      </c>
      <c r="L554" s="9"/>
      <c r="M554" s="3" t="s">
        <v>1298</v>
      </c>
      <c r="N554" s="3" t="s">
        <v>139</v>
      </c>
      <c r="O554" s="4" t="s">
        <v>242</v>
      </c>
      <c r="P554" s="3" t="s">
        <v>243</v>
      </c>
      <c r="Q554" s="5" t="s">
        <v>1299</v>
      </c>
      <c r="R554" s="10"/>
    </row>
    <row r="555">
      <c r="A555" s="11" t="s">
        <v>1300</v>
      </c>
      <c r="B555" s="8"/>
      <c r="C555" s="8"/>
      <c r="D555" s="9"/>
      <c r="E555" s="9"/>
      <c r="F555" s="11">
        <v>0.0</v>
      </c>
      <c r="G555" s="11">
        <v>0.0</v>
      </c>
      <c r="H555" s="12">
        <v>1.0</v>
      </c>
      <c r="I555" s="12">
        <v>1.0</v>
      </c>
      <c r="J555" s="12">
        <v>1.0</v>
      </c>
      <c r="K555" s="12">
        <v>0.0</v>
      </c>
      <c r="L555" s="9"/>
      <c r="M555" s="12">
        <v>0.5</v>
      </c>
      <c r="N555" s="12">
        <v>1.0</v>
      </c>
      <c r="O555" s="13">
        <v>1.0</v>
      </c>
      <c r="P555" s="12">
        <v>1.0</v>
      </c>
      <c r="Q555" s="5"/>
      <c r="R555" s="10">
        <f>sum(F555:K555,M555:P555)/(COUNTIF(B555:P555, 1) + (COUNTIF(B555:P555, 0)) + COUNTIF(B555:P555, 0.5))</f>
        <v>0.65</v>
      </c>
    </row>
    <row r="556">
      <c r="A556" s="7">
        <v>152.0</v>
      </c>
      <c r="B556" s="8">
        <v>2188.0</v>
      </c>
      <c r="C556" s="8">
        <v>18.0</v>
      </c>
      <c r="D556" s="9"/>
      <c r="E556" s="9"/>
      <c r="F556" s="7">
        <v>41.743</v>
      </c>
      <c r="G556" s="7">
        <v>-122.654</v>
      </c>
      <c r="H556" s="3" t="s">
        <v>1301</v>
      </c>
      <c r="I556" s="3" t="s">
        <v>18</v>
      </c>
      <c r="J556" s="3" t="s">
        <v>1302</v>
      </c>
      <c r="K556" s="3" t="s">
        <v>1294</v>
      </c>
      <c r="L556" s="9"/>
      <c r="M556" s="3" t="s">
        <v>1303</v>
      </c>
      <c r="N556" s="3" t="s">
        <v>139</v>
      </c>
      <c r="O556" s="4" t="s">
        <v>242</v>
      </c>
      <c r="P556" s="3" t="s">
        <v>243</v>
      </c>
      <c r="Q556" s="5" t="s">
        <v>1304</v>
      </c>
      <c r="R556" s="10"/>
    </row>
    <row r="557">
      <c r="A557" s="11" t="s">
        <v>1305</v>
      </c>
      <c r="B557" s="8"/>
      <c r="C557" s="8"/>
      <c r="D557" s="9"/>
      <c r="E557" s="9"/>
      <c r="F557" s="11">
        <v>0.0</v>
      </c>
      <c r="G557" s="11">
        <v>0.0</v>
      </c>
      <c r="H557" s="12">
        <v>1.0</v>
      </c>
      <c r="I557" s="12">
        <v>1.0</v>
      </c>
      <c r="J557" s="12">
        <v>1.0</v>
      </c>
      <c r="K557" s="12">
        <v>0.0</v>
      </c>
      <c r="L557" s="9"/>
      <c r="M557" s="12">
        <v>1.0</v>
      </c>
      <c r="N557" s="12">
        <v>1.0</v>
      </c>
      <c r="O557" s="13">
        <v>1.0</v>
      </c>
      <c r="P557" s="12">
        <v>1.0</v>
      </c>
      <c r="Q557" s="5"/>
      <c r="R557" s="10">
        <f>sum(F557:K557,M557:P557)/(COUNTIF(B557:P557, 1) + (COUNTIF(B557:P557, 0)) + COUNTIF(B557:P557, 0.5))</f>
        <v>0.7</v>
      </c>
    </row>
    <row r="558">
      <c r="A558" s="7">
        <v>153.0</v>
      </c>
      <c r="B558" s="8">
        <v>2188.0</v>
      </c>
      <c r="C558" s="8">
        <v>18.0</v>
      </c>
      <c r="D558" s="9"/>
      <c r="E558" s="9"/>
      <c r="F558" s="7">
        <v>41.694</v>
      </c>
      <c r="G558" s="7">
        <v>-122.659</v>
      </c>
      <c r="H558" s="3" t="s">
        <v>1306</v>
      </c>
      <c r="I558" s="3" t="s">
        <v>18</v>
      </c>
      <c r="J558" s="3" t="s">
        <v>1307</v>
      </c>
      <c r="K558" s="3" t="s">
        <v>1294</v>
      </c>
      <c r="L558" s="9"/>
      <c r="M558" s="3" t="s">
        <v>1308</v>
      </c>
      <c r="N558" s="3" t="s">
        <v>139</v>
      </c>
      <c r="O558" s="4" t="s">
        <v>242</v>
      </c>
      <c r="P558" s="3" t="s">
        <v>243</v>
      </c>
      <c r="Q558" s="5" t="s">
        <v>1309</v>
      </c>
      <c r="R558" s="10"/>
    </row>
    <row r="559">
      <c r="A559" s="11" t="s">
        <v>1305</v>
      </c>
      <c r="B559" s="8"/>
      <c r="C559" s="8"/>
      <c r="D559" s="9"/>
      <c r="E559" s="9"/>
      <c r="F559" s="11">
        <v>0.0</v>
      </c>
      <c r="G559" s="11">
        <v>0.0</v>
      </c>
      <c r="H559" s="12">
        <v>1.0</v>
      </c>
      <c r="I559" s="12">
        <v>1.0</v>
      </c>
      <c r="J559" s="12">
        <v>1.0</v>
      </c>
      <c r="K559" s="12">
        <v>0.0</v>
      </c>
      <c r="L559" s="9"/>
      <c r="M559" s="12">
        <v>1.0</v>
      </c>
      <c r="N559" s="12">
        <v>1.0</v>
      </c>
      <c r="O559" s="13">
        <v>1.0</v>
      </c>
      <c r="P559" s="12">
        <v>1.0</v>
      </c>
      <c r="Q559" s="5"/>
      <c r="R559" s="10">
        <f>sum(F559:K559,M559:P559)/(COUNTIF(B559:P559, 1) + (COUNTIF(B559:P559, 0)) + COUNTIF(B559:P559, 0.5))</f>
        <v>0.7</v>
      </c>
    </row>
    <row r="560">
      <c r="A560" s="7">
        <v>119.0</v>
      </c>
      <c r="B560" s="8">
        <v>2188.0</v>
      </c>
      <c r="C560" s="8">
        <v>19.0</v>
      </c>
      <c r="D560" s="9"/>
      <c r="E560" s="9"/>
      <c r="F560" s="7">
        <v>41.725</v>
      </c>
      <c r="G560" s="7">
        <v>-122.643</v>
      </c>
      <c r="H560" s="3" t="s">
        <v>1310</v>
      </c>
      <c r="I560" s="3" t="s">
        <v>18</v>
      </c>
      <c r="J560" s="3" t="s">
        <v>1297</v>
      </c>
      <c r="K560" s="3" t="s">
        <v>1294</v>
      </c>
      <c r="L560" s="9"/>
      <c r="M560" s="3" t="s">
        <v>1311</v>
      </c>
      <c r="N560" s="3" t="s">
        <v>139</v>
      </c>
      <c r="O560" s="4" t="s">
        <v>242</v>
      </c>
      <c r="P560" s="3" t="s">
        <v>243</v>
      </c>
      <c r="Q560" s="5" t="s">
        <v>1312</v>
      </c>
      <c r="R560" s="10"/>
    </row>
    <row r="561">
      <c r="A561" s="11" t="s">
        <v>1313</v>
      </c>
      <c r="B561" s="8"/>
      <c r="C561" s="8"/>
      <c r="D561" s="9"/>
      <c r="E561" s="9"/>
      <c r="F561" s="11">
        <v>0.0</v>
      </c>
      <c r="G561" s="11">
        <v>0.0</v>
      </c>
      <c r="H561" s="12">
        <v>1.0</v>
      </c>
      <c r="I561" s="12">
        <v>1.0</v>
      </c>
      <c r="J561" s="12">
        <v>1.0</v>
      </c>
      <c r="K561" s="12">
        <v>0.0</v>
      </c>
      <c r="L561" s="9"/>
      <c r="M561" s="12">
        <v>1.0</v>
      </c>
      <c r="N561" s="12">
        <v>1.0</v>
      </c>
      <c r="O561" s="13">
        <v>1.0</v>
      </c>
      <c r="P561" s="12">
        <v>1.0</v>
      </c>
      <c r="Q561" s="5"/>
      <c r="R561" s="10">
        <f>sum(F561:K561,M561:P561)/(COUNTIF(B561:P561, 1) + (COUNTIF(B561:P561, 0)) + COUNTIF(B561:P561, 0.5))</f>
        <v>0.7</v>
      </c>
    </row>
    <row r="562">
      <c r="A562" s="7">
        <v>120.0</v>
      </c>
      <c r="B562" s="8">
        <v>2188.0</v>
      </c>
      <c r="C562" s="8">
        <v>19.0</v>
      </c>
      <c r="D562" s="9"/>
      <c r="E562" s="9"/>
      <c r="F562" s="7">
        <v>41.666</v>
      </c>
      <c r="G562" s="7">
        <v>-122.702</v>
      </c>
      <c r="H562" s="3" t="s">
        <v>1310</v>
      </c>
      <c r="I562" s="3" t="s">
        <v>18</v>
      </c>
      <c r="J562" s="3" t="s">
        <v>1302</v>
      </c>
      <c r="K562" s="3" t="s">
        <v>1294</v>
      </c>
      <c r="L562" s="9"/>
      <c r="M562" s="3" t="s">
        <v>1314</v>
      </c>
      <c r="N562" s="3" t="s">
        <v>139</v>
      </c>
      <c r="O562" s="4" t="s">
        <v>242</v>
      </c>
      <c r="P562" s="3" t="s">
        <v>243</v>
      </c>
      <c r="Q562" s="5" t="s">
        <v>1315</v>
      </c>
      <c r="R562" s="10"/>
    </row>
    <row r="563">
      <c r="A563" s="11" t="s">
        <v>1316</v>
      </c>
      <c r="B563" s="8"/>
      <c r="C563" s="8"/>
      <c r="D563" s="9"/>
      <c r="E563" s="9"/>
      <c r="F563" s="11">
        <v>0.0</v>
      </c>
      <c r="G563" s="11">
        <v>0.0</v>
      </c>
      <c r="H563" s="12">
        <v>1.0</v>
      </c>
      <c r="I563" s="12">
        <v>1.0</v>
      </c>
      <c r="J563" s="12">
        <v>1.0</v>
      </c>
      <c r="K563" s="12">
        <v>0.0</v>
      </c>
      <c r="L563" s="9"/>
      <c r="M563" s="12">
        <v>1.0</v>
      </c>
      <c r="N563" s="12">
        <v>1.0</v>
      </c>
      <c r="O563" s="13">
        <v>1.0</v>
      </c>
      <c r="P563" s="12">
        <v>1.0</v>
      </c>
      <c r="Q563" s="5"/>
      <c r="R563" s="10">
        <f>sum(F563:K563,M563:P563)/(COUNTIF(B563:P563, 1) + (COUNTIF(B563:P563, 0)) + COUNTIF(B563:P563, 0.5))</f>
        <v>0.7</v>
      </c>
    </row>
    <row r="564">
      <c r="A564" s="7">
        <v>121.0</v>
      </c>
      <c r="B564" s="8">
        <v>2188.0</v>
      </c>
      <c r="C564" s="8">
        <v>19.0</v>
      </c>
      <c r="D564" s="9"/>
      <c r="E564" s="9"/>
      <c r="F564" s="7">
        <v>41.716</v>
      </c>
      <c r="G564" s="7">
        <v>-122.616</v>
      </c>
      <c r="H564" s="3" t="s">
        <v>1310</v>
      </c>
      <c r="I564" s="3" t="s">
        <v>18</v>
      </c>
      <c r="J564" s="3" t="s">
        <v>1307</v>
      </c>
      <c r="K564" s="3" t="s">
        <v>1294</v>
      </c>
      <c r="L564" s="9"/>
      <c r="M564" s="3" t="s">
        <v>1317</v>
      </c>
      <c r="N564" s="3" t="s">
        <v>139</v>
      </c>
      <c r="O564" s="4" t="s">
        <v>242</v>
      </c>
      <c r="P564" s="3" t="s">
        <v>243</v>
      </c>
      <c r="Q564" s="5" t="s">
        <v>1318</v>
      </c>
      <c r="R564" s="10"/>
    </row>
    <row r="565">
      <c r="A565" s="11" t="s">
        <v>1319</v>
      </c>
      <c r="B565" s="8"/>
      <c r="C565" s="8"/>
      <c r="D565" s="9"/>
      <c r="E565" s="9"/>
      <c r="F565" s="11">
        <v>0.0</v>
      </c>
      <c r="G565" s="11">
        <v>0.0</v>
      </c>
      <c r="H565" s="12">
        <v>1.0</v>
      </c>
      <c r="I565" s="12">
        <v>1.0</v>
      </c>
      <c r="J565" s="12">
        <v>1.0</v>
      </c>
      <c r="K565" s="12">
        <v>0.0</v>
      </c>
      <c r="L565" s="9"/>
      <c r="M565" s="12">
        <v>0.5</v>
      </c>
      <c r="N565" s="12">
        <v>1.0</v>
      </c>
      <c r="O565" s="13">
        <v>1.0</v>
      </c>
      <c r="P565" s="12">
        <v>1.0</v>
      </c>
      <c r="Q565" s="5"/>
      <c r="R565" s="10">
        <f>sum(F565:K565,M565:P565)/(COUNTIF(B565:P565, 1) + (COUNTIF(B565:P565, 0)) + COUNTIF(B565:P565, 0.5))</f>
        <v>0.65</v>
      </c>
    </row>
    <row r="566">
      <c r="A566" s="7">
        <v>48.0</v>
      </c>
      <c r="B566" s="8">
        <v>2188.0</v>
      </c>
      <c r="C566" s="8">
        <v>20.0</v>
      </c>
      <c r="D566" s="9"/>
      <c r="E566" s="9"/>
      <c r="F566" s="7">
        <v>41.6944</v>
      </c>
      <c r="G566" s="7">
        <v>-122.637</v>
      </c>
      <c r="H566" s="3" t="s">
        <v>1320</v>
      </c>
      <c r="I566" s="3" t="s">
        <v>18</v>
      </c>
      <c r="J566" s="3" t="s">
        <v>1297</v>
      </c>
      <c r="K566" s="3" t="s">
        <v>1294</v>
      </c>
      <c r="L566" s="9"/>
      <c r="M566" s="3" t="s">
        <v>1321</v>
      </c>
      <c r="N566" s="3" t="s">
        <v>43</v>
      </c>
      <c r="O566" s="4" t="s">
        <v>1322</v>
      </c>
      <c r="P566" s="3" t="s">
        <v>243</v>
      </c>
      <c r="Q566" s="5" t="s">
        <v>1323</v>
      </c>
      <c r="R566" s="10"/>
    </row>
    <row r="567">
      <c r="A567" s="11" t="s">
        <v>1324</v>
      </c>
      <c r="B567" s="8"/>
      <c r="C567" s="8"/>
      <c r="D567" s="9"/>
      <c r="E567" s="9"/>
      <c r="F567" s="11">
        <v>0.0</v>
      </c>
      <c r="G567" s="11">
        <v>0.0</v>
      </c>
      <c r="H567" s="12">
        <v>1.0</v>
      </c>
      <c r="I567" s="12">
        <v>1.0</v>
      </c>
      <c r="J567" s="12">
        <v>1.0</v>
      </c>
      <c r="K567" s="12">
        <v>1.0</v>
      </c>
      <c r="L567" s="9"/>
      <c r="M567" s="12">
        <v>1.0</v>
      </c>
      <c r="N567" s="12">
        <v>1.0</v>
      </c>
      <c r="O567" s="13">
        <v>1.0</v>
      </c>
      <c r="P567" s="12">
        <v>1.0</v>
      </c>
      <c r="Q567" s="5"/>
      <c r="R567" s="10">
        <f>sum(F567:K567,M567:P567)/(COUNTIF(B567:P567, 1) + (COUNTIF(B567:P567, 0)) + COUNTIF(B567:P567, 0.5))</f>
        <v>0.8</v>
      </c>
    </row>
    <row r="568">
      <c r="A568" s="7">
        <v>342.0</v>
      </c>
      <c r="B568" s="8">
        <v>2188.0</v>
      </c>
      <c r="C568" s="8">
        <v>41.0</v>
      </c>
      <c r="D568" s="8">
        <v>40.6833</v>
      </c>
      <c r="E568" s="8">
        <v>-121.633</v>
      </c>
      <c r="F568" s="1"/>
      <c r="G568" s="1"/>
      <c r="H568" s="3" t="s">
        <v>1325</v>
      </c>
      <c r="I568" s="3" t="s">
        <v>18</v>
      </c>
      <c r="J568" s="3" t="s">
        <v>1326</v>
      </c>
      <c r="K568" s="3" t="s">
        <v>1287</v>
      </c>
      <c r="L568" s="9"/>
      <c r="M568" s="1"/>
      <c r="N568" s="1"/>
      <c r="O568" s="4" t="s">
        <v>1327</v>
      </c>
      <c r="P568" s="3" t="s">
        <v>251</v>
      </c>
      <c r="Q568" s="5" t="s">
        <v>1328</v>
      </c>
      <c r="R568" s="10"/>
    </row>
    <row r="569">
      <c r="A569" s="11" t="s">
        <v>1329</v>
      </c>
      <c r="B569" s="8"/>
      <c r="C569" s="8"/>
      <c r="D569" s="8"/>
      <c r="E569" s="8"/>
      <c r="F569" s="12">
        <v>1.0</v>
      </c>
      <c r="G569" s="12">
        <v>1.0</v>
      </c>
      <c r="H569" s="12">
        <v>1.0</v>
      </c>
      <c r="I569" s="12">
        <v>1.0</v>
      </c>
      <c r="J569" s="12">
        <v>1.0</v>
      </c>
      <c r="K569" s="12">
        <v>0.0</v>
      </c>
      <c r="L569" s="9"/>
      <c r="M569" s="12">
        <v>1.0</v>
      </c>
      <c r="N569" s="12">
        <v>1.0</v>
      </c>
      <c r="O569" s="13">
        <v>1.0</v>
      </c>
      <c r="P569" s="12">
        <v>1.0</v>
      </c>
      <c r="Q569" s="5"/>
      <c r="R569" s="10">
        <f>sum(F569:K569,M569:P569)/(COUNTIF(B569:P569, 1) + (COUNTIF(B569:P569, 0)) + COUNTIF(B569:P569, 0.5))</f>
        <v>0.9</v>
      </c>
    </row>
    <row r="570">
      <c r="A570" s="7">
        <v>343.0</v>
      </c>
      <c r="B570" s="8">
        <v>2188.0</v>
      </c>
      <c r="C570" s="8">
        <v>41.0</v>
      </c>
      <c r="D570" s="8">
        <v>40.6833</v>
      </c>
      <c r="E570" s="8">
        <v>-121.633</v>
      </c>
      <c r="F570" s="1"/>
      <c r="G570" s="1"/>
      <c r="H570" s="3" t="s">
        <v>1325</v>
      </c>
      <c r="I570" s="3" t="s">
        <v>18</v>
      </c>
      <c r="J570" s="3" t="s">
        <v>1330</v>
      </c>
      <c r="K570" s="3" t="s">
        <v>1287</v>
      </c>
      <c r="L570" s="9"/>
      <c r="M570" s="1"/>
      <c r="N570" s="1"/>
      <c r="O570" s="4" t="s">
        <v>1327</v>
      </c>
      <c r="P570" s="3" t="s">
        <v>251</v>
      </c>
      <c r="Q570" s="5" t="s">
        <v>1328</v>
      </c>
      <c r="R570" s="10"/>
    </row>
    <row r="571">
      <c r="A571" s="11" t="s">
        <v>1331</v>
      </c>
      <c r="B571" s="8"/>
      <c r="C571" s="8"/>
      <c r="D571" s="8"/>
      <c r="E571" s="8"/>
      <c r="F571" s="12">
        <v>1.0</v>
      </c>
      <c r="G571" s="12">
        <v>1.0</v>
      </c>
      <c r="H571" s="12">
        <v>1.0</v>
      </c>
      <c r="I571" s="12">
        <v>1.0</v>
      </c>
      <c r="J571" s="12">
        <v>1.0</v>
      </c>
      <c r="K571" s="12">
        <v>0.0</v>
      </c>
      <c r="L571" s="9"/>
      <c r="M571" s="12">
        <v>1.0</v>
      </c>
      <c r="N571" s="12">
        <v>1.0</v>
      </c>
      <c r="O571" s="13">
        <v>1.0</v>
      </c>
      <c r="P571" s="12">
        <v>1.0</v>
      </c>
      <c r="Q571" s="5"/>
      <c r="R571" s="10">
        <f>sum(F571:K571,M571:P571)/(COUNTIF(B571:P571, 1) + (COUNTIF(B571:P571, 0)) + COUNTIF(B571:P571, 0.5))</f>
        <v>0.9</v>
      </c>
    </row>
    <row r="572">
      <c r="A572" s="7">
        <v>344.0</v>
      </c>
      <c r="B572" s="8">
        <v>2188.0</v>
      </c>
      <c r="C572" s="8">
        <v>41.0</v>
      </c>
      <c r="D572" s="8">
        <v>40.6833</v>
      </c>
      <c r="E572" s="8">
        <v>-121.633</v>
      </c>
      <c r="F572" s="1"/>
      <c r="G572" s="1"/>
      <c r="H572" s="3" t="s">
        <v>1325</v>
      </c>
      <c r="I572" s="3" t="s">
        <v>18</v>
      </c>
      <c r="J572" s="3" t="s">
        <v>1332</v>
      </c>
      <c r="K572" s="3" t="s">
        <v>1287</v>
      </c>
      <c r="L572" s="9"/>
      <c r="M572" s="1"/>
      <c r="N572" s="1"/>
      <c r="O572" s="4" t="s">
        <v>1327</v>
      </c>
      <c r="P572" s="3" t="s">
        <v>251</v>
      </c>
      <c r="Q572" s="5" t="s">
        <v>1328</v>
      </c>
      <c r="R572" s="10"/>
    </row>
    <row r="573">
      <c r="A573" s="11" t="s">
        <v>1333</v>
      </c>
      <c r="B573" s="8"/>
      <c r="C573" s="8"/>
      <c r="D573" s="8"/>
      <c r="E573" s="8"/>
      <c r="F573" s="12">
        <v>1.0</v>
      </c>
      <c r="G573" s="12">
        <v>1.0</v>
      </c>
      <c r="H573" s="12">
        <v>1.0</v>
      </c>
      <c r="I573" s="12">
        <v>1.0</v>
      </c>
      <c r="J573" s="12">
        <v>1.0</v>
      </c>
      <c r="K573" s="12">
        <v>0.0</v>
      </c>
      <c r="L573" s="9"/>
      <c r="M573" s="12">
        <v>1.0</v>
      </c>
      <c r="N573" s="12">
        <v>1.0</v>
      </c>
      <c r="O573" s="13">
        <v>1.0</v>
      </c>
      <c r="P573" s="12">
        <v>1.0</v>
      </c>
      <c r="Q573" s="5"/>
      <c r="R573" s="10">
        <f>sum(F573:K573,M573:P573)/(COUNTIF(B573:P573, 1) + (COUNTIF(B573:P573, 0)) + COUNTIF(B573:P573, 0.5))</f>
        <v>0.9</v>
      </c>
    </row>
    <row r="574">
      <c r="A574" s="7">
        <v>345.0</v>
      </c>
      <c r="B574" s="8">
        <v>2188.0</v>
      </c>
      <c r="C574" s="8">
        <v>41.0</v>
      </c>
      <c r="D574" s="8">
        <v>40.6833</v>
      </c>
      <c r="E574" s="8">
        <v>-121.633</v>
      </c>
      <c r="F574" s="1"/>
      <c r="G574" s="1"/>
      <c r="H574" s="3" t="s">
        <v>1325</v>
      </c>
      <c r="I574" s="3" t="s">
        <v>18</v>
      </c>
      <c r="J574" s="3" t="s">
        <v>1334</v>
      </c>
      <c r="K574" s="3" t="s">
        <v>1287</v>
      </c>
      <c r="L574" s="9"/>
      <c r="M574" s="1"/>
      <c r="N574" s="1"/>
      <c r="O574" s="4" t="s">
        <v>1327</v>
      </c>
      <c r="P574" s="3" t="s">
        <v>251</v>
      </c>
      <c r="Q574" s="5" t="s">
        <v>1328</v>
      </c>
      <c r="R574" s="10"/>
    </row>
    <row r="575">
      <c r="A575" s="11" t="s">
        <v>1335</v>
      </c>
      <c r="B575" s="8"/>
      <c r="C575" s="8"/>
      <c r="D575" s="8"/>
      <c r="E575" s="8"/>
      <c r="F575" s="12">
        <v>1.0</v>
      </c>
      <c r="G575" s="12">
        <v>1.0</v>
      </c>
      <c r="H575" s="12">
        <v>1.0</v>
      </c>
      <c r="I575" s="12">
        <v>1.0</v>
      </c>
      <c r="J575" s="12">
        <v>1.0</v>
      </c>
      <c r="K575" s="12">
        <v>0.0</v>
      </c>
      <c r="L575" s="9"/>
      <c r="M575" s="12">
        <v>1.0</v>
      </c>
      <c r="N575" s="12">
        <v>1.0</v>
      </c>
      <c r="O575" s="13">
        <v>1.0</v>
      </c>
      <c r="P575" s="12">
        <v>1.0</v>
      </c>
      <c r="Q575" s="5"/>
      <c r="R575" s="10">
        <f>sum(F575:K575,M575:P575)/(COUNTIF(B575:P575, 1) + (COUNTIF(B575:P575, 0)) + COUNTIF(B575:P575, 0.5))</f>
        <v>0.9</v>
      </c>
    </row>
    <row r="576">
      <c r="A576" s="7">
        <v>346.0</v>
      </c>
      <c r="B576" s="8">
        <v>2188.0</v>
      </c>
      <c r="C576" s="8">
        <v>41.0</v>
      </c>
      <c r="D576" s="8">
        <v>40.6833</v>
      </c>
      <c r="E576" s="8">
        <v>-121.633</v>
      </c>
      <c r="F576" s="1"/>
      <c r="G576" s="1"/>
      <c r="H576" s="3" t="s">
        <v>1325</v>
      </c>
      <c r="I576" s="3" t="s">
        <v>18</v>
      </c>
      <c r="J576" s="3" t="s">
        <v>1336</v>
      </c>
      <c r="K576" s="3" t="s">
        <v>1287</v>
      </c>
      <c r="L576" s="9"/>
      <c r="M576" s="1"/>
      <c r="N576" s="1"/>
      <c r="O576" s="4" t="s">
        <v>1327</v>
      </c>
      <c r="P576" s="3" t="s">
        <v>251</v>
      </c>
      <c r="Q576" s="5" t="s">
        <v>1328</v>
      </c>
      <c r="R576" s="10"/>
    </row>
    <row r="577">
      <c r="A577" s="11" t="s">
        <v>1337</v>
      </c>
      <c r="B577" s="8"/>
      <c r="C577" s="8"/>
      <c r="D577" s="8"/>
      <c r="E577" s="8"/>
      <c r="F577" s="12">
        <v>1.0</v>
      </c>
      <c r="G577" s="12">
        <v>1.0</v>
      </c>
      <c r="H577" s="12">
        <v>1.0</v>
      </c>
      <c r="I577" s="12">
        <v>1.0</v>
      </c>
      <c r="J577" s="12">
        <v>1.0</v>
      </c>
      <c r="K577" s="12">
        <v>0.0</v>
      </c>
      <c r="L577" s="9"/>
      <c r="M577" s="12">
        <v>1.0</v>
      </c>
      <c r="N577" s="12">
        <v>1.0</v>
      </c>
      <c r="O577" s="13">
        <v>1.0</v>
      </c>
      <c r="P577" s="12">
        <v>1.0</v>
      </c>
      <c r="Q577" s="5"/>
      <c r="R577" s="10">
        <f>sum(F577:K577,M577:P577)/(COUNTIF(B577:P577, 1) + (COUNTIF(B577:P577, 0)) + COUNTIF(B577:P577, 0.5))</f>
        <v>0.9</v>
      </c>
    </row>
    <row r="578">
      <c r="A578" s="7">
        <v>106.0</v>
      </c>
      <c r="B578" s="8">
        <v>2188.0</v>
      </c>
      <c r="C578" s="8">
        <v>63.0</v>
      </c>
      <c r="D578" s="8">
        <v>40.7</v>
      </c>
      <c r="E578" s="8">
        <v>-122.4</v>
      </c>
      <c r="F578" s="1"/>
      <c r="G578" s="1"/>
      <c r="H578" s="3" t="s">
        <v>1338</v>
      </c>
      <c r="I578" s="3" t="s">
        <v>1339</v>
      </c>
      <c r="J578" s="3" t="s">
        <v>1340</v>
      </c>
      <c r="K578" s="1"/>
      <c r="L578" s="2" t="s">
        <v>1287</v>
      </c>
      <c r="M578" s="3" t="s">
        <v>1341</v>
      </c>
      <c r="N578" s="3" t="s">
        <v>1342</v>
      </c>
      <c r="O578" s="4" t="s">
        <v>1343</v>
      </c>
      <c r="P578" s="3" t="s">
        <v>669</v>
      </c>
      <c r="Q578" s="5" t="s">
        <v>1344</v>
      </c>
      <c r="R578" s="10"/>
    </row>
    <row r="579">
      <c r="A579" s="11" t="s">
        <v>1345</v>
      </c>
      <c r="B579" s="8"/>
      <c r="C579" s="8"/>
      <c r="D579" s="8"/>
      <c r="E579" s="8"/>
      <c r="F579" s="12">
        <v>1.0</v>
      </c>
      <c r="G579" s="12">
        <v>1.0</v>
      </c>
      <c r="H579" s="3"/>
      <c r="I579" s="12">
        <v>1.0</v>
      </c>
      <c r="J579" s="12">
        <v>1.0</v>
      </c>
      <c r="K579" s="12">
        <v>1.0</v>
      </c>
      <c r="L579" s="2"/>
      <c r="M579" s="12">
        <v>1.0</v>
      </c>
      <c r="N579" s="12">
        <v>1.0</v>
      </c>
      <c r="O579" s="13">
        <v>1.0</v>
      </c>
      <c r="P579" s="12">
        <v>1.0</v>
      </c>
      <c r="Q579" s="5"/>
      <c r="R579" s="10">
        <f>sum(F579:K579,M579:P579)/(COUNTIF(B579:P579, 1) + (COUNTIF(B579:P579, 0)) + COUNTIF(B579:P579, 0.5))</f>
        <v>1</v>
      </c>
    </row>
    <row r="580">
      <c r="A580" s="7">
        <v>107.0</v>
      </c>
      <c r="B580" s="8">
        <v>2188.0</v>
      </c>
      <c r="C580" s="8">
        <v>63.0</v>
      </c>
      <c r="D580" s="8">
        <v>40.7</v>
      </c>
      <c r="E580" s="8">
        <v>-122.4</v>
      </c>
      <c r="F580" s="1"/>
      <c r="G580" s="1"/>
      <c r="H580" s="3" t="s">
        <v>1346</v>
      </c>
      <c r="I580" s="3" t="s">
        <v>1347</v>
      </c>
      <c r="J580" s="3" t="s">
        <v>1348</v>
      </c>
      <c r="K580" s="1"/>
      <c r="L580" s="2" t="s">
        <v>1287</v>
      </c>
      <c r="M580" s="3" t="s">
        <v>1349</v>
      </c>
      <c r="N580" s="3" t="s">
        <v>1350</v>
      </c>
      <c r="O580" s="4" t="s">
        <v>1343</v>
      </c>
      <c r="P580" s="3" t="s">
        <v>669</v>
      </c>
      <c r="Q580" s="5" t="s">
        <v>1351</v>
      </c>
      <c r="R580" s="10"/>
    </row>
    <row r="581">
      <c r="A581" s="11" t="s">
        <v>1352</v>
      </c>
      <c r="B581" s="8"/>
      <c r="C581" s="8"/>
      <c r="D581" s="8"/>
      <c r="E581" s="8"/>
      <c r="F581" s="12">
        <v>1.0</v>
      </c>
      <c r="G581" s="12">
        <v>1.0</v>
      </c>
      <c r="H581" s="12">
        <v>1.0</v>
      </c>
      <c r="I581" s="12">
        <v>1.0</v>
      </c>
      <c r="J581" s="12">
        <v>1.0</v>
      </c>
      <c r="K581" s="12">
        <v>1.0</v>
      </c>
      <c r="L581" s="2"/>
      <c r="M581" s="12">
        <v>1.0</v>
      </c>
      <c r="N581" s="12">
        <v>1.0</v>
      </c>
      <c r="O581" s="13">
        <v>1.0</v>
      </c>
      <c r="P581" s="12">
        <v>1.0</v>
      </c>
      <c r="Q581" s="5"/>
      <c r="R581" s="10">
        <f>sum(F581:K581,M581:P581)/(COUNTIF(B581:P581, 1) + (COUNTIF(B581:P581, 0)) + COUNTIF(B581:P581, 0.5))</f>
        <v>1</v>
      </c>
    </row>
    <row r="582">
      <c r="A582" s="7">
        <v>108.0</v>
      </c>
      <c r="B582" s="8">
        <v>2188.0</v>
      </c>
      <c r="C582" s="8">
        <v>63.0</v>
      </c>
      <c r="D582" s="8">
        <v>40.7</v>
      </c>
      <c r="E582" s="8">
        <v>-122.4</v>
      </c>
      <c r="F582" s="1"/>
      <c r="G582" s="1"/>
      <c r="H582" s="3" t="s">
        <v>1353</v>
      </c>
      <c r="I582" s="3" t="s">
        <v>1354</v>
      </c>
      <c r="J582" s="3" t="s">
        <v>1355</v>
      </c>
      <c r="K582" s="1"/>
      <c r="L582" s="2" t="s">
        <v>1287</v>
      </c>
      <c r="M582" s="3" t="s">
        <v>1356</v>
      </c>
      <c r="N582" s="3" t="s">
        <v>1357</v>
      </c>
      <c r="O582" s="4" t="s">
        <v>1343</v>
      </c>
      <c r="P582" s="3" t="s">
        <v>669</v>
      </c>
      <c r="Q582" s="5" t="s">
        <v>1358</v>
      </c>
      <c r="R582" s="10"/>
    </row>
    <row r="583">
      <c r="A583" s="11" t="s">
        <v>1359</v>
      </c>
      <c r="B583" s="8"/>
      <c r="C583" s="8"/>
      <c r="D583" s="8"/>
      <c r="E583" s="8"/>
      <c r="F583" s="12">
        <v>1.0</v>
      </c>
      <c r="G583" s="12">
        <v>1.0</v>
      </c>
      <c r="H583" s="12">
        <v>1.0</v>
      </c>
      <c r="I583" s="12">
        <v>1.0</v>
      </c>
      <c r="J583" s="12">
        <v>1.0</v>
      </c>
      <c r="K583" s="12">
        <v>1.0</v>
      </c>
      <c r="L583" s="2"/>
      <c r="M583" s="12">
        <v>1.0</v>
      </c>
      <c r="N583" s="12">
        <v>1.0</v>
      </c>
      <c r="O583" s="13">
        <v>1.0</v>
      </c>
      <c r="P583" s="12">
        <v>1.0</v>
      </c>
      <c r="Q583" s="5"/>
      <c r="R583" s="10">
        <f>sum(F583:K583,M583:P583)/(COUNTIF(B583:P583, 1) + (COUNTIF(B583:P583, 0)) + COUNTIF(B583:P583, 0.5))</f>
        <v>1</v>
      </c>
    </row>
    <row r="584">
      <c r="A584" s="7">
        <v>109.0</v>
      </c>
      <c r="B584" s="8">
        <v>2188.0</v>
      </c>
      <c r="C584" s="8">
        <v>63.0</v>
      </c>
      <c r="D584" s="8">
        <v>40.7</v>
      </c>
      <c r="E584" s="8">
        <v>-122.4</v>
      </c>
      <c r="F584" s="1"/>
      <c r="G584" s="1"/>
      <c r="H584" s="3" t="s">
        <v>1360</v>
      </c>
      <c r="I584" s="3" t="s">
        <v>18</v>
      </c>
      <c r="J584" s="3" t="s">
        <v>1361</v>
      </c>
      <c r="K584" s="1"/>
      <c r="L584" s="2" t="s">
        <v>1287</v>
      </c>
      <c r="M584" s="3" t="s">
        <v>1362</v>
      </c>
      <c r="N584" s="3" t="s">
        <v>1363</v>
      </c>
      <c r="O584" s="4" t="s">
        <v>1343</v>
      </c>
      <c r="P584" s="3" t="s">
        <v>669</v>
      </c>
      <c r="Q584" s="5" t="s">
        <v>1364</v>
      </c>
      <c r="R584" s="10"/>
    </row>
    <row r="585">
      <c r="A585" s="11" t="s">
        <v>1365</v>
      </c>
      <c r="B585" s="8"/>
      <c r="C585" s="8"/>
      <c r="D585" s="8"/>
      <c r="E585" s="8"/>
      <c r="F585" s="12">
        <v>1.0</v>
      </c>
      <c r="G585" s="12">
        <v>1.0</v>
      </c>
      <c r="H585" s="12">
        <v>1.0</v>
      </c>
      <c r="I585" s="12">
        <v>1.0</v>
      </c>
      <c r="J585" s="12">
        <v>1.0</v>
      </c>
      <c r="K585" s="12">
        <v>1.0</v>
      </c>
      <c r="L585" s="2"/>
      <c r="M585" s="12">
        <v>1.0</v>
      </c>
      <c r="N585" s="12">
        <v>1.0</v>
      </c>
      <c r="O585" s="13">
        <v>1.0</v>
      </c>
      <c r="P585" s="12">
        <v>1.0</v>
      </c>
      <c r="Q585" s="5"/>
      <c r="R585" s="10">
        <f>sum(F585:K585,M585:P585)/(COUNTIF(B585:P585, 1) + (COUNTIF(B585:P585, 0)) + COUNTIF(B585:P585, 0.5))</f>
        <v>1</v>
      </c>
    </row>
    <row r="586">
      <c r="A586" s="7">
        <v>372.0</v>
      </c>
      <c r="B586" s="8">
        <v>2188.0</v>
      </c>
      <c r="C586" s="8">
        <v>69.0</v>
      </c>
      <c r="D586" s="8">
        <v>40.5</v>
      </c>
      <c r="E586" s="8">
        <v>-122.0</v>
      </c>
      <c r="F586" s="1"/>
      <c r="G586" s="1"/>
      <c r="H586" s="3" t="s">
        <v>1366</v>
      </c>
      <c r="I586" s="3" t="s">
        <v>18</v>
      </c>
      <c r="J586" s="3" t="s">
        <v>1286</v>
      </c>
      <c r="K586" s="1"/>
      <c r="L586" s="2" t="s">
        <v>1287</v>
      </c>
      <c r="M586" s="3" t="s">
        <v>1367</v>
      </c>
      <c r="N586" s="3" t="s">
        <v>1368</v>
      </c>
      <c r="O586" s="4" t="s">
        <v>231</v>
      </c>
      <c r="P586" s="3" t="s">
        <v>24</v>
      </c>
      <c r="Q586" s="5" t="s">
        <v>1369</v>
      </c>
      <c r="R586" s="10"/>
    </row>
    <row r="587">
      <c r="A587" s="11" t="s">
        <v>1370</v>
      </c>
      <c r="B587" s="8"/>
      <c r="C587" s="8"/>
      <c r="D587" s="8"/>
      <c r="E587" s="8"/>
      <c r="F587" s="12">
        <v>1.0</v>
      </c>
      <c r="G587" s="12">
        <v>1.0</v>
      </c>
      <c r="H587" s="12">
        <v>1.0</v>
      </c>
      <c r="I587" s="12">
        <v>1.0</v>
      </c>
      <c r="J587" s="12">
        <v>1.0</v>
      </c>
      <c r="K587" s="12">
        <v>1.0</v>
      </c>
      <c r="L587" s="2"/>
      <c r="M587" s="12">
        <v>1.0</v>
      </c>
      <c r="N587" s="12">
        <v>1.0</v>
      </c>
      <c r="O587" s="13">
        <v>1.0</v>
      </c>
      <c r="P587" s="12">
        <v>1.0</v>
      </c>
      <c r="Q587" s="5"/>
      <c r="R587" s="10">
        <f>sum(F587:K587,M587:P587)/(COUNTIF(B587:P587, 1) + (COUNTIF(B587:P587, 0)) + COUNTIF(B587:P587, 0.5))</f>
        <v>1</v>
      </c>
    </row>
    <row r="588">
      <c r="A588" s="7">
        <v>373.0</v>
      </c>
      <c r="B588" s="8">
        <v>2188.0</v>
      </c>
      <c r="C588" s="8">
        <v>69.0</v>
      </c>
      <c r="D588" s="8">
        <v>40.6</v>
      </c>
      <c r="E588" s="8">
        <v>-122.1</v>
      </c>
      <c r="F588" s="1"/>
      <c r="G588" s="1"/>
      <c r="H588" s="3" t="s">
        <v>1371</v>
      </c>
      <c r="I588" s="3" t="s">
        <v>18</v>
      </c>
      <c r="J588" s="3" t="s">
        <v>1293</v>
      </c>
      <c r="K588" s="1"/>
      <c r="L588" s="2" t="s">
        <v>1287</v>
      </c>
      <c r="M588" s="3" t="s">
        <v>1367</v>
      </c>
      <c r="N588" s="3" t="s">
        <v>1368</v>
      </c>
      <c r="O588" s="4" t="s">
        <v>231</v>
      </c>
      <c r="P588" s="3" t="s">
        <v>24</v>
      </c>
      <c r="Q588" s="5" t="s">
        <v>1372</v>
      </c>
      <c r="R588" s="10"/>
    </row>
    <row r="589">
      <c r="A589" s="11" t="s">
        <v>1373</v>
      </c>
      <c r="B589" s="8"/>
      <c r="C589" s="8"/>
      <c r="D589" s="8"/>
      <c r="E589" s="8"/>
      <c r="F589" s="12">
        <v>1.0</v>
      </c>
      <c r="G589" s="12">
        <v>1.0</v>
      </c>
      <c r="H589" s="12">
        <v>1.0</v>
      </c>
      <c r="I589" s="12">
        <v>1.0</v>
      </c>
      <c r="J589" s="12">
        <v>1.0</v>
      </c>
      <c r="K589" s="12">
        <v>1.0</v>
      </c>
      <c r="L589" s="2"/>
      <c r="M589" s="12">
        <v>1.0</v>
      </c>
      <c r="N589" s="12">
        <v>1.0</v>
      </c>
      <c r="O589" s="13">
        <v>1.0</v>
      </c>
      <c r="P589" s="12">
        <v>1.0</v>
      </c>
      <c r="Q589" s="5"/>
      <c r="R589" s="10">
        <f>sum(F589:K589,M589:P589)/(COUNTIF(B589:P589, 1) + (COUNTIF(B589:P589, 0)) + COUNTIF(B589:P589, 0.5))</f>
        <v>1</v>
      </c>
    </row>
    <row r="590">
      <c r="A590" s="7">
        <v>374.0</v>
      </c>
      <c r="B590" s="8">
        <v>2188.0</v>
      </c>
      <c r="C590" s="8">
        <v>69.0</v>
      </c>
      <c r="D590" s="8">
        <v>40.4</v>
      </c>
      <c r="E590" s="8">
        <v>-122.2</v>
      </c>
      <c r="F590" s="1"/>
      <c r="G590" s="1"/>
      <c r="H590" s="3" t="s">
        <v>1374</v>
      </c>
      <c r="I590" s="3" t="s">
        <v>18</v>
      </c>
      <c r="J590" s="3" t="s">
        <v>1291</v>
      </c>
      <c r="K590" s="1"/>
      <c r="L590" s="2" t="s">
        <v>1287</v>
      </c>
      <c r="M590" s="3" t="s">
        <v>1367</v>
      </c>
      <c r="N590" s="3" t="s">
        <v>1368</v>
      </c>
      <c r="O590" s="4" t="s">
        <v>231</v>
      </c>
      <c r="P590" s="3" t="s">
        <v>24</v>
      </c>
      <c r="Q590" s="5" t="s">
        <v>1375</v>
      </c>
      <c r="R590" s="10"/>
    </row>
    <row r="591">
      <c r="A591" s="11" t="s">
        <v>1373</v>
      </c>
      <c r="B591" s="8"/>
      <c r="C591" s="8"/>
      <c r="D591" s="8"/>
      <c r="E591" s="8"/>
      <c r="F591" s="12">
        <v>1.0</v>
      </c>
      <c r="G591" s="12">
        <v>1.0</v>
      </c>
      <c r="H591" s="12">
        <v>1.0</v>
      </c>
      <c r="I591" s="12">
        <v>1.0</v>
      </c>
      <c r="J591" s="12">
        <v>1.0</v>
      </c>
      <c r="K591" s="12">
        <v>1.0</v>
      </c>
      <c r="L591" s="2"/>
      <c r="M591" s="12">
        <v>1.0</v>
      </c>
      <c r="N591" s="12">
        <v>1.0</v>
      </c>
      <c r="O591" s="13">
        <v>1.0</v>
      </c>
      <c r="P591" s="12">
        <v>1.0</v>
      </c>
      <c r="Q591" s="5"/>
      <c r="R591" s="10">
        <f>sum(F591:K591,M591:P591)/(COUNTIF(B591:P591, 1) + (COUNTIF(B591:P591, 0)) + COUNTIF(B591:P591, 0.5))</f>
        <v>1</v>
      </c>
    </row>
    <row r="592">
      <c r="A592" s="7">
        <v>375.0</v>
      </c>
      <c r="B592" s="8">
        <v>2188.0</v>
      </c>
      <c r="C592" s="8">
        <v>69.0</v>
      </c>
      <c r="D592" s="8">
        <v>40.5</v>
      </c>
      <c r="E592" s="8">
        <v>-122.0</v>
      </c>
      <c r="F592" s="1"/>
      <c r="G592" s="1"/>
      <c r="H592" s="3" t="s">
        <v>1376</v>
      </c>
      <c r="I592" s="3" t="s">
        <v>18</v>
      </c>
      <c r="J592" s="3" t="s">
        <v>1361</v>
      </c>
      <c r="K592" s="1"/>
      <c r="L592" s="2" t="s">
        <v>1287</v>
      </c>
      <c r="M592" s="3" t="s">
        <v>1367</v>
      </c>
      <c r="N592" s="3" t="s">
        <v>1368</v>
      </c>
      <c r="O592" s="4" t="s">
        <v>231</v>
      </c>
      <c r="P592" s="3" t="s">
        <v>669</v>
      </c>
      <c r="Q592" s="5" t="s">
        <v>1377</v>
      </c>
      <c r="R592" s="10"/>
    </row>
    <row r="593">
      <c r="A593" s="11" t="s">
        <v>1378</v>
      </c>
      <c r="B593" s="8"/>
      <c r="C593" s="8"/>
      <c r="D593" s="8"/>
      <c r="E593" s="8"/>
      <c r="F593" s="12">
        <v>1.0</v>
      </c>
      <c r="G593" s="12">
        <v>1.0</v>
      </c>
      <c r="H593" s="12">
        <v>0.0</v>
      </c>
      <c r="I593" s="12">
        <v>1.0</v>
      </c>
      <c r="J593" s="12">
        <v>1.0</v>
      </c>
      <c r="K593" s="12">
        <v>1.0</v>
      </c>
      <c r="L593" s="2"/>
      <c r="M593" s="12">
        <v>1.0</v>
      </c>
      <c r="N593" s="12">
        <v>1.0</v>
      </c>
      <c r="O593" s="13">
        <v>1.0</v>
      </c>
      <c r="P593" s="12">
        <v>1.0</v>
      </c>
      <c r="Q593" s="5"/>
      <c r="R593" s="10">
        <f>sum(F593:K593,M593:P593)/(COUNTIF(B593:P593, 1) + (COUNTIF(B593:P593, 0)) + COUNTIF(B593:P593, 0.5))</f>
        <v>0.9</v>
      </c>
    </row>
    <row r="594">
      <c r="A594" s="7">
        <v>418.0</v>
      </c>
      <c r="B594" s="8">
        <v>2188.0</v>
      </c>
      <c r="C594" s="8">
        <v>88.0</v>
      </c>
      <c r="D594" s="8">
        <v>41.7333</v>
      </c>
      <c r="E594" s="8">
        <v>-122.333</v>
      </c>
      <c r="F594" s="1"/>
      <c r="G594" s="1"/>
      <c r="H594" s="3" t="s">
        <v>1294</v>
      </c>
      <c r="I594" s="3" t="s">
        <v>1379</v>
      </c>
      <c r="J594" s="3" t="s">
        <v>1380</v>
      </c>
      <c r="K594" s="3" t="s">
        <v>1240</v>
      </c>
      <c r="L594" s="9"/>
      <c r="M594" s="3" t="s">
        <v>1381</v>
      </c>
      <c r="N594" s="3" t="s">
        <v>43</v>
      </c>
      <c r="O594" s="4" t="s">
        <v>1382</v>
      </c>
      <c r="P594" s="3" t="s">
        <v>243</v>
      </c>
      <c r="Q594" s="5" t="s">
        <v>1383</v>
      </c>
      <c r="R594" s="10"/>
    </row>
    <row r="595">
      <c r="A595" s="11" t="s">
        <v>1384</v>
      </c>
      <c r="B595" s="8"/>
      <c r="C595" s="8"/>
      <c r="D595" s="8"/>
      <c r="E595" s="8"/>
      <c r="F595" s="12">
        <v>1.0</v>
      </c>
      <c r="G595" s="12">
        <v>1.0</v>
      </c>
      <c r="H595" s="12">
        <v>1.0</v>
      </c>
      <c r="I595" s="12">
        <v>0.0</v>
      </c>
      <c r="J595" s="12">
        <v>1.0</v>
      </c>
      <c r="K595" s="12">
        <v>1.0</v>
      </c>
      <c r="L595" s="9"/>
      <c r="M595" s="12">
        <v>1.0</v>
      </c>
      <c r="N595" s="12">
        <v>0.0</v>
      </c>
      <c r="O595" s="13">
        <v>0.0</v>
      </c>
      <c r="P595" s="12">
        <v>0.0</v>
      </c>
      <c r="Q595" s="5"/>
      <c r="R595" s="10">
        <f>sum(F595:K595,M595:P595)/(COUNTIF(B595:P595, 1) + (COUNTIF(B595:P595, 0)) + COUNTIF(B595:P595, 0.5))</f>
        <v>0.6</v>
      </c>
    </row>
    <row r="596">
      <c r="A596" s="7">
        <v>242.0</v>
      </c>
      <c r="B596" s="8">
        <v>2188.0</v>
      </c>
      <c r="C596" s="8">
        <v>95.0</v>
      </c>
      <c r="D596" s="9"/>
      <c r="E596" s="9"/>
      <c r="F596" s="1"/>
      <c r="G596" s="1"/>
      <c r="H596" s="3" t="s">
        <v>1385</v>
      </c>
      <c r="I596" s="3" t="s">
        <v>18</v>
      </c>
      <c r="J596" s="3" t="s">
        <v>1386</v>
      </c>
      <c r="K596" s="3" t="s">
        <v>1287</v>
      </c>
      <c r="L596" s="9"/>
      <c r="M596" s="3" t="s">
        <v>1387</v>
      </c>
      <c r="N596" s="3" t="s">
        <v>1388</v>
      </c>
      <c r="O596" s="4" t="s">
        <v>1022</v>
      </c>
      <c r="P596" s="3" t="s">
        <v>251</v>
      </c>
      <c r="Q596" s="5" t="s">
        <v>1389</v>
      </c>
      <c r="R596" s="10"/>
    </row>
    <row r="597">
      <c r="A597" s="11" t="s">
        <v>1390</v>
      </c>
      <c r="B597" s="8"/>
      <c r="C597" s="8"/>
      <c r="D597" s="9"/>
      <c r="E597" s="9"/>
      <c r="F597" s="12">
        <v>1.0</v>
      </c>
      <c r="G597" s="12">
        <v>1.0</v>
      </c>
      <c r="H597" s="12">
        <v>1.0</v>
      </c>
      <c r="I597" s="12">
        <v>1.0</v>
      </c>
      <c r="J597" s="12">
        <v>1.0</v>
      </c>
      <c r="K597" s="12">
        <v>0.5</v>
      </c>
      <c r="L597" s="9"/>
      <c r="M597" s="12">
        <v>1.0</v>
      </c>
      <c r="N597" s="12">
        <v>1.0</v>
      </c>
      <c r="O597" s="13">
        <v>1.0</v>
      </c>
      <c r="P597" s="12">
        <v>1.0</v>
      </c>
      <c r="Q597" s="5"/>
      <c r="R597" s="10">
        <f>sum(F597:K597,M597:P597)/(COUNTIF(B597:P597, 1) + (COUNTIF(B597:P597, 0)) + COUNTIF(B597:P597, 0.5))</f>
        <v>0.95</v>
      </c>
    </row>
    <row r="598">
      <c r="A598" s="7">
        <v>243.0</v>
      </c>
      <c r="B598" s="8">
        <v>2188.0</v>
      </c>
      <c r="C598" s="8">
        <v>95.0</v>
      </c>
      <c r="D598" s="9"/>
      <c r="E598" s="9"/>
      <c r="F598" s="1"/>
      <c r="G598" s="1"/>
      <c r="H598" s="3" t="s">
        <v>1391</v>
      </c>
      <c r="I598" s="3" t="s">
        <v>18</v>
      </c>
      <c r="J598" s="3" t="s">
        <v>1392</v>
      </c>
      <c r="K598" s="3" t="s">
        <v>1287</v>
      </c>
      <c r="L598" s="9"/>
      <c r="M598" s="3" t="s">
        <v>1387</v>
      </c>
      <c r="N598" s="3" t="s">
        <v>1393</v>
      </c>
      <c r="O598" s="4" t="s">
        <v>1022</v>
      </c>
      <c r="P598" s="3" t="s">
        <v>251</v>
      </c>
      <c r="Q598" s="5" t="s">
        <v>1389</v>
      </c>
      <c r="R598" s="10"/>
    </row>
    <row r="599">
      <c r="A599" s="11" t="s">
        <v>1394</v>
      </c>
      <c r="B599" s="8"/>
      <c r="C599" s="8"/>
      <c r="D599" s="9"/>
      <c r="E599" s="9"/>
      <c r="F599" s="12">
        <v>1.0</v>
      </c>
      <c r="G599" s="12">
        <v>1.0</v>
      </c>
      <c r="H599" s="12">
        <v>1.0</v>
      </c>
      <c r="I599" s="12">
        <v>1.0</v>
      </c>
      <c r="J599" s="12">
        <v>1.0</v>
      </c>
      <c r="K599" s="12">
        <v>0.5</v>
      </c>
      <c r="L599" s="9"/>
      <c r="M599" s="12">
        <v>1.0</v>
      </c>
      <c r="N599" s="12">
        <v>1.0</v>
      </c>
      <c r="O599" s="13">
        <v>1.0</v>
      </c>
      <c r="P599" s="12">
        <v>1.0</v>
      </c>
      <c r="Q599" s="5"/>
      <c r="R599" s="10">
        <f>sum(F599:K599,M599:P599)/(COUNTIF(B599:P599, 1) + (COUNTIF(B599:P599, 0)) + COUNTIF(B599:P599, 0.5))</f>
        <v>0.95</v>
      </c>
    </row>
    <row r="600">
      <c r="A600" s="7">
        <v>244.0</v>
      </c>
      <c r="B600" s="8">
        <v>2188.0</v>
      </c>
      <c r="C600" s="8">
        <v>95.0</v>
      </c>
      <c r="D600" s="9"/>
      <c r="E600" s="9"/>
      <c r="F600" s="1"/>
      <c r="G600" s="1"/>
      <c r="H600" s="3" t="s">
        <v>1395</v>
      </c>
      <c r="I600" s="3" t="s">
        <v>18</v>
      </c>
      <c r="J600" s="3" t="s">
        <v>1396</v>
      </c>
      <c r="K600" s="3" t="s">
        <v>1287</v>
      </c>
      <c r="L600" s="9"/>
      <c r="M600" s="3" t="s">
        <v>1387</v>
      </c>
      <c r="N600" s="3" t="s">
        <v>1388</v>
      </c>
      <c r="O600" s="4" t="s">
        <v>1022</v>
      </c>
      <c r="P600" s="3" t="s">
        <v>251</v>
      </c>
      <c r="Q600" s="5" t="s">
        <v>1389</v>
      </c>
      <c r="R600" s="10"/>
    </row>
    <row r="601">
      <c r="A601" s="11" t="s">
        <v>1397</v>
      </c>
      <c r="B601" s="8"/>
      <c r="C601" s="8"/>
      <c r="D601" s="9"/>
      <c r="E601" s="9"/>
      <c r="F601" s="12">
        <v>1.0</v>
      </c>
      <c r="G601" s="12">
        <v>1.0</v>
      </c>
      <c r="H601" s="12">
        <v>1.0</v>
      </c>
      <c r="I601" s="12">
        <v>1.0</v>
      </c>
      <c r="J601" s="12">
        <v>1.0</v>
      </c>
      <c r="K601" s="12">
        <v>0.5</v>
      </c>
      <c r="L601" s="9"/>
      <c r="M601" s="12">
        <v>1.0</v>
      </c>
      <c r="N601" s="12">
        <v>1.0</v>
      </c>
      <c r="O601" s="13">
        <v>1.0</v>
      </c>
      <c r="P601" s="12">
        <v>1.0</v>
      </c>
      <c r="Q601" s="5"/>
      <c r="R601" s="10">
        <f>sum(F601:K601,M601:P601)/(COUNTIF(B601:P601, 1) + (COUNTIF(B601:P601, 0)) + COUNTIF(B601:P601, 0.5))</f>
        <v>0.95</v>
      </c>
    </row>
    <row r="602">
      <c r="A602" s="7">
        <v>245.0</v>
      </c>
      <c r="B602" s="8">
        <v>2188.0</v>
      </c>
      <c r="C602" s="8">
        <v>95.0</v>
      </c>
      <c r="D602" s="9"/>
      <c r="E602" s="9"/>
      <c r="F602" s="1"/>
      <c r="G602" s="1"/>
      <c r="H602" s="3" t="s">
        <v>1398</v>
      </c>
      <c r="I602" s="3" t="s">
        <v>18</v>
      </c>
      <c r="J602" s="3" t="s">
        <v>1399</v>
      </c>
      <c r="K602" s="3" t="s">
        <v>1287</v>
      </c>
      <c r="L602" s="9"/>
      <c r="M602" s="3" t="s">
        <v>1400</v>
      </c>
      <c r="N602" s="3" t="s">
        <v>1401</v>
      </c>
      <c r="O602" s="4" t="s">
        <v>1022</v>
      </c>
      <c r="P602" s="3" t="s">
        <v>251</v>
      </c>
      <c r="Q602" s="5" t="s">
        <v>1389</v>
      </c>
      <c r="R602" s="10"/>
    </row>
    <row r="603">
      <c r="A603" s="11" t="s">
        <v>1402</v>
      </c>
      <c r="B603" s="8"/>
      <c r="C603" s="8"/>
      <c r="D603" s="9"/>
      <c r="E603" s="9"/>
      <c r="F603" s="12">
        <v>1.0</v>
      </c>
      <c r="G603" s="12">
        <v>1.0</v>
      </c>
      <c r="H603" s="12">
        <v>1.0</v>
      </c>
      <c r="I603" s="12">
        <v>1.0</v>
      </c>
      <c r="J603" s="12">
        <v>1.0</v>
      </c>
      <c r="K603" s="12">
        <v>0.5</v>
      </c>
      <c r="L603" s="9"/>
      <c r="M603" s="12">
        <v>1.0</v>
      </c>
      <c r="N603" s="12">
        <v>1.0</v>
      </c>
      <c r="O603" s="13">
        <v>1.0</v>
      </c>
      <c r="P603" s="12">
        <v>1.0</v>
      </c>
      <c r="Q603" s="5"/>
      <c r="R603" s="10">
        <f>sum(F603:K603,M603:P603)/(COUNTIF(B603:P603, 1) + (COUNTIF(B603:P603, 0)) + COUNTIF(B603:P603, 0.5))</f>
        <v>0.95</v>
      </c>
    </row>
    <row r="604">
      <c r="A604" s="7">
        <v>52.0</v>
      </c>
      <c r="B604" s="8">
        <v>2188.0</v>
      </c>
      <c r="C604" s="8">
        <v>105.0</v>
      </c>
      <c r="D604" s="8">
        <v>40.5</v>
      </c>
      <c r="E604" s="8">
        <v>-122.3</v>
      </c>
      <c r="F604" s="1"/>
      <c r="G604" s="1"/>
      <c r="H604" s="3" t="s">
        <v>354</v>
      </c>
      <c r="I604" s="3" t="s">
        <v>18</v>
      </c>
      <c r="J604" s="3" t="s">
        <v>251</v>
      </c>
      <c r="K604" s="3" t="s">
        <v>1366</v>
      </c>
      <c r="L604" s="2" t="s">
        <v>1403</v>
      </c>
      <c r="M604" s="3" t="s">
        <v>1404</v>
      </c>
      <c r="N604" s="3" t="s">
        <v>43</v>
      </c>
      <c r="O604" s="4" t="s">
        <v>1405</v>
      </c>
      <c r="P604" s="3" t="s">
        <v>251</v>
      </c>
      <c r="Q604" s="5" t="s">
        <v>1406</v>
      </c>
      <c r="R604" s="10"/>
    </row>
    <row r="605">
      <c r="A605" s="11" t="s">
        <v>1407</v>
      </c>
      <c r="B605" s="8"/>
      <c r="C605" s="8"/>
      <c r="D605" s="8"/>
      <c r="E605" s="8"/>
      <c r="F605" s="12">
        <v>1.0</v>
      </c>
      <c r="G605" s="12">
        <v>1.0</v>
      </c>
      <c r="H605" s="12">
        <v>1.0</v>
      </c>
      <c r="I605" s="12">
        <v>1.0</v>
      </c>
      <c r="J605" s="12">
        <v>1.0</v>
      </c>
      <c r="K605" s="12">
        <v>0.0</v>
      </c>
      <c r="L605" s="2"/>
      <c r="M605" s="12">
        <v>1.0</v>
      </c>
      <c r="N605" s="12">
        <v>1.0</v>
      </c>
      <c r="O605" s="13">
        <v>1.0</v>
      </c>
      <c r="P605" s="12">
        <v>1.0</v>
      </c>
      <c r="Q605" s="5"/>
      <c r="R605" s="10">
        <f>sum(F605:K605,M605:P605)/(COUNTIF(B605:P605, 1) + (COUNTIF(B605:P605, 0)) + COUNTIF(B605:P605, 0.5))</f>
        <v>0.9</v>
      </c>
    </row>
    <row r="606">
      <c r="A606" s="7">
        <v>377.0</v>
      </c>
      <c r="B606" s="8">
        <v>2245.0</v>
      </c>
      <c r="C606" s="8">
        <v>64.0</v>
      </c>
      <c r="D606" s="8">
        <v>37.8</v>
      </c>
      <c r="E606" s="8">
        <v>-119.1</v>
      </c>
      <c r="F606" s="1"/>
      <c r="G606" s="1"/>
      <c r="H606" s="3" t="s">
        <v>1408</v>
      </c>
      <c r="I606" s="3" t="s">
        <v>18</v>
      </c>
      <c r="J606" s="3" t="s">
        <v>1409</v>
      </c>
      <c r="K606" s="1"/>
      <c r="L606" s="2" t="s">
        <v>1410</v>
      </c>
      <c r="M606" s="3" t="s">
        <v>1411</v>
      </c>
      <c r="N606" s="3" t="s">
        <v>43</v>
      </c>
      <c r="O606" s="4" t="s">
        <v>236</v>
      </c>
      <c r="P606" s="3" t="s">
        <v>24</v>
      </c>
      <c r="Q606" s="5" t="s">
        <v>1412</v>
      </c>
      <c r="R606" s="10"/>
    </row>
    <row r="607">
      <c r="A607" s="11" t="s">
        <v>1413</v>
      </c>
      <c r="B607" s="8"/>
      <c r="C607" s="8"/>
      <c r="D607" s="8"/>
      <c r="E607" s="8"/>
      <c r="F607" s="12">
        <v>1.0</v>
      </c>
      <c r="G607" s="12">
        <v>1.0</v>
      </c>
      <c r="H607" s="12">
        <v>1.0</v>
      </c>
      <c r="I607" s="12">
        <v>1.0</v>
      </c>
      <c r="J607" s="12">
        <v>1.0</v>
      </c>
      <c r="K607" s="12">
        <v>1.0</v>
      </c>
      <c r="L607" s="2"/>
      <c r="M607" s="12">
        <v>1.0</v>
      </c>
      <c r="N607" s="12">
        <v>1.0</v>
      </c>
      <c r="O607" s="13">
        <v>1.0</v>
      </c>
      <c r="P607" s="12">
        <v>1.0</v>
      </c>
      <c r="Q607" s="5"/>
      <c r="R607" s="10">
        <f>sum(F607:K607,M607:P607)/(COUNTIF(B607:P607, 1) + (COUNTIF(B607:P607, 0)) + COUNTIF(B607:P607, 0.5))</f>
        <v>1</v>
      </c>
    </row>
    <row r="608">
      <c r="A608" s="7">
        <v>278.0</v>
      </c>
      <c r="B608" s="8">
        <v>2246.0</v>
      </c>
      <c r="C608" s="8">
        <v>450.0</v>
      </c>
      <c r="D608" s="8">
        <v>34.1178</v>
      </c>
      <c r="E608" s="8">
        <v>-117.879</v>
      </c>
      <c r="F608" s="1"/>
      <c r="G608" s="1"/>
      <c r="H608" s="3" t="s">
        <v>1414</v>
      </c>
      <c r="I608" s="3" t="s">
        <v>18</v>
      </c>
      <c r="J608" s="3" t="s">
        <v>1415</v>
      </c>
      <c r="K608" s="3" t="s">
        <v>748</v>
      </c>
      <c r="L608" s="9"/>
      <c r="M608" s="3" t="s">
        <v>1416</v>
      </c>
      <c r="N608" s="3" t="s">
        <v>54</v>
      </c>
      <c r="O608" s="4" t="s">
        <v>1417</v>
      </c>
      <c r="P608" s="3" t="s">
        <v>251</v>
      </c>
      <c r="Q608" s="5" t="s">
        <v>1418</v>
      </c>
      <c r="R608" s="10"/>
    </row>
    <row r="609">
      <c r="A609" s="11" t="s">
        <v>1419</v>
      </c>
      <c r="B609" s="8"/>
      <c r="C609" s="8"/>
      <c r="D609" s="8"/>
      <c r="E609" s="8"/>
      <c r="F609" s="12">
        <v>1.0</v>
      </c>
      <c r="G609" s="12">
        <v>1.0</v>
      </c>
      <c r="H609" s="12">
        <v>1.0</v>
      </c>
      <c r="I609" s="12">
        <v>1.0</v>
      </c>
      <c r="J609" s="12">
        <v>1.0</v>
      </c>
      <c r="K609" s="12">
        <v>0.0</v>
      </c>
      <c r="L609" s="9"/>
      <c r="M609" s="12">
        <v>1.0</v>
      </c>
      <c r="N609" s="12">
        <v>1.0</v>
      </c>
      <c r="O609" s="13">
        <v>1.0</v>
      </c>
      <c r="P609" s="12">
        <v>1.0</v>
      </c>
      <c r="Q609" s="5"/>
      <c r="R609" s="10">
        <f>sum(F609:K609,M609:P609)/(COUNTIF(B609:P609, 1) + (COUNTIF(B609:P609, 0)) + COUNTIF(B609:P609, 0.5))</f>
        <v>0.9</v>
      </c>
    </row>
    <row r="610">
      <c r="A610" s="7">
        <v>279.0</v>
      </c>
      <c r="B610" s="8">
        <v>2246.0</v>
      </c>
      <c r="C610" s="8">
        <v>450.0</v>
      </c>
      <c r="D610" s="8">
        <v>34.1178</v>
      </c>
      <c r="E610" s="8">
        <v>-118.136</v>
      </c>
      <c r="F610" s="1"/>
      <c r="G610" s="1"/>
      <c r="H610" s="3" t="s">
        <v>1420</v>
      </c>
      <c r="I610" s="3" t="s">
        <v>18</v>
      </c>
      <c r="J610" s="3" t="s">
        <v>1421</v>
      </c>
      <c r="K610" s="1"/>
      <c r="L610" s="2" t="s">
        <v>748</v>
      </c>
      <c r="M610" s="3" t="s">
        <v>1422</v>
      </c>
      <c r="N610" s="3" t="s">
        <v>1423</v>
      </c>
      <c r="O610" s="4" t="s">
        <v>1424</v>
      </c>
      <c r="P610" s="3" t="s">
        <v>251</v>
      </c>
      <c r="Q610" s="5" t="s">
        <v>1425</v>
      </c>
      <c r="R610" s="10"/>
    </row>
    <row r="611">
      <c r="A611" s="11" t="s">
        <v>1426</v>
      </c>
      <c r="B611" s="8"/>
      <c r="C611" s="8"/>
      <c r="D611" s="8"/>
      <c r="E611" s="8"/>
      <c r="F611" s="12">
        <v>1.0</v>
      </c>
      <c r="G611" s="12">
        <v>1.0</v>
      </c>
      <c r="H611" s="12">
        <v>1.0</v>
      </c>
      <c r="I611" s="12">
        <v>1.0</v>
      </c>
      <c r="J611" s="12">
        <v>0.5</v>
      </c>
      <c r="K611" s="12">
        <v>1.0</v>
      </c>
      <c r="L611" s="2"/>
      <c r="M611" s="12">
        <v>1.0</v>
      </c>
      <c r="N611" s="12">
        <v>1.0</v>
      </c>
      <c r="O611" s="13">
        <v>1.0</v>
      </c>
      <c r="P611" s="12">
        <v>1.0</v>
      </c>
      <c r="Q611" s="5"/>
      <c r="R611" s="10">
        <f>sum(F611:K611,M611:P611)/(COUNTIF(B611:P611, 1) + (COUNTIF(B611:P611, 0)) + COUNTIF(B611:P611, 0.5))</f>
        <v>0.95</v>
      </c>
    </row>
    <row r="612">
      <c r="A612" s="7">
        <v>128.0</v>
      </c>
      <c r="B612" s="8">
        <v>2294.0</v>
      </c>
      <c r="C612" s="8">
        <v>93.0</v>
      </c>
      <c r="D612" s="8">
        <v>36.31667</v>
      </c>
      <c r="E612" s="8">
        <v>-119.717</v>
      </c>
      <c r="F612" s="1"/>
      <c r="G612" s="1"/>
      <c r="H612" s="3" t="s">
        <v>1249</v>
      </c>
      <c r="I612" s="3" t="s">
        <v>18</v>
      </c>
      <c r="J612" s="3" t="s">
        <v>1427</v>
      </c>
      <c r="K612" s="1"/>
      <c r="L612" s="2" t="s">
        <v>498</v>
      </c>
      <c r="M612" s="3" t="s">
        <v>1428</v>
      </c>
      <c r="N612" s="3" t="s">
        <v>1429</v>
      </c>
      <c r="O612" s="4" t="s">
        <v>1430</v>
      </c>
      <c r="P612" s="3" t="s">
        <v>1431</v>
      </c>
      <c r="Q612" s="5" t="s">
        <v>1432</v>
      </c>
      <c r="R612" s="10"/>
    </row>
    <row r="613">
      <c r="A613" s="11" t="s">
        <v>1433</v>
      </c>
      <c r="B613" s="8"/>
      <c r="C613" s="8"/>
      <c r="D613" s="8"/>
      <c r="E613" s="8"/>
      <c r="F613" s="12">
        <v>1.0</v>
      </c>
      <c r="G613" s="12">
        <v>1.0</v>
      </c>
      <c r="H613" s="12">
        <v>1.0</v>
      </c>
      <c r="I613" s="12">
        <v>1.0</v>
      </c>
      <c r="J613" s="12">
        <v>1.0</v>
      </c>
      <c r="K613" s="12">
        <v>1.0</v>
      </c>
      <c r="L613" s="2"/>
      <c r="M613" s="12">
        <v>1.0</v>
      </c>
      <c r="N613" s="12">
        <v>1.0</v>
      </c>
      <c r="O613" s="13">
        <v>1.0</v>
      </c>
      <c r="P613" s="12">
        <v>1.0</v>
      </c>
      <c r="Q613" s="5"/>
      <c r="R613" s="10">
        <f>sum(F613:K613,M613:P613)/(COUNTIF(B613:P613, 1) + (COUNTIF(B613:P613, 0)) + COUNTIF(B613:P613, 0.5))</f>
        <v>1</v>
      </c>
    </row>
    <row r="614">
      <c r="A614" s="7">
        <v>386.0</v>
      </c>
      <c r="B614" s="8">
        <v>2888.0</v>
      </c>
      <c r="C614" s="8">
        <v>36.0</v>
      </c>
      <c r="D614" s="8">
        <v>34.1364</v>
      </c>
      <c r="E614" s="8">
        <v>-116.922</v>
      </c>
      <c r="F614" s="1"/>
      <c r="G614" s="1"/>
      <c r="H614" s="3" t="s">
        <v>354</v>
      </c>
      <c r="I614" s="3" t="s">
        <v>18</v>
      </c>
      <c r="J614" s="3" t="s">
        <v>1434</v>
      </c>
      <c r="K614" s="3" t="s">
        <v>129</v>
      </c>
      <c r="L614" s="9"/>
      <c r="M614" s="3" t="s">
        <v>1435</v>
      </c>
      <c r="N614" s="1"/>
      <c r="O614" s="4" t="s">
        <v>303</v>
      </c>
      <c r="P614" s="3" t="s">
        <v>669</v>
      </c>
      <c r="Q614" s="5" t="s">
        <v>1436</v>
      </c>
      <c r="R614" s="10"/>
    </row>
    <row r="615">
      <c r="A615" s="11" t="s">
        <v>1437</v>
      </c>
      <c r="B615" s="8"/>
      <c r="C615" s="8"/>
      <c r="D615" s="8"/>
      <c r="E615" s="8"/>
      <c r="F615" s="12">
        <v>1.0</v>
      </c>
      <c r="G615" s="12">
        <v>1.0</v>
      </c>
      <c r="H615" s="12">
        <v>1.0</v>
      </c>
      <c r="I615" s="12">
        <v>1.0</v>
      </c>
      <c r="J615" s="12">
        <v>1.0</v>
      </c>
      <c r="K615" s="12">
        <v>1.0</v>
      </c>
      <c r="L615" s="9"/>
      <c r="M615" s="12">
        <v>1.0</v>
      </c>
      <c r="N615" s="1"/>
      <c r="O615" s="4"/>
      <c r="P615" s="3"/>
      <c r="Q615" s="5"/>
      <c r="R615" s="10">
        <f>sum(F615:K615,M615:P615)/(COUNTIF(B615:P615, 1) + (COUNTIF(B615:P615, 0)) + COUNTIF(B615:P615, 0.5))</f>
        <v>1</v>
      </c>
    </row>
    <row r="616">
      <c r="A616" s="7">
        <v>387.0</v>
      </c>
      <c r="B616" s="8">
        <v>2888.0</v>
      </c>
      <c r="C616" s="8">
        <v>36.0</v>
      </c>
      <c r="D616" s="8">
        <v>34.1364</v>
      </c>
      <c r="E616" s="8">
        <v>-116.922</v>
      </c>
      <c r="F616" s="1"/>
      <c r="G616" s="1"/>
      <c r="H616" s="3" t="s">
        <v>354</v>
      </c>
      <c r="I616" s="3" t="s">
        <v>18</v>
      </c>
      <c r="J616" s="3" t="s">
        <v>1438</v>
      </c>
      <c r="K616" s="3" t="s">
        <v>129</v>
      </c>
      <c r="L616" s="9"/>
      <c r="M616" s="3" t="s">
        <v>1435</v>
      </c>
      <c r="N616" s="1"/>
      <c r="O616" s="4" t="s">
        <v>303</v>
      </c>
      <c r="P616" s="3" t="s">
        <v>669</v>
      </c>
      <c r="Q616" s="5" t="s">
        <v>1439</v>
      </c>
      <c r="R616" s="10"/>
    </row>
    <row r="617">
      <c r="A617" s="11" t="s">
        <v>1440</v>
      </c>
      <c r="B617" s="8"/>
      <c r="C617" s="8"/>
      <c r="D617" s="8"/>
      <c r="E617" s="8"/>
      <c r="F617" s="12">
        <v>1.0</v>
      </c>
      <c r="G617" s="12">
        <v>1.0</v>
      </c>
      <c r="H617" s="12">
        <v>1.0</v>
      </c>
      <c r="I617" s="12">
        <v>1.0</v>
      </c>
      <c r="J617" s="12">
        <v>1.0</v>
      </c>
      <c r="K617" s="12">
        <v>1.0</v>
      </c>
      <c r="L617" s="9"/>
      <c r="M617" s="12">
        <v>1.0</v>
      </c>
      <c r="N617" s="1"/>
      <c r="O617" s="4"/>
      <c r="P617" s="3"/>
      <c r="Q617" s="5"/>
      <c r="R617" s="10">
        <f>sum(F617:K617,M617:P617)/(COUNTIF(B617:P617, 1) + (COUNTIF(B617:P617, 0)) + COUNTIF(B617:P617, 0.5))</f>
        <v>1</v>
      </c>
    </row>
    <row r="618">
      <c r="A618" s="7">
        <v>388.0</v>
      </c>
      <c r="B618" s="8">
        <v>2888.0</v>
      </c>
      <c r="C618" s="8">
        <v>36.0</v>
      </c>
      <c r="D618" s="8">
        <v>34.1364</v>
      </c>
      <c r="E618" s="8">
        <v>-116.922</v>
      </c>
      <c r="F618" s="1"/>
      <c r="G618" s="1"/>
      <c r="H618" s="3" t="s">
        <v>354</v>
      </c>
      <c r="I618" s="3" t="s">
        <v>18</v>
      </c>
      <c r="J618" s="3" t="s">
        <v>1441</v>
      </c>
      <c r="K618" s="1"/>
      <c r="L618" s="2" t="s">
        <v>129</v>
      </c>
      <c r="M618" s="3" t="s">
        <v>1435</v>
      </c>
      <c r="N618" s="1"/>
      <c r="O618" s="22"/>
      <c r="P618" s="3" t="s">
        <v>669</v>
      </c>
      <c r="Q618" s="5" t="s">
        <v>1442</v>
      </c>
      <c r="R618" s="10"/>
    </row>
    <row r="619">
      <c r="A619" s="11" t="s">
        <v>1443</v>
      </c>
      <c r="B619" s="8"/>
      <c r="C619" s="8"/>
      <c r="D619" s="8"/>
      <c r="E619" s="8"/>
      <c r="F619" s="12">
        <v>1.0</v>
      </c>
      <c r="G619" s="12">
        <v>1.0</v>
      </c>
      <c r="H619" s="12">
        <v>1.0</v>
      </c>
      <c r="I619" s="12">
        <v>1.0</v>
      </c>
      <c r="J619" s="12">
        <v>1.0</v>
      </c>
      <c r="K619" s="12">
        <v>1.0</v>
      </c>
      <c r="L619" s="2"/>
      <c r="M619" s="12">
        <v>1.0</v>
      </c>
      <c r="N619" s="1"/>
      <c r="O619" s="22"/>
      <c r="P619" s="3"/>
      <c r="Q619" s="5"/>
      <c r="R619" s="10">
        <f>sum(F619:K619,M619:P619)/(COUNTIF(B619:P619, 1) + (COUNTIF(B619:P619, 0)) + COUNTIF(B619:P619, 0.5))</f>
        <v>1</v>
      </c>
    </row>
    <row r="620">
      <c r="A620" s="7">
        <v>389.0</v>
      </c>
      <c r="B620" s="8">
        <v>2888.0</v>
      </c>
      <c r="C620" s="8">
        <v>36.0</v>
      </c>
      <c r="D620" s="8">
        <v>34.1364</v>
      </c>
      <c r="E620" s="8">
        <v>-116.922</v>
      </c>
      <c r="F620" s="1"/>
      <c r="G620" s="1"/>
      <c r="H620" s="3" t="s">
        <v>354</v>
      </c>
      <c r="I620" s="3" t="s">
        <v>18</v>
      </c>
      <c r="J620" s="3" t="s">
        <v>1444</v>
      </c>
      <c r="K620" s="1"/>
      <c r="L620" s="2" t="s">
        <v>129</v>
      </c>
      <c r="M620" s="3" t="s">
        <v>1445</v>
      </c>
      <c r="N620" s="1"/>
      <c r="O620" s="22"/>
      <c r="P620" s="3" t="s">
        <v>669</v>
      </c>
      <c r="Q620" s="5" t="s">
        <v>1446</v>
      </c>
      <c r="R620" s="10"/>
    </row>
    <row r="621">
      <c r="A621" s="11" t="s">
        <v>1447</v>
      </c>
      <c r="B621" s="8"/>
      <c r="C621" s="8"/>
      <c r="D621" s="8"/>
      <c r="E621" s="8"/>
      <c r="F621" s="12">
        <v>1.0</v>
      </c>
      <c r="G621" s="12">
        <v>1.0</v>
      </c>
      <c r="H621" s="12">
        <v>1.0</v>
      </c>
      <c r="I621" s="12">
        <v>1.0</v>
      </c>
      <c r="J621" s="12">
        <v>1.0</v>
      </c>
      <c r="K621" s="12">
        <v>1.0</v>
      </c>
      <c r="L621" s="2"/>
      <c r="M621" s="3"/>
      <c r="N621" s="1"/>
      <c r="O621" s="22"/>
      <c r="P621" s="3"/>
      <c r="Q621" s="5"/>
      <c r="R621" s="10">
        <f>sum(F621:K621,M621:P621)/(COUNTIF(B621:P621, 1) + (COUNTIF(B621:P621, 0)) + COUNTIF(B621:P621, 0.5))</f>
        <v>1</v>
      </c>
    </row>
    <row r="622">
      <c r="A622" s="7">
        <v>390.0</v>
      </c>
      <c r="B622" s="8">
        <v>2888.0</v>
      </c>
      <c r="C622" s="8">
        <v>36.0</v>
      </c>
      <c r="D622" s="8">
        <v>34.1364</v>
      </c>
      <c r="E622" s="8">
        <v>-116.922</v>
      </c>
      <c r="F622" s="1"/>
      <c r="G622" s="1"/>
      <c r="H622" s="3" t="s">
        <v>354</v>
      </c>
      <c r="I622" s="3" t="s">
        <v>18</v>
      </c>
      <c r="J622" s="3" t="s">
        <v>1448</v>
      </c>
      <c r="K622" s="1"/>
      <c r="L622" s="2" t="s">
        <v>129</v>
      </c>
      <c r="M622" s="3" t="s">
        <v>1449</v>
      </c>
      <c r="N622" s="1"/>
      <c r="O622" s="22"/>
      <c r="P622" s="3" t="s">
        <v>669</v>
      </c>
      <c r="Q622" s="5" t="s">
        <v>1450</v>
      </c>
      <c r="R622" s="10"/>
    </row>
    <row r="623">
      <c r="A623" s="11" t="s">
        <v>1451</v>
      </c>
      <c r="B623" s="8"/>
      <c r="C623" s="8"/>
      <c r="D623" s="8"/>
      <c r="E623" s="8"/>
      <c r="F623" s="12">
        <v>1.0</v>
      </c>
      <c r="G623" s="12">
        <v>1.0</v>
      </c>
      <c r="H623" s="12">
        <v>1.0</v>
      </c>
      <c r="I623" s="12">
        <v>1.0</v>
      </c>
      <c r="J623" s="12">
        <v>1.0</v>
      </c>
      <c r="K623" s="12">
        <v>1.0</v>
      </c>
      <c r="L623" s="2"/>
      <c r="M623" s="3"/>
      <c r="N623" s="1"/>
      <c r="O623" s="22"/>
      <c r="P623" s="3"/>
      <c r="Q623" s="5"/>
      <c r="R623" s="10">
        <f>sum(F623:K623,M623:P623)/(COUNTIF(B623:P623, 1) + (COUNTIF(B623:P623, 0)) + COUNTIF(B623:P623, 0.5))</f>
        <v>1</v>
      </c>
    </row>
    <row r="624">
      <c r="A624" s="7">
        <v>391.0</v>
      </c>
      <c r="B624" s="8">
        <v>2888.0</v>
      </c>
      <c r="C624" s="8">
        <v>36.0</v>
      </c>
      <c r="D624" s="8">
        <v>34.1364</v>
      </c>
      <c r="E624" s="8">
        <v>-116.922</v>
      </c>
      <c r="F624" s="1"/>
      <c r="G624" s="1"/>
      <c r="H624" s="3" t="s">
        <v>354</v>
      </c>
      <c r="I624" s="3" t="s">
        <v>18</v>
      </c>
      <c r="J624" s="3" t="s">
        <v>1452</v>
      </c>
      <c r="K624" s="1"/>
      <c r="L624" s="2" t="s">
        <v>129</v>
      </c>
      <c r="M624" s="3" t="s">
        <v>1435</v>
      </c>
      <c r="N624" s="1"/>
      <c r="O624" s="22"/>
      <c r="P624" s="3" t="s">
        <v>669</v>
      </c>
      <c r="Q624" s="5" t="s">
        <v>1453</v>
      </c>
      <c r="R624" s="10"/>
    </row>
    <row r="625">
      <c r="A625" s="11" t="s">
        <v>1454</v>
      </c>
      <c r="B625" s="8"/>
      <c r="C625" s="8"/>
      <c r="D625" s="8"/>
      <c r="E625" s="8"/>
      <c r="F625" s="12">
        <v>1.0</v>
      </c>
      <c r="G625" s="12">
        <v>1.0</v>
      </c>
      <c r="H625" s="12">
        <v>1.0</v>
      </c>
      <c r="I625" s="12">
        <v>1.0</v>
      </c>
      <c r="J625" s="12">
        <v>1.0</v>
      </c>
      <c r="K625" s="12">
        <v>1.0</v>
      </c>
      <c r="L625" s="2"/>
      <c r="M625" s="3"/>
      <c r="N625" s="1"/>
      <c r="O625" s="22"/>
      <c r="P625" s="3"/>
      <c r="Q625" s="5"/>
      <c r="R625" s="10">
        <f>sum(F625:K625,M625:P625)/(COUNTIF(B625:P625, 1) + (COUNTIF(B625:P625, 0)) + COUNTIF(B625:P625, 0.5))</f>
        <v>1</v>
      </c>
    </row>
    <row r="626">
      <c r="A626" s="7">
        <v>392.0</v>
      </c>
      <c r="B626" s="8">
        <v>2888.0</v>
      </c>
      <c r="C626" s="8">
        <v>36.0</v>
      </c>
      <c r="D626" s="8">
        <v>34.1364</v>
      </c>
      <c r="E626" s="8">
        <v>-116.922</v>
      </c>
      <c r="F626" s="1"/>
      <c r="G626" s="1"/>
      <c r="H626" s="3" t="s">
        <v>354</v>
      </c>
      <c r="I626" s="3" t="s">
        <v>18</v>
      </c>
      <c r="J626" s="3" t="s">
        <v>1455</v>
      </c>
      <c r="K626" s="1"/>
      <c r="L626" s="2" t="s">
        <v>129</v>
      </c>
      <c r="M626" s="3" t="s">
        <v>1435</v>
      </c>
      <c r="N626" s="1"/>
      <c r="O626" s="22"/>
      <c r="P626" s="3" t="s">
        <v>669</v>
      </c>
      <c r="Q626" s="5" t="s">
        <v>1456</v>
      </c>
      <c r="R626" s="10"/>
    </row>
    <row r="627">
      <c r="A627" s="11" t="s">
        <v>1457</v>
      </c>
      <c r="B627" s="8"/>
      <c r="C627" s="8"/>
      <c r="D627" s="8"/>
      <c r="E627" s="8"/>
      <c r="F627" s="12">
        <v>1.0</v>
      </c>
      <c r="G627" s="12">
        <v>1.0</v>
      </c>
      <c r="H627" s="12">
        <v>1.0</v>
      </c>
      <c r="I627" s="12">
        <v>1.0</v>
      </c>
      <c r="J627" s="12">
        <v>1.0</v>
      </c>
      <c r="K627" s="12">
        <v>1.0</v>
      </c>
      <c r="L627" s="2"/>
      <c r="M627" s="3"/>
      <c r="N627" s="1"/>
      <c r="O627" s="22"/>
      <c r="P627" s="3"/>
      <c r="Q627" s="5"/>
      <c r="R627" s="10">
        <f>sum(F627:K627,M627:P627)/(COUNTIF(B627:P627, 1) + (COUNTIF(B627:P627, 0)) + COUNTIF(B627:P627, 0.5))</f>
        <v>1</v>
      </c>
    </row>
    <row r="628">
      <c r="A628" s="7">
        <v>393.0</v>
      </c>
      <c r="B628" s="8">
        <v>2888.0</v>
      </c>
      <c r="C628" s="8">
        <v>36.0</v>
      </c>
      <c r="D628" s="8">
        <v>34.1364</v>
      </c>
      <c r="E628" s="8">
        <v>-116.922</v>
      </c>
      <c r="F628" s="1"/>
      <c r="G628" s="1"/>
      <c r="H628" s="3" t="s">
        <v>354</v>
      </c>
      <c r="I628" s="3" t="s">
        <v>18</v>
      </c>
      <c r="J628" s="3" t="s">
        <v>1458</v>
      </c>
      <c r="K628" s="1"/>
      <c r="L628" s="2" t="s">
        <v>129</v>
      </c>
      <c r="M628" s="3" t="s">
        <v>1435</v>
      </c>
      <c r="N628" s="1"/>
      <c r="O628" s="22"/>
      <c r="P628" s="3" t="s">
        <v>669</v>
      </c>
      <c r="Q628" s="5" t="s">
        <v>1459</v>
      </c>
      <c r="R628" s="10"/>
    </row>
    <row r="629">
      <c r="A629" s="11" t="s">
        <v>1460</v>
      </c>
      <c r="B629" s="8"/>
      <c r="C629" s="8"/>
      <c r="D629" s="8"/>
      <c r="E629" s="8"/>
      <c r="F629" s="12">
        <v>1.0</v>
      </c>
      <c r="G629" s="12">
        <v>1.0</v>
      </c>
      <c r="H629" s="12">
        <v>1.0</v>
      </c>
      <c r="I629" s="12">
        <v>1.0</v>
      </c>
      <c r="J629" s="12">
        <v>1.0</v>
      </c>
      <c r="K629" s="12">
        <v>1.0</v>
      </c>
      <c r="L629" s="2"/>
      <c r="M629" s="3"/>
      <c r="N629" s="1"/>
      <c r="O629" s="22"/>
      <c r="P629" s="3"/>
      <c r="Q629" s="5"/>
      <c r="R629" s="10">
        <f>sum(F629:K629,M629:P629)/(COUNTIF(B629:P629, 1) + (COUNTIF(B629:P629, 0)) + COUNTIF(B629:P629, 0.5))</f>
        <v>1</v>
      </c>
    </row>
    <row r="630">
      <c r="A630" s="7">
        <v>339.0</v>
      </c>
      <c r="B630" s="8">
        <v>2888.0</v>
      </c>
      <c r="C630" s="8">
        <v>274.0</v>
      </c>
      <c r="D630" s="8">
        <v>38.495</v>
      </c>
      <c r="E630" s="8">
        <v>-122.473</v>
      </c>
      <c r="F630" s="1"/>
      <c r="G630" s="1"/>
      <c r="H630" s="3" t="s">
        <v>1461</v>
      </c>
      <c r="I630" s="3" t="s">
        <v>18</v>
      </c>
      <c r="J630" s="3" t="s">
        <v>1462</v>
      </c>
      <c r="K630" s="3" t="s">
        <v>805</v>
      </c>
      <c r="L630" s="9"/>
      <c r="M630" s="3" t="s">
        <v>1463</v>
      </c>
      <c r="N630" s="1"/>
      <c r="O630" s="4" t="s">
        <v>303</v>
      </c>
      <c r="P630" s="3" t="s">
        <v>669</v>
      </c>
      <c r="Q630" s="5" t="s">
        <v>1464</v>
      </c>
      <c r="R630" s="10"/>
    </row>
    <row r="631">
      <c r="A631" s="11" t="s">
        <v>1465</v>
      </c>
      <c r="B631" s="8"/>
      <c r="C631" s="8"/>
      <c r="D631" s="8"/>
      <c r="E631" s="8"/>
      <c r="F631" s="12">
        <v>1.0</v>
      </c>
      <c r="G631" s="12">
        <v>1.0</v>
      </c>
      <c r="H631" s="12">
        <v>1.0</v>
      </c>
      <c r="I631" s="12">
        <v>1.0</v>
      </c>
      <c r="J631" s="12">
        <v>1.0</v>
      </c>
      <c r="K631" s="12">
        <v>1.0</v>
      </c>
      <c r="L631" s="9"/>
      <c r="M631" s="12">
        <v>1.0</v>
      </c>
      <c r="N631" s="12">
        <v>1.0</v>
      </c>
      <c r="O631" s="13">
        <v>1.0</v>
      </c>
      <c r="P631" s="12">
        <v>1.0</v>
      </c>
      <c r="Q631" s="5"/>
      <c r="R631" s="10">
        <f>sum(F631:K631,M631:P631)/(COUNTIF(B631:P631, 1) + (COUNTIF(B631:P631, 0)) + COUNTIF(B631:P631, 0.5))</f>
        <v>1</v>
      </c>
    </row>
    <row r="632">
      <c r="A632" s="7">
        <v>277.0</v>
      </c>
      <c r="B632" s="8">
        <v>2888.0</v>
      </c>
      <c r="C632" s="8">
        <v>295.0</v>
      </c>
      <c r="D632" s="8">
        <v>36.9647</v>
      </c>
      <c r="E632" s="8">
        <v>-121.929</v>
      </c>
      <c r="F632" s="1"/>
      <c r="G632" s="1"/>
      <c r="H632" s="3" t="s">
        <v>1466</v>
      </c>
      <c r="I632" s="3" t="s">
        <v>18</v>
      </c>
      <c r="J632" s="3" t="s">
        <v>1467</v>
      </c>
      <c r="K632" s="3" t="s">
        <v>1468</v>
      </c>
      <c r="L632" s="9"/>
      <c r="M632" s="3" t="s">
        <v>1469</v>
      </c>
      <c r="N632" s="3" t="s">
        <v>1470</v>
      </c>
      <c r="O632" s="4" t="s">
        <v>303</v>
      </c>
      <c r="P632" s="3" t="s">
        <v>669</v>
      </c>
      <c r="Q632" s="5" t="s">
        <v>1471</v>
      </c>
      <c r="R632" s="10"/>
    </row>
    <row r="633">
      <c r="A633" s="11" t="s">
        <v>1472</v>
      </c>
      <c r="B633" s="8"/>
      <c r="C633" s="8"/>
      <c r="D633" s="8"/>
      <c r="E633" s="8"/>
      <c r="F633" s="12">
        <v>1.0</v>
      </c>
      <c r="G633" s="12">
        <v>1.0</v>
      </c>
      <c r="H633" s="12">
        <v>1.0</v>
      </c>
      <c r="I633" s="12">
        <v>1.0</v>
      </c>
      <c r="J633" s="12">
        <v>1.0</v>
      </c>
      <c r="K633" s="12">
        <v>1.0</v>
      </c>
      <c r="L633" s="9"/>
      <c r="M633" s="12">
        <v>1.0</v>
      </c>
      <c r="N633" s="12">
        <v>1.0</v>
      </c>
      <c r="O633" s="13">
        <v>1.0</v>
      </c>
      <c r="P633" s="12">
        <v>1.0</v>
      </c>
      <c r="Q633" s="5"/>
      <c r="R633" s="10">
        <f>sum(F633:K633,M633:P633)/(COUNTIF(B633:P633, 1) + (COUNTIF(B633:P633, 0)) + COUNTIF(B633:P633, 0.5))</f>
        <v>1</v>
      </c>
    </row>
    <row r="634">
      <c r="A634" s="7">
        <v>45.0</v>
      </c>
      <c r="B634" s="8">
        <v>2888.0</v>
      </c>
      <c r="C634" s="8">
        <v>326.0</v>
      </c>
      <c r="D634" s="8">
        <v>34.0522</v>
      </c>
      <c r="E634" s="8">
        <v>-118.244</v>
      </c>
      <c r="F634" s="1"/>
      <c r="G634" s="1"/>
      <c r="H634" s="3" t="s">
        <v>1473</v>
      </c>
      <c r="I634" s="1"/>
      <c r="J634" s="3" t="s">
        <v>1474</v>
      </c>
      <c r="K634" s="3" t="s">
        <v>748</v>
      </c>
      <c r="L634" s="9"/>
      <c r="M634" s="3" t="s">
        <v>1475</v>
      </c>
      <c r="N634" s="3" t="s">
        <v>1476</v>
      </c>
      <c r="O634" s="4" t="s">
        <v>275</v>
      </c>
      <c r="P634" s="3" t="s">
        <v>251</v>
      </c>
      <c r="Q634" s="5" t="s">
        <v>1477</v>
      </c>
      <c r="R634" s="10"/>
    </row>
    <row r="635">
      <c r="A635" s="11" t="s">
        <v>1478</v>
      </c>
      <c r="B635" s="8"/>
      <c r="C635" s="8"/>
      <c r="D635" s="8"/>
      <c r="E635" s="8"/>
      <c r="F635" s="12">
        <v>1.0</v>
      </c>
      <c r="G635" s="12">
        <v>1.0</v>
      </c>
      <c r="H635" s="12">
        <v>1.0</v>
      </c>
      <c r="I635" s="12">
        <v>1.0</v>
      </c>
      <c r="J635" s="12">
        <v>1.0</v>
      </c>
      <c r="K635" s="12">
        <v>1.0</v>
      </c>
      <c r="L635" s="9"/>
      <c r="M635" s="12">
        <v>1.0</v>
      </c>
      <c r="N635" s="12">
        <v>1.0</v>
      </c>
      <c r="O635" s="13">
        <v>1.0</v>
      </c>
      <c r="P635" s="12">
        <v>1.0</v>
      </c>
      <c r="Q635" s="5"/>
      <c r="R635" s="10">
        <f>sum(F635:K635,M635:P635)/(COUNTIF(B635:P635, 1) + (COUNTIF(B635:P635, 0)) + COUNTIF(B635:P635, 0.5))</f>
        <v>1</v>
      </c>
    </row>
    <row r="636">
      <c r="A636" s="7">
        <v>46.0</v>
      </c>
      <c r="B636" s="8">
        <v>2888.0</v>
      </c>
      <c r="C636" s="8">
        <v>326.0</v>
      </c>
      <c r="D636" s="8">
        <v>36.8453</v>
      </c>
      <c r="E636" s="8">
        <v>-121.398</v>
      </c>
      <c r="F636" s="1"/>
      <c r="G636" s="1"/>
      <c r="H636" s="3" t="s">
        <v>1479</v>
      </c>
      <c r="I636" s="1"/>
      <c r="J636" s="3" t="s">
        <v>1480</v>
      </c>
      <c r="K636" s="3" t="s">
        <v>1481</v>
      </c>
      <c r="L636" s="9"/>
      <c r="M636" s="1"/>
      <c r="N636" s="1"/>
      <c r="O636" s="22"/>
      <c r="P636" s="3" t="s">
        <v>251</v>
      </c>
      <c r="Q636" s="5" t="s">
        <v>1482</v>
      </c>
      <c r="R636" s="10"/>
    </row>
    <row r="637">
      <c r="A637" s="11" t="s">
        <v>1483</v>
      </c>
      <c r="B637" s="8"/>
      <c r="C637" s="8"/>
      <c r="D637" s="8"/>
      <c r="E637" s="8"/>
      <c r="F637" s="12">
        <v>1.0</v>
      </c>
      <c r="G637" s="12">
        <v>1.0</v>
      </c>
      <c r="H637" s="12">
        <v>1.0</v>
      </c>
      <c r="I637" s="12">
        <v>1.0</v>
      </c>
      <c r="J637" s="12">
        <v>1.0</v>
      </c>
      <c r="K637" s="12">
        <v>1.0</v>
      </c>
      <c r="L637" s="9"/>
      <c r="M637" s="12">
        <v>1.0</v>
      </c>
      <c r="N637" s="12">
        <v>1.0</v>
      </c>
      <c r="O637" s="13">
        <v>1.0</v>
      </c>
      <c r="P637" s="12">
        <v>1.0</v>
      </c>
      <c r="Q637" s="5"/>
      <c r="R637" s="10">
        <f>sum(F637:K637,M637:P637)/(COUNTIF(B637:P637, 1) + (COUNTIF(B637:P637, 0)) + COUNTIF(B637:P637, 0.5))</f>
        <v>1</v>
      </c>
    </row>
    <row r="638">
      <c r="A638" s="7">
        <v>347.0</v>
      </c>
      <c r="B638" s="8">
        <v>2888.0</v>
      </c>
      <c r="C638" s="8">
        <v>377.0</v>
      </c>
      <c r="D638" s="8">
        <v>38.5111</v>
      </c>
      <c r="E638" s="8">
        <v>-122.485</v>
      </c>
      <c r="F638" s="1"/>
      <c r="G638" s="1"/>
      <c r="H638" s="3" t="s">
        <v>1484</v>
      </c>
      <c r="I638" s="3" t="s">
        <v>18</v>
      </c>
      <c r="J638" s="3" t="s">
        <v>1485</v>
      </c>
      <c r="K638" s="3" t="s">
        <v>1486</v>
      </c>
      <c r="L638" s="9"/>
      <c r="M638" s="1"/>
      <c r="N638" s="1"/>
      <c r="O638" s="4" t="s">
        <v>1487</v>
      </c>
      <c r="P638" s="3" t="s">
        <v>669</v>
      </c>
      <c r="Q638" s="5" t="s">
        <v>1488</v>
      </c>
      <c r="R638" s="10"/>
    </row>
    <row r="639">
      <c r="A639" s="11" t="s">
        <v>1489</v>
      </c>
      <c r="B639" s="8"/>
      <c r="C639" s="8"/>
      <c r="D639" s="8"/>
      <c r="E639" s="8"/>
      <c r="F639" s="12">
        <v>1.0</v>
      </c>
      <c r="G639" s="12">
        <v>1.0</v>
      </c>
      <c r="H639" s="12">
        <v>1.0</v>
      </c>
      <c r="I639" s="12">
        <v>1.0</v>
      </c>
      <c r="J639" s="12">
        <v>1.0</v>
      </c>
      <c r="K639" s="12">
        <v>1.0</v>
      </c>
      <c r="L639" s="9"/>
      <c r="M639" s="12">
        <v>1.0</v>
      </c>
      <c r="N639" s="12">
        <v>1.0</v>
      </c>
      <c r="O639" s="13">
        <v>1.0</v>
      </c>
      <c r="P639" s="12">
        <v>1.0</v>
      </c>
      <c r="Q639" s="5"/>
      <c r="R639" s="10">
        <f>sum(F639:K639,M639:P639)/(COUNTIF(B639:P639, 1) + (COUNTIF(B639:P639, 0)) + COUNTIF(B639:P639, 0.5))</f>
        <v>1</v>
      </c>
    </row>
    <row r="640">
      <c r="A640" s="7">
        <v>348.0</v>
      </c>
      <c r="B640" s="8">
        <v>2888.0</v>
      </c>
      <c r="C640" s="8">
        <v>377.0</v>
      </c>
      <c r="D640" s="8">
        <v>38.8998</v>
      </c>
      <c r="E640" s="8">
        <v>-122.872</v>
      </c>
      <c r="F640" s="1"/>
      <c r="G640" s="1"/>
      <c r="H640" s="3" t="s">
        <v>1490</v>
      </c>
      <c r="I640" s="3" t="s">
        <v>18</v>
      </c>
      <c r="J640" s="3" t="s">
        <v>1491</v>
      </c>
      <c r="K640" s="3" t="s">
        <v>1492</v>
      </c>
      <c r="L640" s="9"/>
      <c r="M640" s="1"/>
      <c r="N640" s="1"/>
      <c r="O640" s="4" t="s">
        <v>1487</v>
      </c>
      <c r="P640" s="3" t="s">
        <v>669</v>
      </c>
      <c r="Q640" s="5" t="s">
        <v>1493</v>
      </c>
      <c r="R640" s="10"/>
    </row>
    <row r="641">
      <c r="A641" s="11" t="s">
        <v>1494</v>
      </c>
      <c r="B641" s="8"/>
      <c r="C641" s="8"/>
      <c r="D641" s="8"/>
      <c r="E641" s="8"/>
      <c r="F641" s="12">
        <v>1.0</v>
      </c>
      <c r="G641" s="12">
        <v>1.0</v>
      </c>
      <c r="H641" s="12">
        <v>1.0</v>
      </c>
      <c r="I641" s="12">
        <v>1.0</v>
      </c>
      <c r="J641" s="12">
        <v>1.0</v>
      </c>
      <c r="K641" s="12">
        <v>1.0</v>
      </c>
      <c r="L641" s="9"/>
      <c r="M641" s="12">
        <v>1.0</v>
      </c>
      <c r="N641" s="12">
        <v>1.0</v>
      </c>
      <c r="O641" s="13">
        <v>1.0</v>
      </c>
      <c r="P641" s="12">
        <v>1.0</v>
      </c>
      <c r="Q641" s="5"/>
      <c r="R641" s="10">
        <f>sum(F641:K641,M641:P641)/(COUNTIF(B641:P641, 1) + (COUNTIF(B641:P641, 0)) + COUNTIF(B641:P641, 0.5))</f>
        <v>1</v>
      </c>
    </row>
    <row r="642">
      <c r="A642" s="7">
        <v>427.0</v>
      </c>
      <c r="B642" s="8">
        <v>2888.0</v>
      </c>
      <c r="C642" s="8">
        <v>392.0</v>
      </c>
      <c r="D642" s="9"/>
      <c r="E642" s="9"/>
      <c r="F642" s="1"/>
      <c r="G642" s="1"/>
      <c r="H642" s="3" t="s">
        <v>1495</v>
      </c>
      <c r="I642" s="3" t="s">
        <v>18</v>
      </c>
      <c r="J642" s="3" t="s">
        <v>1496</v>
      </c>
      <c r="K642" s="3" t="s">
        <v>1497</v>
      </c>
      <c r="L642" s="9"/>
      <c r="M642" s="3" t="s">
        <v>1498</v>
      </c>
      <c r="N642" s="1"/>
      <c r="O642" s="4" t="s">
        <v>1499</v>
      </c>
      <c r="P642" s="3" t="s">
        <v>669</v>
      </c>
      <c r="Q642" s="5" t="s">
        <v>1500</v>
      </c>
      <c r="R642" s="10"/>
    </row>
    <row r="643">
      <c r="A643" s="11" t="s">
        <v>1501</v>
      </c>
      <c r="B643" s="8"/>
      <c r="C643" s="8"/>
      <c r="D643" s="9"/>
      <c r="E643" s="9"/>
      <c r="F643" s="12">
        <v>1.0</v>
      </c>
      <c r="G643" s="12">
        <v>1.0</v>
      </c>
      <c r="H643" s="12">
        <v>0.0</v>
      </c>
      <c r="I643" s="12">
        <v>1.0</v>
      </c>
      <c r="J643" s="12">
        <v>1.0</v>
      </c>
      <c r="K643" s="12">
        <v>1.0</v>
      </c>
      <c r="L643" s="9"/>
      <c r="M643" s="12">
        <v>1.0</v>
      </c>
      <c r="N643" s="12">
        <v>1.0</v>
      </c>
      <c r="O643" s="13">
        <v>1.0</v>
      </c>
      <c r="P643" s="12">
        <v>1.0</v>
      </c>
      <c r="Q643" s="5"/>
      <c r="R643" s="10">
        <f>sum(F643:K643,M643:P643)/(COUNTIF(B643:P643, 1) + (COUNTIF(B643:P643, 0)) + COUNTIF(B643:P643, 0.5))</f>
        <v>0.9</v>
      </c>
    </row>
    <row r="644">
      <c r="A644" s="7">
        <v>428.0</v>
      </c>
      <c r="B644" s="8">
        <v>2888.0</v>
      </c>
      <c r="C644" s="28">
        <v>392.0</v>
      </c>
      <c r="D644" s="9"/>
      <c r="E644" s="9"/>
      <c r="F644" s="1"/>
      <c r="G644" s="1"/>
      <c r="H644" s="3" t="s">
        <v>1495</v>
      </c>
      <c r="I644" s="3" t="s">
        <v>18</v>
      </c>
      <c r="J644" s="3" t="s">
        <v>1502</v>
      </c>
      <c r="K644" s="3" t="s">
        <v>1497</v>
      </c>
      <c r="L644" s="9"/>
      <c r="M644" s="3" t="s">
        <v>1498</v>
      </c>
      <c r="N644" s="1"/>
      <c r="O644" s="4" t="s">
        <v>1499</v>
      </c>
      <c r="P644" s="3" t="s">
        <v>669</v>
      </c>
      <c r="Q644" s="5" t="s">
        <v>1500</v>
      </c>
      <c r="R644" s="10"/>
    </row>
    <row r="645">
      <c r="A645" s="11" t="s">
        <v>1503</v>
      </c>
      <c r="B645" s="8"/>
      <c r="C645" s="8"/>
      <c r="D645" s="9"/>
      <c r="E645" s="9"/>
      <c r="F645" s="12">
        <v>1.0</v>
      </c>
      <c r="G645" s="12">
        <v>1.0</v>
      </c>
      <c r="H645" s="12">
        <v>0.0</v>
      </c>
      <c r="I645" s="12">
        <v>1.0</v>
      </c>
      <c r="J645" s="12">
        <v>1.0</v>
      </c>
      <c r="K645" s="12">
        <v>1.0</v>
      </c>
      <c r="L645" s="9"/>
      <c r="M645" s="12">
        <v>1.0</v>
      </c>
      <c r="N645" s="12">
        <v>1.0</v>
      </c>
      <c r="O645" s="13">
        <v>1.0</v>
      </c>
      <c r="P645" s="12">
        <v>1.0</v>
      </c>
      <c r="Q645" s="5"/>
      <c r="R645" s="10">
        <f>sum(F645:K645,M645:P645)/(COUNTIF(B645:P645, 1) + (COUNTIF(B645:P645, 0)) + COUNTIF(B645:P645, 0.5))</f>
        <v>0.9</v>
      </c>
    </row>
    <row r="646">
      <c r="A646" s="7">
        <v>429.0</v>
      </c>
      <c r="B646" s="8">
        <v>2888.0</v>
      </c>
      <c r="C646" s="8">
        <v>392.0</v>
      </c>
      <c r="D646" s="9"/>
      <c r="E646" s="9"/>
      <c r="F646" s="1"/>
      <c r="G646" s="1"/>
      <c r="H646" s="3" t="s">
        <v>1495</v>
      </c>
      <c r="I646" s="3" t="s">
        <v>18</v>
      </c>
      <c r="J646" s="3" t="s">
        <v>1504</v>
      </c>
      <c r="K646" s="3" t="s">
        <v>1497</v>
      </c>
      <c r="L646" s="9"/>
      <c r="M646" s="3" t="s">
        <v>1498</v>
      </c>
      <c r="N646" s="1"/>
      <c r="O646" s="4" t="s">
        <v>1499</v>
      </c>
      <c r="P646" s="3" t="s">
        <v>669</v>
      </c>
      <c r="Q646" s="5" t="s">
        <v>1500</v>
      </c>
      <c r="R646" s="10"/>
    </row>
    <row r="647">
      <c r="A647" s="11" t="s">
        <v>1505</v>
      </c>
      <c r="B647" s="8"/>
      <c r="C647" s="8"/>
      <c r="D647" s="9"/>
      <c r="E647" s="9"/>
      <c r="F647" s="12">
        <v>1.0</v>
      </c>
      <c r="G647" s="12">
        <v>1.0</v>
      </c>
      <c r="H647" s="12">
        <v>0.0</v>
      </c>
      <c r="I647" s="12">
        <v>1.0</v>
      </c>
      <c r="J647" s="12">
        <v>0.5</v>
      </c>
      <c r="K647" s="12">
        <v>1.0</v>
      </c>
      <c r="L647" s="9"/>
      <c r="M647" s="12">
        <v>1.0</v>
      </c>
      <c r="N647" s="12">
        <v>1.0</v>
      </c>
      <c r="O647" s="13">
        <v>1.0</v>
      </c>
      <c r="P647" s="12">
        <v>1.0</v>
      </c>
      <c r="Q647" s="5"/>
      <c r="R647" s="10">
        <f>sum(F647:K647,M647:P647)/(COUNTIF(B647:P647, 1) + (COUNTIF(B647:P647, 0)) + COUNTIF(B647:P647, 0.5))</f>
        <v>0.85</v>
      </c>
    </row>
    <row r="648">
      <c r="A648" s="7">
        <v>430.0</v>
      </c>
      <c r="B648" s="8">
        <v>2888.0</v>
      </c>
      <c r="C648" s="8">
        <v>392.0</v>
      </c>
      <c r="D648" s="9"/>
      <c r="E648" s="9"/>
      <c r="F648" s="1"/>
      <c r="G648" s="1"/>
      <c r="H648" s="3" t="s">
        <v>1495</v>
      </c>
      <c r="I648" s="3" t="s">
        <v>18</v>
      </c>
      <c r="J648" s="3" t="s">
        <v>1506</v>
      </c>
      <c r="K648" s="3" t="s">
        <v>1497</v>
      </c>
      <c r="L648" s="9"/>
      <c r="M648" s="3" t="s">
        <v>1498</v>
      </c>
      <c r="N648" s="1"/>
      <c r="O648" s="4" t="s">
        <v>1499</v>
      </c>
      <c r="P648" s="3" t="s">
        <v>669</v>
      </c>
      <c r="Q648" s="5" t="s">
        <v>1500</v>
      </c>
      <c r="R648" s="10"/>
    </row>
    <row r="649">
      <c r="A649" s="11" t="s">
        <v>1507</v>
      </c>
      <c r="B649" s="8"/>
      <c r="C649" s="8"/>
      <c r="D649" s="9"/>
      <c r="E649" s="9"/>
      <c r="F649" s="12">
        <v>1.0</v>
      </c>
      <c r="G649" s="12">
        <v>1.0</v>
      </c>
      <c r="H649" s="12">
        <v>0.0</v>
      </c>
      <c r="I649" s="12">
        <v>1.0</v>
      </c>
      <c r="J649" s="12">
        <v>1.0</v>
      </c>
      <c r="K649" s="12">
        <v>1.0</v>
      </c>
      <c r="L649" s="9"/>
      <c r="M649" s="12">
        <v>1.0</v>
      </c>
      <c r="N649" s="12">
        <v>1.0</v>
      </c>
      <c r="O649" s="13">
        <v>1.0</v>
      </c>
      <c r="P649" s="12">
        <v>1.0</v>
      </c>
      <c r="Q649" s="5"/>
      <c r="R649" s="10">
        <f>sum(F649:K649,M649:P649)/(COUNTIF(B649:P649, 1) + (COUNTIF(B649:P649, 0)) + COUNTIF(B649:P649, 0.5))</f>
        <v>0.9</v>
      </c>
    </row>
    <row r="650">
      <c r="A650" s="7">
        <v>431.0</v>
      </c>
      <c r="B650" s="8">
        <v>2888.0</v>
      </c>
      <c r="C650" s="8">
        <v>392.0</v>
      </c>
      <c r="D650" s="9"/>
      <c r="E650" s="9"/>
      <c r="F650" s="1"/>
      <c r="G650" s="1"/>
      <c r="H650" s="3" t="s">
        <v>1495</v>
      </c>
      <c r="I650" s="3" t="s">
        <v>18</v>
      </c>
      <c r="J650" s="3" t="s">
        <v>1508</v>
      </c>
      <c r="K650" s="3" t="s">
        <v>1497</v>
      </c>
      <c r="L650" s="9"/>
      <c r="M650" s="3" t="s">
        <v>1498</v>
      </c>
      <c r="N650" s="1"/>
      <c r="O650" s="4" t="s">
        <v>1499</v>
      </c>
      <c r="P650" s="3" t="s">
        <v>669</v>
      </c>
      <c r="Q650" s="5" t="s">
        <v>1500</v>
      </c>
      <c r="R650" s="10"/>
    </row>
    <row r="651">
      <c r="A651" s="11" t="s">
        <v>1509</v>
      </c>
      <c r="B651" s="8"/>
      <c r="C651" s="8"/>
      <c r="D651" s="9"/>
      <c r="E651" s="9"/>
      <c r="F651" s="12">
        <v>1.0</v>
      </c>
      <c r="G651" s="12">
        <v>1.0</v>
      </c>
      <c r="H651" s="12">
        <v>0.0</v>
      </c>
      <c r="I651" s="12">
        <v>1.0</v>
      </c>
      <c r="J651" s="12">
        <v>1.0</v>
      </c>
      <c r="K651" s="12">
        <v>1.0</v>
      </c>
      <c r="L651" s="9"/>
      <c r="M651" s="12">
        <v>1.0</v>
      </c>
      <c r="N651" s="12">
        <v>1.0</v>
      </c>
      <c r="O651" s="13">
        <v>1.0</v>
      </c>
      <c r="P651" s="12">
        <v>1.0</v>
      </c>
      <c r="Q651" s="5"/>
      <c r="R651" s="10">
        <f>sum(F651:K651,M651:P651)/(COUNTIF(B651:P651, 1) + (COUNTIF(B651:P651, 0)) + COUNTIF(B651:P651, 0.5))</f>
        <v>0.9</v>
      </c>
    </row>
    <row r="652">
      <c r="A652" s="7">
        <v>432.0</v>
      </c>
      <c r="B652" s="8">
        <v>2888.0</v>
      </c>
      <c r="C652" s="8">
        <v>392.0</v>
      </c>
      <c r="D652" s="9"/>
      <c r="E652" s="9"/>
      <c r="F652" s="1"/>
      <c r="G652" s="1"/>
      <c r="H652" s="3" t="s">
        <v>1495</v>
      </c>
      <c r="I652" s="3" t="s">
        <v>18</v>
      </c>
      <c r="J652" s="3" t="s">
        <v>1510</v>
      </c>
      <c r="K652" s="3" t="s">
        <v>1497</v>
      </c>
      <c r="L652" s="9"/>
      <c r="M652" s="3" t="s">
        <v>1498</v>
      </c>
      <c r="N652" s="1"/>
      <c r="O652" s="4" t="s">
        <v>1499</v>
      </c>
      <c r="P652" s="3" t="s">
        <v>669</v>
      </c>
      <c r="Q652" s="5" t="s">
        <v>1500</v>
      </c>
      <c r="R652" s="10"/>
    </row>
    <row r="653">
      <c r="A653" s="11" t="s">
        <v>1511</v>
      </c>
      <c r="B653" s="8"/>
      <c r="C653" s="8"/>
      <c r="D653" s="9"/>
      <c r="E653" s="9"/>
      <c r="F653" s="12">
        <v>1.0</v>
      </c>
      <c r="G653" s="12">
        <v>1.0</v>
      </c>
      <c r="H653" s="12">
        <v>0.0</v>
      </c>
      <c r="I653" s="12">
        <v>1.0</v>
      </c>
      <c r="J653" s="12">
        <v>1.0</v>
      </c>
      <c r="K653" s="12">
        <v>1.0</v>
      </c>
      <c r="L653" s="9"/>
      <c r="M653" s="12">
        <v>1.0</v>
      </c>
      <c r="N653" s="12">
        <v>1.0</v>
      </c>
      <c r="O653" s="13">
        <v>1.0</v>
      </c>
      <c r="P653" s="12">
        <v>1.0</v>
      </c>
      <c r="Q653" s="5"/>
      <c r="R653" s="10">
        <f>sum(F653:K653,M653:P653)/(COUNTIF(B653:P653, 1) + (COUNTIF(B653:P653, 0)) + COUNTIF(B653:P653, 0.5))</f>
        <v>0.9</v>
      </c>
    </row>
    <row r="654">
      <c r="A654" s="7">
        <v>433.0</v>
      </c>
      <c r="B654" s="8">
        <v>2888.0</v>
      </c>
      <c r="C654" s="8">
        <v>392.0</v>
      </c>
      <c r="D654" s="9"/>
      <c r="E654" s="9"/>
      <c r="F654" s="1"/>
      <c r="G654" s="1"/>
      <c r="H654" s="3" t="s">
        <v>1512</v>
      </c>
      <c r="I654" s="3" t="s">
        <v>18</v>
      </c>
      <c r="J654" s="3" t="s">
        <v>1513</v>
      </c>
      <c r="K654" s="3" t="s">
        <v>1514</v>
      </c>
      <c r="L654" s="9"/>
      <c r="M654" s="3" t="s">
        <v>1498</v>
      </c>
      <c r="N654" s="1"/>
      <c r="O654" s="4" t="s">
        <v>1499</v>
      </c>
      <c r="P654" s="3" t="s">
        <v>669</v>
      </c>
      <c r="Q654" s="5" t="s">
        <v>1515</v>
      </c>
      <c r="R654" s="10"/>
    </row>
    <row r="655">
      <c r="A655" s="11" t="s">
        <v>1516</v>
      </c>
      <c r="B655" s="8"/>
      <c r="C655" s="8"/>
      <c r="D655" s="9"/>
      <c r="E655" s="9"/>
      <c r="F655" s="12">
        <v>1.0</v>
      </c>
      <c r="G655" s="12">
        <v>1.0</v>
      </c>
      <c r="H655" s="12">
        <v>1.0</v>
      </c>
      <c r="I655" s="12">
        <v>1.0</v>
      </c>
      <c r="J655" s="12">
        <v>1.0</v>
      </c>
      <c r="K655" s="12">
        <v>0.0</v>
      </c>
      <c r="L655" s="9"/>
      <c r="M655" s="12">
        <v>1.0</v>
      </c>
      <c r="N655" s="12">
        <v>1.0</v>
      </c>
      <c r="O655" s="13">
        <v>1.0</v>
      </c>
      <c r="P655" s="12">
        <v>1.0</v>
      </c>
      <c r="Q655" s="5"/>
      <c r="R655" s="10">
        <f>sum(F655:K655,M655:P655)/(COUNTIF(B655:P655, 1) + (COUNTIF(B655:P655, 0)) + COUNTIF(B655:P655, 0.5))</f>
        <v>0.9</v>
      </c>
    </row>
    <row r="656">
      <c r="A656" s="7">
        <v>434.0</v>
      </c>
      <c r="B656" s="8">
        <v>2888.0</v>
      </c>
      <c r="C656" s="8">
        <v>392.0</v>
      </c>
      <c r="D656" s="9"/>
      <c r="E656" s="9"/>
      <c r="F656" s="1"/>
      <c r="G656" s="1"/>
      <c r="H656" s="3" t="s">
        <v>1517</v>
      </c>
      <c r="I656" s="3" t="s">
        <v>18</v>
      </c>
      <c r="J656" s="3" t="s">
        <v>1518</v>
      </c>
      <c r="K656" s="3" t="s">
        <v>1514</v>
      </c>
      <c r="L656" s="9"/>
      <c r="M656" s="3" t="s">
        <v>1498</v>
      </c>
      <c r="N656" s="1"/>
      <c r="O656" s="4" t="s">
        <v>1499</v>
      </c>
      <c r="P656" s="3" t="s">
        <v>669</v>
      </c>
      <c r="Q656" s="5" t="s">
        <v>1500</v>
      </c>
      <c r="R656" s="10"/>
    </row>
    <row r="657">
      <c r="A657" s="11" t="s">
        <v>1519</v>
      </c>
      <c r="B657" s="8"/>
      <c r="C657" s="8"/>
      <c r="D657" s="9"/>
      <c r="E657" s="9"/>
      <c r="F657" s="12">
        <v>1.0</v>
      </c>
      <c r="G657" s="12">
        <v>1.0</v>
      </c>
      <c r="H657" s="12">
        <v>0.0</v>
      </c>
      <c r="I657" s="12">
        <v>1.0</v>
      </c>
      <c r="J657" s="12">
        <v>1.0</v>
      </c>
      <c r="K657" s="12">
        <v>1.0</v>
      </c>
      <c r="L657" s="9"/>
      <c r="M657" s="12">
        <v>1.0</v>
      </c>
      <c r="N657" s="12">
        <v>1.0</v>
      </c>
      <c r="O657" s="13">
        <v>1.0</v>
      </c>
      <c r="P657" s="12">
        <v>1.0</v>
      </c>
      <c r="Q657" s="5"/>
      <c r="R657" s="10">
        <f>sum(F657:K657,M657:P657)/(COUNTIF(B657:P657, 1) + (COUNTIF(B657:P657, 0)) + COUNTIF(B657:P657, 0.5))</f>
        <v>0.9</v>
      </c>
    </row>
    <row r="658">
      <c r="A658" s="7">
        <v>435.0</v>
      </c>
      <c r="B658" s="8">
        <v>2888.0</v>
      </c>
      <c r="C658" s="8">
        <v>392.0</v>
      </c>
      <c r="D658" s="9"/>
      <c r="E658" s="9"/>
      <c r="F658" s="1"/>
      <c r="G658" s="1"/>
      <c r="H658" s="3" t="s">
        <v>1517</v>
      </c>
      <c r="I658" s="3" t="s">
        <v>18</v>
      </c>
      <c r="J658" s="3" t="s">
        <v>1520</v>
      </c>
      <c r="K658" s="3" t="s">
        <v>1514</v>
      </c>
      <c r="L658" s="9"/>
      <c r="M658" s="3" t="s">
        <v>1498</v>
      </c>
      <c r="N658" s="1"/>
      <c r="O658" s="4" t="s">
        <v>1499</v>
      </c>
      <c r="P658" s="3" t="s">
        <v>669</v>
      </c>
      <c r="Q658" s="5" t="s">
        <v>1500</v>
      </c>
      <c r="R658" s="10"/>
    </row>
    <row r="659">
      <c r="A659" s="11" t="s">
        <v>1521</v>
      </c>
      <c r="B659" s="8"/>
      <c r="C659" s="8"/>
      <c r="D659" s="9"/>
      <c r="E659" s="9"/>
      <c r="F659" s="12">
        <v>1.0</v>
      </c>
      <c r="G659" s="12">
        <v>1.0</v>
      </c>
      <c r="H659" s="12">
        <v>0.0</v>
      </c>
      <c r="I659" s="12">
        <v>1.0</v>
      </c>
      <c r="J659" s="12">
        <v>1.0</v>
      </c>
      <c r="K659" s="12">
        <v>1.0</v>
      </c>
      <c r="L659" s="9"/>
      <c r="M659" s="12">
        <v>1.0</v>
      </c>
      <c r="N659" s="12">
        <v>1.0</v>
      </c>
      <c r="O659" s="13">
        <v>1.0</v>
      </c>
      <c r="P659" s="12">
        <v>1.0</v>
      </c>
      <c r="Q659" s="5"/>
      <c r="R659" s="10">
        <f>sum(F659:K659,M659:P659)/(COUNTIF(B659:P659, 1) + (COUNTIF(B659:P659, 0)) + COUNTIF(B659:P659, 0.5))</f>
        <v>0.9</v>
      </c>
    </row>
    <row r="660">
      <c r="A660" s="7">
        <v>436.0</v>
      </c>
      <c r="B660" s="8">
        <v>2888.0</v>
      </c>
      <c r="C660" s="8">
        <v>392.0</v>
      </c>
      <c r="D660" s="9"/>
      <c r="E660" s="9"/>
      <c r="F660" s="1"/>
      <c r="G660" s="1"/>
      <c r="H660" s="3" t="s">
        <v>1522</v>
      </c>
      <c r="I660" s="3" t="s">
        <v>18</v>
      </c>
      <c r="J660" s="3" t="s">
        <v>1523</v>
      </c>
      <c r="K660" s="3" t="s">
        <v>1514</v>
      </c>
      <c r="L660" s="9"/>
      <c r="M660" s="3" t="s">
        <v>1498</v>
      </c>
      <c r="N660" s="1"/>
      <c r="O660" s="4" t="s">
        <v>1499</v>
      </c>
      <c r="P660" s="3" t="s">
        <v>669</v>
      </c>
      <c r="Q660" s="5" t="s">
        <v>1500</v>
      </c>
      <c r="R660" s="10"/>
    </row>
    <row r="661">
      <c r="A661" s="11" t="s">
        <v>1524</v>
      </c>
      <c r="B661" s="8"/>
      <c r="C661" s="8"/>
      <c r="D661" s="9"/>
      <c r="E661" s="9"/>
      <c r="F661" s="12">
        <v>1.0</v>
      </c>
      <c r="G661" s="12">
        <v>1.0</v>
      </c>
      <c r="H661" s="12">
        <v>0.0</v>
      </c>
      <c r="I661" s="12">
        <v>1.0</v>
      </c>
      <c r="J661" s="12">
        <v>1.0</v>
      </c>
      <c r="K661" s="12">
        <v>1.0</v>
      </c>
      <c r="L661" s="9"/>
      <c r="M661" s="12">
        <v>1.0</v>
      </c>
      <c r="N661" s="12">
        <v>1.0</v>
      </c>
      <c r="O661" s="13">
        <v>1.0</v>
      </c>
      <c r="P661" s="12">
        <v>1.0</v>
      </c>
      <c r="Q661" s="5"/>
      <c r="R661" s="10">
        <f>sum(F661:K661,M661:P661)/(COUNTIF(B661:P661, 1) + (COUNTIF(B661:P661, 0)) + COUNTIF(B661:P661, 0.5))</f>
        <v>0.9</v>
      </c>
    </row>
    <row r="662">
      <c r="A662" s="7">
        <v>437.0</v>
      </c>
      <c r="B662" s="8">
        <v>2888.0</v>
      </c>
      <c r="C662" s="8">
        <v>392.0</v>
      </c>
      <c r="D662" s="9"/>
      <c r="E662" s="9"/>
      <c r="F662" s="1"/>
      <c r="G662" s="1"/>
      <c r="H662" s="3" t="s">
        <v>1525</v>
      </c>
      <c r="I662" s="3" t="s">
        <v>18</v>
      </c>
      <c r="J662" s="3" t="s">
        <v>1526</v>
      </c>
      <c r="K662" s="3" t="s">
        <v>1527</v>
      </c>
      <c r="L662" s="9"/>
      <c r="M662" s="3" t="s">
        <v>1498</v>
      </c>
      <c r="N662" s="1"/>
      <c r="O662" s="4" t="s">
        <v>1499</v>
      </c>
      <c r="P662" s="3" t="s">
        <v>669</v>
      </c>
      <c r="Q662" s="5" t="s">
        <v>1528</v>
      </c>
      <c r="R662" s="10"/>
    </row>
    <row r="663">
      <c r="A663" s="11" t="s">
        <v>1529</v>
      </c>
      <c r="B663" s="8"/>
      <c r="C663" s="8"/>
      <c r="D663" s="9"/>
      <c r="E663" s="9"/>
      <c r="F663" s="12">
        <v>1.0</v>
      </c>
      <c r="G663" s="12">
        <v>1.0</v>
      </c>
      <c r="H663" s="12">
        <v>0.0</v>
      </c>
      <c r="I663" s="12">
        <v>1.0</v>
      </c>
      <c r="J663" s="12">
        <v>1.0</v>
      </c>
      <c r="K663" s="12">
        <v>1.0</v>
      </c>
      <c r="L663" s="9"/>
      <c r="M663" s="12">
        <v>1.0</v>
      </c>
      <c r="N663" s="12">
        <v>1.0</v>
      </c>
      <c r="O663" s="13">
        <v>1.0</v>
      </c>
      <c r="P663" s="12">
        <v>1.0</v>
      </c>
      <c r="Q663" s="5"/>
      <c r="R663" s="10">
        <f>sum(F663:K663,M663:P663)/(COUNTIF(B663:P663, 1) + (COUNTIF(B663:P663, 0)) + COUNTIF(B663:P663, 0.5))</f>
        <v>0.9</v>
      </c>
    </row>
    <row r="664">
      <c r="A664" s="7">
        <v>438.0</v>
      </c>
      <c r="B664" s="8">
        <v>2888.0</v>
      </c>
      <c r="C664" s="8">
        <v>392.0</v>
      </c>
      <c r="D664" s="9"/>
      <c r="E664" s="9"/>
      <c r="F664" s="1"/>
      <c r="G664" s="1"/>
      <c r="H664" s="3" t="s">
        <v>1530</v>
      </c>
      <c r="I664" s="3" t="s">
        <v>18</v>
      </c>
      <c r="J664" s="3" t="s">
        <v>1531</v>
      </c>
      <c r="K664" s="3" t="s">
        <v>1532</v>
      </c>
      <c r="L664" s="9"/>
      <c r="M664" s="3" t="s">
        <v>1498</v>
      </c>
      <c r="N664" s="1"/>
      <c r="O664" s="4" t="s">
        <v>1499</v>
      </c>
      <c r="P664" s="3" t="s">
        <v>669</v>
      </c>
      <c r="Q664" s="5" t="s">
        <v>1528</v>
      </c>
      <c r="R664" s="10"/>
    </row>
    <row r="665">
      <c r="A665" s="11" t="s">
        <v>1533</v>
      </c>
      <c r="B665" s="8"/>
      <c r="C665" s="8"/>
      <c r="D665" s="9"/>
      <c r="E665" s="9"/>
      <c r="F665" s="12">
        <v>1.0</v>
      </c>
      <c r="G665" s="12">
        <v>1.0</v>
      </c>
      <c r="H665" s="12">
        <v>1.0</v>
      </c>
      <c r="I665" s="12">
        <v>1.0</v>
      </c>
      <c r="J665" s="12">
        <v>0.5</v>
      </c>
      <c r="K665" s="12">
        <v>1.0</v>
      </c>
      <c r="L665" s="9"/>
      <c r="M665" s="12">
        <v>1.0</v>
      </c>
      <c r="N665" s="12">
        <v>1.0</v>
      </c>
      <c r="O665" s="13">
        <v>1.0</v>
      </c>
      <c r="P665" s="12">
        <v>1.0</v>
      </c>
      <c r="Q665" s="5"/>
      <c r="R665" s="10">
        <f>sum(F665:K665,M665:P665)/(COUNTIF(B665:P665, 1) + (COUNTIF(B665:P665, 0)) + COUNTIF(B665:P665, 0.5))</f>
        <v>0.95</v>
      </c>
    </row>
    <row r="666">
      <c r="A666" s="7">
        <v>439.0</v>
      </c>
      <c r="B666" s="8">
        <v>2888.0</v>
      </c>
      <c r="C666" s="8">
        <v>392.0</v>
      </c>
      <c r="D666" s="9"/>
      <c r="E666" s="9"/>
      <c r="F666" s="1"/>
      <c r="G666" s="1"/>
      <c r="H666" s="3" t="s">
        <v>1534</v>
      </c>
      <c r="I666" s="3" t="s">
        <v>18</v>
      </c>
      <c r="J666" s="3" t="s">
        <v>1535</v>
      </c>
      <c r="K666" s="3" t="s">
        <v>1532</v>
      </c>
      <c r="L666" s="9"/>
      <c r="M666" s="3" t="s">
        <v>1498</v>
      </c>
      <c r="N666" s="1"/>
      <c r="O666" s="4" t="s">
        <v>1499</v>
      </c>
      <c r="P666" s="3" t="s">
        <v>669</v>
      </c>
      <c r="Q666" s="5" t="s">
        <v>1528</v>
      </c>
      <c r="R666" s="10"/>
    </row>
    <row r="667">
      <c r="A667" s="11" t="s">
        <v>1536</v>
      </c>
      <c r="B667" s="8"/>
      <c r="C667" s="8"/>
      <c r="D667" s="9"/>
      <c r="E667" s="9"/>
      <c r="F667" s="12">
        <v>1.0</v>
      </c>
      <c r="G667" s="12">
        <v>1.0</v>
      </c>
      <c r="H667" s="12">
        <v>1.0</v>
      </c>
      <c r="I667" s="12">
        <v>1.0</v>
      </c>
      <c r="J667" s="12">
        <v>0.5</v>
      </c>
      <c r="K667" s="12">
        <v>1.0</v>
      </c>
      <c r="L667" s="9"/>
      <c r="M667" s="12">
        <v>1.0</v>
      </c>
      <c r="N667" s="12">
        <v>1.0</v>
      </c>
      <c r="O667" s="13">
        <v>1.0</v>
      </c>
      <c r="P667" s="12">
        <v>1.0</v>
      </c>
      <c r="Q667" s="5"/>
      <c r="R667" s="10">
        <f>sum(F667:K667,M667:P667)/(COUNTIF(B667:P667, 1) + (COUNTIF(B667:P667, 0)) + COUNTIF(B667:P667, 0.5))</f>
        <v>0.95</v>
      </c>
    </row>
    <row r="668">
      <c r="A668" s="7">
        <v>440.0</v>
      </c>
      <c r="B668" s="8">
        <v>2888.0</v>
      </c>
      <c r="C668" s="8">
        <v>392.0</v>
      </c>
      <c r="D668" s="9"/>
      <c r="E668" s="9"/>
      <c r="F668" s="1"/>
      <c r="G668" s="1"/>
      <c r="H668" s="3" t="s">
        <v>1537</v>
      </c>
      <c r="I668" s="3" t="s">
        <v>18</v>
      </c>
      <c r="J668" s="3" t="s">
        <v>1538</v>
      </c>
      <c r="K668" s="3" t="s">
        <v>1532</v>
      </c>
      <c r="L668" s="9"/>
      <c r="M668" s="3" t="s">
        <v>1498</v>
      </c>
      <c r="N668" s="1"/>
      <c r="O668" s="4" t="s">
        <v>1499</v>
      </c>
      <c r="P668" s="3" t="s">
        <v>669</v>
      </c>
      <c r="Q668" s="5" t="s">
        <v>1539</v>
      </c>
      <c r="R668" s="10"/>
    </row>
    <row r="669">
      <c r="A669" s="11" t="s">
        <v>1540</v>
      </c>
      <c r="B669" s="8"/>
      <c r="C669" s="8"/>
      <c r="D669" s="9"/>
      <c r="E669" s="9"/>
      <c r="F669" s="12">
        <v>1.0</v>
      </c>
      <c r="G669" s="12">
        <v>1.0</v>
      </c>
      <c r="H669" s="12">
        <v>0.5</v>
      </c>
      <c r="I669" s="12">
        <v>1.0</v>
      </c>
      <c r="J669" s="12">
        <v>1.0</v>
      </c>
      <c r="K669" s="12">
        <v>1.0</v>
      </c>
      <c r="L669" s="9"/>
      <c r="M669" s="12">
        <v>1.0</v>
      </c>
      <c r="N669" s="12">
        <v>1.0</v>
      </c>
      <c r="O669" s="13">
        <v>1.0</v>
      </c>
      <c r="P669" s="12">
        <v>1.0</v>
      </c>
      <c r="Q669" s="5"/>
      <c r="R669" s="10">
        <f>sum(F669:K669,M669:P669)/(COUNTIF(B669:P669, 1) + (COUNTIF(B669:P669, 0)) + COUNTIF(B669:P669, 0.5))</f>
        <v>0.95</v>
      </c>
    </row>
    <row r="670">
      <c r="A670" s="7">
        <v>441.0</v>
      </c>
      <c r="B670" s="8">
        <v>2888.0</v>
      </c>
      <c r="C670" s="8">
        <v>392.0</v>
      </c>
      <c r="D670" s="9"/>
      <c r="E670" s="9"/>
      <c r="F670" s="1"/>
      <c r="G670" s="1"/>
      <c r="H670" s="3" t="s">
        <v>1541</v>
      </c>
      <c r="I670" s="3" t="s">
        <v>18</v>
      </c>
      <c r="J670" s="3" t="s">
        <v>1542</v>
      </c>
      <c r="K670" s="3" t="s">
        <v>1532</v>
      </c>
      <c r="L670" s="9"/>
      <c r="M670" s="3" t="s">
        <v>1498</v>
      </c>
      <c r="N670" s="1"/>
      <c r="O670" s="4" t="s">
        <v>1499</v>
      </c>
      <c r="P670" s="3" t="s">
        <v>669</v>
      </c>
      <c r="Q670" s="5" t="s">
        <v>1528</v>
      </c>
      <c r="R670" s="10"/>
    </row>
    <row r="671">
      <c r="A671" s="11" t="s">
        <v>1543</v>
      </c>
      <c r="B671" s="8"/>
      <c r="C671" s="8"/>
      <c r="D671" s="9"/>
      <c r="E671" s="9"/>
      <c r="F671" s="12">
        <v>1.0</v>
      </c>
      <c r="G671" s="12">
        <v>1.0</v>
      </c>
      <c r="H671" s="12">
        <v>0.5</v>
      </c>
      <c r="I671" s="12">
        <v>1.0</v>
      </c>
      <c r="J671" s="12">
        <v>1.0</v>
      </c>
      <c r="K671" s="12">
        <v>1.0</v>
      </c>
      <c r="L671" s="9"/>
      <c r="M671" s="12">
        <v>1.0</v>
      </c>
      <c r="N671" s="12">
        <v>1.0</v>
      </c>
      <c r="O671" s="13">
        <v>1.0</v>
      </c>
      <c r="P671" s="12">
        <v>1.0</v>
      </c>
      <c r="Q671" s="5"/>
      <c r="R671" s="10">
        <f>sum(F671:K671,M671:P671)/(COUNTIF(B671:P671, 1) + (COUNTIF(B671:P671, 0)) + COUNTIF(B671:P671, 0.5))</f>
        <v>0.95</v>
      </c>
    </row>
    <row r="672">
      <c r="A672" s="7">
        <v>442.0</v>
      </c>
      <c r="B672" s="8">
        <v>2888.0</v>
      </c>
      <c r="C672" s="8">
        <v>392.0</v>
      </c>
      <c r="D672" s="9"/>
      <c r="E672" s="9"/>
      <c r="F672" s="1"/>
      <c r="G672" s="1"/>
      <c r="H672" s="3" t="s">
        <v>1544</v>
      </c>
      <c r="I672" s="3" t="s">
        <v>18</v>
      </c>
      <c r="J672" s="3" t="s">
        <v>1545</v>
      </c>
      <c r="K672" s="3" t="s">
        <v>1532</v>
      </c>
      <c r="L672" s="9"/>
      <c r="M672" s="3" t="s">
        <v>1498</v>
      </c>
      <c r="N672" s="1"/>
      <c r="O672" s="4" t="s">
        <v>1499</v>
      </c>
      <c r="P672" s="3" t="s">
        <v>669</v>
      </c>
      <c r="Q672" s="5" t="s">
        <v>1528</v>
      </c>
      <c r="R672" s="10"/>
    </row>
    <row r="673">
      <c r="A673" s="11" t="s">
        <v>1546</v>
      </c>
      <c r="B673" s="8"/>
      <c r="C673" s="8"/>
      <c r="D673" s="9"/>
      <c r="E673" s="9"/>
      <c r="F673" s="12">
        <v>1.0</v>
      </c>
      <c r="G673" s="12">
        <v>1.0</v>
      </c>
      <c r="H673" s="12">
        <v>0.5</v>
      </c>
      <c r="I673" s="12">
        <v>1.0</v>
      </c>
      <c r="J673" s="12">
        <v>0.5</v>
      </c>
      <c r="K673" s="12">
        <v>1.0</v>
      </c>
      <c r="L673" s="9"/>
      <c r="M673" s="12">
        <v>1.0</v>
      </c>
      <c r="N673" s="12">
        <v>1.0</v>
      </c>
      <c r="O673" s="13">
        <v>1.0</v>
      </c>
      <c r="P673" s="12">
        <v>1.0</v>
      </c>
      <c r="Q673" s="5"/>
      <c r="R673" s="10">
        <f>sum(F673:K673,M673:P673)/(COUNTIF(B673:P673, 1) + (COUNTIF(B673:P673, 0)) + COUNTIF(B673:P673, 0.5))</f>
        <v>0.9</v>
      </c>
    </row>
    <row r="674">
      <c r="A674" s="7">
        <v>443.0</v>
      </c>
      <c r="B674" s="8">
        <v>2888.0</v>
      </c>
      <c r="C674" s="8">
        <v>392.0</v>
      </c>
      <c r="D674" s="9"/>
      <c r="E674" s="9"/>
      <c r="F674" s="1"/>
      <c r="G674" s="1"/>
      <c r="H674" s="3" t="s">
        <v>1547</v>
      </c>
      <c r="I674" s="3" t="s">
        <v>18</v>
      </c>
      <c r="J674" s="3" t="s">
        <v>1531</v>
      </c>
      <c r="K674" s="3" t="s">
        <v>1532</v>
      </c>
      <c r="L674" s="9"/>
      <c r="M674" s="3" t="s">
        <v>1498</v>
      </c>
      <c r="N674" s="1"/>
      <c r="O674" s="4" t="s">
        <v>1499</v>
      </c>
      <c r="P674" s="3" t="s">
        <v>669</v>
      </c>
      <c r="Q674" s="5" t="s">
        <v>1528</v>
      </c>
      <c r="R674" s="10"/>
    </row>
    <row r="675">
      <c r="A675" s="11" t="s">
        <v>1548</v>
      </c>
      <c r="B675" s="8"/>
      <c r="C675" s="8"/>
      <c r="D675" s="9"/>
      <c r="E675" s="9"/>
      <c r="F675" s="12">
        <v>1.0</v>
      </c>
      <c r="G675" s="12">
        <v>1.0</v>
      </c>
      <c r="H675" s="12">
        <v>0.5</v>
      </c>
      <c r="I675" s="12">
        <v>1.0</v>
      </c>
      <c r="J675" s="12">
        <v>0.5</v>
      </c>
      <c r="K675" s="12">
        <v>1.0</v>
      </c>
      <c r="L675" s="9"/>
      <c r="M675" s="12">
        <v>1.0</v>
      </c>
      <c r="N675" s="12">
        <v>1.0</v>
      </c>
      <c r="O675" s="13">
        <v>1.0</v>
      </c>
      <c r="P675" s="12">
        <v>1.0</v>
      </c>
      <c r="Q675" s="5"/>
      <c r="R675" s="10">
        <f>sum(F675:K675,M675:P675)/(COUNTIF(B675:P675, 1) + (COUNTIF(B675:P675, 0)) + COUNTIF(B675:P675, 0.5))</f>
        <v>0.9</v>
      </c>
    </row>
    <row r="676">
      <c r="A676" s="7">
        <v>444.0</v>
      </c>
      <c r="B676" s="8">
        <v>2888.0</v>
      </c>
      <c r="C676" s="8">
        <v>392.0</v>
      </c>
      <c r="D676" s="9"/>
      <c r="E676" s="9"/>
      <c r="F676" s="1"/>
      <c r="G676" s="1"/>
      <c r="H676" s="3" t="s">
        <v>1549</v>
      </c>
      <c r="I676" s="3" t="s">
        <v>18</v>
      </c>
      <c r="J676" s="3" t="s">
        <v>1550</v>
      </c>
      <c r="K676" s="3" t="s">
        <v>1532</v>
      </c>
      <c r="L676" s="9"/>
      <c r="M676" s="3" t="s">
        <v>1498</v>
      </c>
      <c r="N676" s="1"/>
      <c r="O676" s="4" t="s">
        <v>1499</v>
      </c>
      <c r="P676" s="3" t="s">
        <v>669</v>
      </c>
      <c r="Q676" s="5" t="s">
        <v>1528</v>
      </c>
      <c r="R676" s="10"/>
    </row>
    <row r="677">
      <c r="A677" s="11" t="s">
        <v>1551</v>
      </c>
      <c r="B677" s="8"/>
      <c r="C677" s="8"/>
      <c r="D677" s="9"/>
      <c r="E677" s="9"/>
      <c r="F677" s="12">
        <v>1.0</v>
      </c>
      <c r="G677" s="12">
        <v>1.0</v>
      </c>
      <c r="H677" s="12">
        <v>1.0</v>
      </c>
      <c r="I677" s="12">
        <v>1.0</v>
      </c>
      <c r="J677" s="12">
        <v>0.5</v>
      </c>
      <c r="K677" s="12">
        <v>1.0</v>
      </c>
      <c r="L677" s="9"/>
      <c r="M677" s="12">
        <v>1.0</v>
      </c>
      <c r="N677" s="12">
        <v>1.0</v>
      </c>
      <c r="O677" s="13">
        <v>1.0</v>
      </c>
      <c r="P677" s="12">
        <v>1.0</v>
      </c>
      <c r="Q677" s="5"/>
      <c r="R677" s="10">
        <f>sum(F677:K677,M677:P677)/(COUNTIF(B677:P677, 1) + (COUNTIF(B677:P677, 0)) + COUNTIF(B677:P677, 0.5))</f>
        <v>0.95</v>
      </c>
    </row>
    <row r="678">
      <c r="A678" s="7">
        <v>286.0</v>
      </c>
      <c r="B678" s="8">
        <v>2888.0</v>
      </c>
      <c r="C678" s="8">
        <v>393.0</v>
      </c>
      <c r="D678" s="9"/>
      <c r="E678" s="9"/>
      <c r="F678" s="1"/>
      <c r="G678" s="1"/>
      <c r="H678" s="3" t="s">
        <v>1552</v>
      </c>
      <c r="I678" s="3" t="s">
        <v>18</v>
      </c>
      <c r="J678" s="3" t="s">
        <v>1553</v>
      </c>
      <c r="K678" s="3" t="s">
        <v>1554</v>
      </c>
      <c r="L678" s="9"/>
      <c r="M678" s="1"/>
      <c r="N678" s="1"/>
      <c r="O678" s="22"/>
      <c r="P678" s="3" t="s">
        <v>669</v>
      </c>
      <c r="Q678" s="5" t="s">
        <v>1555</v>
      </c>
      <c r="R678" s="10"/>
    </row>
    <row r="679">
      <c r="A679" s="29" t="s">
        <v>1556</v>
      </c>
      <c r="B679" s="8"/>
      <c r="C679" s="8"/>
      <c r="D679" s="9"/>
      <c r="E679" s="9"/>
      <c r="F679" s="12">
        <v>1.0</v>
      </c>
      <c r="G679" s="12">
        <v>1.0</v>
      </c>
      <c r="H679" s="12">
        <v>0.5</v>
      </c>
      <c r="I679" s="12">
        <v>1.0</v>
      </c>
      <c r="J679" s="12">
        <v>1.0</v>
      </c>
      <c r="K679" s="12">
        <v>0.0</v>
      </c>
      <c r="L679" s="9"/>
      <c r="M679" s="12">
        <v>1.0</v>
      </c>
      <c r="N679" s="12">
        <v>1.0</v>
      </c>
      <c r="O679" s="12">
        <v>1.0</v>
      </c>
      <c r="P679" s="12">
        <v>1.0</v>
      </c>
      <c r="Q679" s="5"/>
      <c r="R679" s="10">
        <f>sum(F679:K679,M679:P679)/(COUNTIF(B679:P679, 1) + (COUNTIF(B679:P679, 0)) + COUNTIF(B679:P679, 0.5))</f>
        <v>0.85</v>
      </c>
    </row>
    <row r="680">
      <c r="A680" s="7">
        <v>287.0</v>
      </c>
      <c r="B680" s="8">
        <v>2888.0</v>
      </c>
      <c r="C680" s="8">
        <v>393.0</v>
      </c>
      <c r="D680" s="9"/>
      <c r="E680" s="9"/>
      <c r="F680" s="1"/>
      <c r="G680" s="1"/>
      <c r="H680" s="3" t="s">
        <v>1557</v>
      </c>
      <c r="I680" s="3" t="s">
        <v>18</v>
      </c>
      <c r="J680" s="3" t="s">
        <v>1558</v>
      </c>
      <c r="K680" s="1"/>
      <c r="L680" s="9"/>
      <c r="M680" s="1"/>
      <c r="N680" s="1"/>
      <c r="O680" s="1"/>
      <c r="P680" s="3" t="s">
        <v>669</v>
      </c>
      <c r="Q680" s="5" t="s">
        <v>1559</v>
      </c>
      <c r="R680" s="10"/>
    </row>
    <row r="681">
      <c r="A681" s="11" t="s">
        <v>1560</v>
      </c>
      <c r="B681" s="8"/>
      <c r="C681" s="8"/>
      <c r="D681" s="9"/>
      <c r="E681" s="9"/>
      <c r="F681" s="12">
        <v>1.0</v>
      </c>
      <c r="G681" s="12">
        <v>1.0</v>
      </c>
      <c r="H681" s="12">
        <v>1.0</v>
      </c>
      <c r="I681" s="12">
        <v>1.0</v>
      </c>
      <c r="J681" s="12">
        <v>1.0</v>
      </c>
      <c r="K681" s="12">
        <v>0.0</v>
      </c>
      <c r="L681" s="9"/>
      <c r="M681" s="12">
        <v>1.0</v>
      </c>
      <c r="N681" s="12">
        <v>1.0</v>
      </c>
      <c r="O681" s="12">
        <v>1.0</v>
      </c>
      <c r="P681" s="12">
        <v>1.0</v>
      </c>
      <c r="Q681" s="5"/>
      <c r="R681" s="10">
        <f>sum(F681:K681,M681:P681)/(COUNTIF(B681:P681, 1) + (COUNTIF(B681:P681, 0)) + COUNTIF(B681:P681, 0.5))</f>
        <v>0.9</v>
      </c>
    </row>
    <row r="682">
      <c r="A682" s="7">
        <v>288.0</v>
      </c>
      <c r="B682" s="8">
        <v>2888.0</v>
      </c>
      <c r="C682" s="8">
        <v>393.0</v>
      </c>
      <c r="D682" s="9"/>
      <c r="E682" s="9"/>
      <c r="F682" s="1"/>
      <c r="G682" s="1"/>
      <c r="H682" s="3" t="s">
        <v>1561</v>
      </c>
      <c r="I682" s="3" t="s">
        <v>18</v>
      </c>
      <c r="J682" s="3" t="s">
        <v>1531</v>
      </c>
      <c r="K682" s="1"/>
      <c r="L682" s="9"/>
      <c r="M682" s="1"/>
      <c r="N682" s="1"/>
      <c r="O682" s="1"/>
      <c r="P682" s="3" t="s">
        <v>669</v>
      </c>
      <c r="Q682" s="5" t="s">
        <v>1562</v>
      </c>
      <c r="R682" s="10"/>
    </row>
    <row r="683">
      <c r="A683" s="11" t="s">
        <v>1563</v>
      </c>
      <c r="B683" s="8"/>
      <c r="C683" s="8"/>
      <c r="D683" s="9"/>
      <c r="E683" s="9"/>
      <c r="F683" s="12">
        <v>1.0</v>
      </c>
      <c r="G683" s="12">
        <v>1.0</v>
      </c>
      <c r="H683" s="12">
        <v>0.0</v>
      </c>
      <c r="I683" s="12">
        <v>1.0</v>
      </c>
      <c r="J683" s="12">
        <v>1.0</v>
      </c>
      <c r="K683" s="12">
        <v>0.0</v>
      </c>
      <c r="L683" s="9"/>
      <c r="M683" s="12">
        <v>1.0</v>
      </c>
      <c r="N683" s="12">
        <v>1.0</v>
      </c>
      <c r="O683" s="12">
        <v>1.0</v>
      </c>
      <c r="P683" s="12">
        <v>1.0</v>
      </c>
      <c r="Q683" s="5"/>
      <c r="R683" s="10">
        <f>sum(F683:K683,M683:P683)/(COUNTIF(B683:P683, 1) + (COUNTIF(B683:P683, 0)) + COUNTIF(B683:P683, 0.5))</f>
        <v>0.8</v>
      </c>
    </row>
    <row r="684">
      <c r="A684" s="7">
        <v>289.0</v>
      </c>
      <c r="B684" s="8">
        <v>2888.0</v>
      </c>
      <c r="C684" s="8">
        <v>393.0</v>
      </c>
      <c r="D684" s="9"/>
      <c r="E684" s="9"/>
      <c r="F684" s="1"/>
      <c r="G684" s="1"/>
      <c r="H684" s="3" t="s">
        <v>1564</v>
      </c>
      <c r="I684" s="3" t="s">
        <v>18</v>
      </c>
      <c r="J684" s="3" t="s">
        <v>1565</v>
      </c>
      <c r="K684" s="1"/>
      <c r="L684" s="9"/>
      <c r="M684" s="1"/>
      <c r="N684" s="1"/>
      <c r="O684" s="1"/>
      <c r="P684" s="3" t="s">
        <v>669</v>
      </c>
      <c r="Q684" s="5" t="s">
        <v>1566</v>
      </c>
      <c r="R684" s="10"/>
    </row>
    <row r="685">
      <c r="A685" s="11" t="s">
        <v>1567</v>
      </c>
      <c r="B685" s="8"/>
      <c r="C685" s="8"/>
      <c r="D685" s="9"/>
      <c r="E685" s="9"/>
      <c r="F685" s="12">
        <v>1.0</v>
      </c>
      <c r="G685" s="12">
        <v>1.0</v>
      </c>
      <c r="H685" s="12">
        <v>0.0</v>
      </c>
      <c r="I685" s="12">
        <v>1.0</v>
      </c>
      <c r="J685" s="12">
        <v>0.5</v>
      </c>
      <c r="K685" s="12">
        <v>0.0</v>
      </c>
      <c r="L685" s="9"/>
      <c r="M685" s="12">
        <v>1.0</v>
      </c>
      <c r="N685" s="12">
        <v>1.0</v>
      </c>
      <c r="O685" s="12">
        <v>1.0</v>
      </c>
      <c r="P685" s="12">
        <v>1.0</v>
      </c>
      <c r="Q685" s="5"/>
      <c r="R685" s="10">
        <f>sum(F685:K685,M685:P685)/(COUNTIF(B685:P685, 1) + (COUNTIF(B685:P685, 0)) + COUNTIF(B685:P685, 0.5))</f>
        <v>0.75</v>
      </c>
    </row>
    <row r="686">
      <c r="A686" s="7">
        <v>290.0</v>
      </c>
      <c r="B686" s="8">
        <v>2888.0</v>
      </c>
      <c r="C686" s="8">
        <v>393.0</v>
      </c>
      <c r="D686" s="9"/>
      <c r="E686" s="9"/>
      <c r="F686" s="1"/>
      <c r="G686" s="1"/>
      <c r="H686" s="3" t="s">
        <v>1568</v>
      </c>
      <c r="I686" s="3" t="s">
        <v>18</v>
      </c>
      <c r="J686" s="3" t="s">
        <v>1531</v>
      </c>
      <c r="K686" s="1"/>
      <c r="L686" s="9"/>
      <c r="M686" s="1"/>
      <c r="N686" s="1"/>
      <c r="O686" s="1"/>
      <c r="P686" s="3" t="s">
        <v>669</v>
      </c>
      <c r="Q686" s="5" t="s">
        <v>1562</v>
      </c>
      <c r="R686" s="10"/>
    </row>
    <row r="687">
      <c r="A687" s="11" t="s">
        <v>1569</v>
      </c>
      <c r="B687" s="8"/>
      <c r="C687" s="8"/>
      <c r="D687" s="9"/>
      <c r="E687" s="9"/>
      <c r="F687" s="12">
        <v>1.0</v>
      </c>
      <c r="G687" s="12">
        <v>1.0</v>
      </c>
      <c r="H687" s="12">
        <v>0.5</v>
      </c>
      <c r="I687" s="12">
        <v>1.0</v>
      </c>
      <c r="J687" s="12">
        <v>0.5</v>
      </c>
      <c r="K687" s="12">
        <v>0.0</v>
      </c>
      <c r="L687" s="9"/>
      <c r="M687" s="12">
        <v>1.0</v>
      </c>
      <c r="N687" s="12">
        <v>1.0</v>
      </c>
      <c r="O687" s="12">
        <v>1.0</v>
      </c>
      <c r="P687" s="12">
        <v>1.0</v>
      </c>
      <c r="Q687" s="5"/>
      <c r="R687" s="10">
        <f>sum(F687:K687,M687:P687)/(COUNTIF(B687:P687, 1) + (COUNTIF(B687:P687, 0)) + COUNTIF(B687:P687, 0.5))</f>
        <v>0.8</v>
      </c>
    </row>
    <row r="688">
      <c r="A688" s="7">
        <v>291.0</v>
      </c>
      <c r="B688" s="8">
        <v>2888.0</v>
      </c>
      <c r="C688" s="8">
        <v>393.0</v>
      </c>
      <c r="D688" s="9"/>
      <c r="E688" s="9"/>
      <c r="F688" s="1"/>
      <c r="G688" s="1"/>
      <c r="H688" s="3" t="s">
        <v>1561</v>
      </c>
      <c r="I688" s="3" t="s">
        <v>18</v>
      </c>
      <c r="J688" s="3" t="s">
        <v>1570</v>
      </c>
      <c r="K688" s="1"/>
      <c r="L688" s="9"/>
      <c r="M688" s="1"/>
      <c r="N688" s="1"/>
      <c r="O688" s="1"/>
      <c r="P688" s="3" t="s">
        <v>669</v>
      </c>
      <c r="Q688" s="5" t="s">
        <v>1571</v>
      </c>
      <c r="R688" s="10"/>
    </row>
    <row r="689">
      <c r="A689" s="11" t="s">
        <v>1572</v>
      </c>
      <c r="B689" s="8"/>
      <c r="C689" s="8"/>
      <c r="D689" s="9"/>
      <c r="E689" s="9"/>
      <c r="F689" s="12">
        <v>1.0</v>
      </c>
      <c r="G689" s="12">
        <v>1.0</v>
      </c>
      <c r="H689" s="12">
        <v>0.0</v>
      </c>
      <c r="I689" s="12">
        <v>1.0</v>
      </c>
      <c r="J689" s="12">
        <v>1.0</v>
      </c>
      <c r="K689" s="12">
        <v>0.0</v>
      </c>
      <c r="L689" s="9"/>
      <c r="M689" s="12">
        <v>1.0</v>
      </c>
      <c r="N689" s="12">
        <v>1.0</v>
      </c>
      <c r="O689" s="12">
        <v>1.0</v>
      </c>
      <c r="P689" s="12">
        <v>1.0</v>
      </c>
      <c r="Q689" s="5"/>
      <c r="R689" s="10">
        <f>sum(F689:K689,M689:P689)/(COUNTIF(B689:P689, 1) + (COUNTIF(B689:P689, 0)) + COUNTIF(B689:P689, 0.5))</f>
        <v>0.8</v>
      </c>
    </row>
    <row r="690">
      <c r="A690" s="7">
        <v>292.0</v>
      </c>
      <c r="B690" s="8">
        <v>2888.0</v>
      </c>
      <c r="C690" s="8">
        <v>393.0</v>
      </c>
      <c r="D690" s="9"/>
      <c r="E690" s="9"/>
      <c r="F690" s="1"/>
      <c r="G690" s="1"/>
      <c r="H690" s="3" t="s">
        <v>1573</v>
      </c>
      <c r="I690" s="3" t="s">
        <v>18</v>
      </c>
      <c r="J690" s="3" t="s">
        <v>1574</v>
      </c>
      <c r="K690" s="1"/>
      <c r="L690" s="9"/>
      <c r="M690" s="1"/>
      <c r="N690" s="1"/>
      <c r="O690" s="1"/>
      <c r="P690" s="3" t="s">
        <v>669</v>
      </c>
      <c r="Q690" s="5" t="s">
        <v>1575</v>
      </c>
      <c r="R690" s="10"/>
    </row>
    <row r="691">
      <c r="A691" s="11" t="s">
        <v>1576</v>
      </c>
      <c r="B691" s="8"/>
      <c r="C691" s="8"/>
      <c r="D691" s="9"/>
      <c r="E691" s="9"/>
      <c r="F691" s="12">
        <v>1.0</v>
      </c>
      <c r="G691" s="12">
        <v>1.0</v>
      </c>
      <c r="H691" s="12">
        <v>0.0</v>
      </c>
      <c r="I691" s="12">
        <v>1.0</v>
      </c>
      <c r="J691" s="12">
        <v>0.0</v>
      </c>
      <c r="K691" s="12">
        <v>0.0</v>
      </c>
      <c r="L691" s="9"/>
      <c r="M691" s="12">
        <v>1.0</v>
      </c>
      <c r="N691" s="12">
        <v>1.0</v>
      </c>
      <c r="O691" s="12">
        <v>1.0</v>
      </c>
      <c r="P691" s="12">
        <v>1.0</v>
      </c>
      <c r="Q691" s="5"/>
      <c r="R691" s="10">
        <f>sum(F691:K691,M691:P691)/(COUNTIF(B691:P691, 1) + (COUNTIF(B691:P691, 0)) + COUNTIF(B691:P691, 0.5))</f>
        <v>0.7</v>
      </c>
    </row>
    <row r="692">
      <c r="A692" s="7">
        <v>81.0</v>
      </c>
      <c r="B692" s="28">
        <v>2888.0</v>
      </c>
      <c r="C692" s="8">
        <v>394.0</v>
      </c>
      <c r="D692" s="8">
        <v>36.75</v>
      </c>
      <c r="E692" s="8">
        <v>-119.0</v>
      </c>
      <c r="F692" s="1"/>
      <c r="G692" s="1"/>
      <c r="H692" s="3" t="s">
        <v>1577</v>
      </c>
      <c r="I692" s="3" t="s">
        <v>18</v>
      </c>
      <c r="J692" s="3" t="s">
        <v>1578</v>
      </c>
      <c r="K692" s="1"/>
      <c r="L692" s="2" t="s">
        <v>1579</v>
      </c>
      <c r="M692" s="3" t="s">
        <v>1580</v>
      </c>
      <c r="N692" s="1"/>
      <c r="O692" s="22"/>
      <c r="P692" s="3" t="s">
        <v>669</v>
      </c>
      <c r="Q692" s="5" t="s">
        <v>1581</v>
      </c>
      <c r="R692" s="10"/>
    </row>
    <row r="693">
      <c r="A693" s="11" t="s">
        <v>1582</v>
      </c>
      <c r="B693" s="8"/>
      <c r="C693" s="8"/>
      <c r="D693" s="8"/>
      <c r="E693" s="8"/>
      <c r="F693" s="12">
        <v>1.0</v>
      </c>
      <c r="G693" s="12">
        <v>1.0</v>
      </c>
      <c r="H693" s="12">
        <v>1.0</v>
      </c>
      <c r="I693" s="12">
        <v>1.0</v>
      </c>
      <c r="J693" s="12">
        <v>1.0</v>
      </c>
      <c r="K693" s="12">
        <v>0.0</v>
      </c>
      <c r="L693" s="2"/>
      <c r="M693" s="12">
        <v>1.0</v>
      </c>
      <c r="N693" s="12">
        <v>1.0</v>
      </c>
      <c r="O693" s="13">
        <v>0.0</v>
      </c>
      <c r="P693" s="12">
        <v>1.0</v>
      </c>
      <c r="Q693" s="5"/>
      <c r="R693" s="10">
        <f>sum(F693:K693,M693:P693)/(COUNTIF(B693:P693, 1) + (COUNTIF(B693:P693, 0)) + COUNTIF(B693:P693, 0.5))</f>
        <v>0.8</v>
      </c>
    </row>
    <row r="694">
      <c r="A694" s="7">
        <v>82.0</v>
      </c>
      <c r="B694" s="8">
        <v>2888.0</v>
      </c>
      <c r="C694" s="8">
        <v>394.0</v>
      </c>
      <c r="D694" s="8">
        <v>37.75</v>
      </c>
      <c r="E694" s="8">
        <v>-122.25</v>
      </c>
      <c r="F694" s="1"/>
      <c r="G694" s="1"/>
      <c r="H694" s="3" t="s">
        <v>1583</v>
      </c>
      <c r="I694" s="3" t="s">
        <v>18</v>
      </c>
      <c r="J694" s="3" t="s">
        <v>1531</v>
      </c>
      <c r="K694" s="1"/>
      <c r="L694" s="2" t="s">
        <v>1584</v>
      </c>
      <c r="M694" s="3" t="s">
        <v>1580</v>
      </c>
      <c r="N694" s="1"/>
      <c r="O694" s="22"/>
      <c r="P694" s="3" t="s">
        <v>669</v>
      </c>
      <c r="Q694" s="5" t="s">
        <v>1585</v>
      </c>
      <c r="R694" s="10"/>
    </row>
    <row r="695">
      <c r="A695" s="11" t="s">
        <v>1586</v>
      </c>
      <c r="B695" s="8"/>
      <c r="C695" s="8"/>
      <c r="D695" s="8"/>
      <c r="E695" s="8"/>
      <c r="F695" s="12">
        <v>1.0</v>
      </c>
      <c r="G695" s="12">
        <v>1.0</v>
      </c>
      <c r="H695" s="12">
        <v>0.0</v>
      </c>
      <c r="I695" s="12">
        <v>1.0</v>
      </c>
      <c r="J695" s="12">
        <v>0.5</v>
      </c>
      <c r="K695" s="12">
        <v>0.0</v>
      </c>
      <c r="L695" s="2"/>
      <c r="M695" s="12">
        <v>1.0</v>
      </c>
      <c r="N695" s="12">
        <v>1.0</v>
      </c>
      <c r="O695" s="13">
        <v>0.0</v>
      </c>
      <c r="P695" s="12">
        <v>1.0</v>
      </c>
      <c r="Q695" s="5"/>
      <c r="R695" s="10">
        <f>sum(F695:K695,M695:P695)/(COUNTIF(B695:P695, 1) + (COUNTIF(B695:P695, 0)) + COUNTIF(B695:P695, 0.5))</f>
        <v>0.65</v>
      </c>
    </row>
    <row r="696">
      <c r="A696" s="7">
        <v>83.0</v>
      </c>
      <c r="B696" s="8">
        <v>2888.0</v>
      </c>
      <c r="C696" s="8">
        <v>394.0</v>
      </c>
      <c r="D696" s="8">
        <v>36.75</v>
      </c>
      <c r="E696" s="8">
        <v>-119.0</v>
      </c>
      <c r="F696" s="1"/>
      <c r="G696" s="1"/>
      <c r="H696" s="3" t="s">
        <v>1587</v>
      </c>
      <c r="I696" s="3" t="s">
        <v>18</v>
      </c>
      <c r="J696" s="3" t="s">
        <v>1558</v>
      </c>
      <c r="K696" s="1"/>
      <c r="L696" s="2" t="s">
        <v>1579</v>
      </c>
      <c r="M696" s="3" t="s">
        <v>1580</v>
      </c>
      <c r="N696" s="1"/>
      <c r="O696" s="22"/>
      <c r="P696" s="3" t="s">
        <v>669</v>
      </c>
      <c r="Q696" s="5" t="s">
        <v>1528</v>
      </c>
      <c r="R696" s="10"/>
    </row>
    <row r="697">
      <c r="A697" s="11" t="s">
        <v>1588</v>
      </c>
      <c r="B697" s="8"/>
      <c r="C697" s="8"/>
      <c r="D697" s="8"/>
      <c r="E697" s="8"/>
      <c r="F697" s="12">
        <v>1.0</v>
      </c>
      <c r="G697" s="12">
        <v>1.0</v>
      </c>
      <c r="H697" s="12">
        <v>1.0</v>
      </c>
      <c r="I697" s="12">
        <v>1.0</v>
      </c>
      <c r="J697" s="12">
        <v>1.0</v>
      </c>
      <c r="K697" s="12">
        <v>0.0</v>
      </c>
      <c r="L697" s="2"/>
      <c r="M697" s="12">
        <v>1.0</v>
      </c>
      <c r="N697" s="12">
        <v>1.0</v>
      </c>
      <c r="O697" s="13">
        <v>0.0</v>
      </c>
      <c r="P697" s="12">
        <v>1.0</v>
      </c>
      <c r="Q697" s="5"/>
      <c r="R697" s="10">
        <f>sum(F697:K697,M697:P697)/(COUNTIF(B697:P697, 1) + (COUNTIF(B697:P697, 0)) + COUNTIF(B697:P697, 0.5))</f>
        <v>0.8</v>
      </c>
    </row>
    <row r="698">
      <c r="A698" s="7">
        <v>84.0</v>
      </c>
      <c r="B698" s="8">
        <v>2888.0</v>
      </c>
      <c r="C698" s="8">
        <v>394.0</v>
      </c>
      <c r="D698" s="8">
        <v>36.75</v>
      </c>
      <c r="E698" s="8">
        <v>-119.0</v>
      </c>
      <c r="F698" s="1"/>
      <c r="G698" s="1"/>
      <c r="H698" s="1"/>
      <c r="I698" s="3" t="s">
        <v>18</v>
      </c>
      <c r="J698" s="3" t="s">
        <v>1589</v>
      </c>
      <c r="K698" s="1"/>
      <c r="L698" s="2" t="s">
        <v>1579</v>
      </c>
      <c r="M698" s="3" t="s">
        <v>1580</v>
      </c>
      <c r="N698" s="1"/>
      <c r="O698" s="22"/>
      <c r="P698" s="3" t="s">
        <v>669</v>
      </c>
      <c r="Q698" s="5" t="s">
        <v>1528</v>
      </c>
      <c r="R698" s="10"/>
    </row>
    <row r="699">
      <c r="A699" s="11" t="s">
        <v>1590</v>
      </c>
      <c r="B699" s="8"/>
      <c r="C699" s="8"/>
      <c r="D699" s="8"/>
      <c r="E699" s="8"/>
      <c r="F699" s="12">
        <v>1.0</v>
      </c>
      <c r="G699" s="12">
        <v>1.0</v>
      </c>
      <c r="H699" s="12">
        <v>0.0</v>
      </c>
      <c r="I699" s="12">
        <v>1.0</v>
      </c>
      <c r="J699" s="12">
        <v>0.5</v>
      </c>
      <c r="K699" s="12">
        <v>0.0</v>
      </c>
      <c r="L699" s="2"/>
      <c r="M699" s="12">
        <v>1.0</v>
      </c>
      <c r="N699" s="12">
        <v>1.0</v>
      </c>
      <c r="O699" s="13">
        <v>0.0</v>
      </c>
      <c r="P699" s="12">
        <v>1.0</v>
      </c>
      <c r="Q699" s="5"/>
      <c r="R699" s="10">
        <f>sum(F699:K699,M699:P699)/(COUNTIF(B699:P699, 1) + (COUNTIF(B699:P699, 0)) + COUNTIF(B699:P699, 0.5))</f>
        <v>0.65</v>
      </c>
    </row>
    <row r="700">
      <c r="A700" s="7">
        <v>85.0</v>
      </c>
      <c r="B700" s="8">
        <v>2888.0</v>
      </c>
      <c r="C700" s="8">
        <v>394.0</v>
      </c>
      <c r="D700" s="8">
        <v>39.75</v>
      </c>
      <c r="E700" s="8">
        <v>-122.5</v>
      </c>
      <c r="F700" s="1"/>
      <c r="G700" s="1"/>
      <c r="H700" s="1"/>
      <c r="I700" s="3" t="s">
        <v>18</v>
      </c>
      <c r="J700" s="3" t="s">
        <v>1591</v>
      </c>
      <c r="K700" s="1"/>
      <c r="L700" s="2" t="s">
        <v>1592</v>
      </c>
      <c r="M700" s="3" t="s">
        <v>1580</v>
      </c>
      <c r="N700" s="1"/>
      <c r="O700" s="22"/>
      <c r="P700" s="3" t="s">
        <v>669</v>
      </c>
      <c r="Q700" s="5" t="s">
        <v>18</v>
      </c>
      <c r="R700" s="10"/>
    </row>
    <row r="701">
      <c r="A701" s="11" t="s">
        <v>1593</v>
      </c>
      <c r="B701" s="8"/>
      <c r="C701" s="8"/>
      <c r="D701" s="8"/>
      <c r="E701" s="8"/>
      <c r="F701" s="12">
        <v>1.0</v>
      </c>
      <c r="G701" s="12">
        <v>1.0</v>
      </c>
      <c r="H701" s="12">
        <v>0.0</v>
      </c>
      <c r="I701" s="12">
        <v>1.0</v>
      </c>
      <c r="J701" s="12">
        <v>1.0</v>
      </c>
      <c r="K701" s="12">
        <v>0.0</v>
      </c>
      <c r="L701" s="2"/>
      <c r="M701" s="12">
        <v>1.0</v>
      </c>
      <c r="N701" s="12">
        <v>1.0</v>
      </c>
      <c r="O701" s="13">
        <v>0.0</v>
      </c>
      <c r="P701" s="12">
        <v>1.0</v>
      </c>
      <c r="Q701" s="5"/>
      <c r="R701" s="10">
        <f>sum(F701:K701,M701:P701)/(COUNTIF(B701:P701, 1) + (COUNTIF(B701:P701, 0)) + COUNTIF(B701:P701, 0.5))</f>
        <v>0.7</v>
      </c>
    </row>
    <row r="702">
      <c r="A702" s="7">
        <v>86.0</v>
      </c>
      <c r="B702" s="8">
        <v>2888.0</v>
      </c>
      <c r="C702" s="8">
        <v>394.0</v>
      </c>
      <c r="D702" s="8">
        <v>40.75</v>
      </c>
      <c r="E702" s="8">
        <v>-124.1</v>
      </c>
      <c r="F702" s="1"/>
      <c r="G702" s="1"/>
      <c r="H702" s="1"/>
      <c r="I702" s="3" t="s">
        <v>18</v>
      </c>
      <c r="J702" s="3" t="s">
        <v>1594</v>
      </c>
      <c r="K702" s="1"/>
      <c r="L702" s="2" t="s">
        <v>1595</v>
      </c>
      <c r="M702" s="3" t="s">
        <v>1580</v>
      </c>
      <c r="N702" s="1"/>
      <c r="O702" s="22"/>
      <c r="P702" s="3" t="s">
        <v>669</v>
      </c>
      <c r="Q702" s="5" t="s">
        <v>1596</v>
      </c>
      <c r="R702" s="10"/>
    </row>
    <row r="703">
      <c r="A703" s="11" t="s">
        <v>1597</v>
      </c>
      <c r="B703" s="8"/>
      <c r="C703" s="8"/>
      <c r="D703" s="8"/>
      <c r="E703" s="8"/>
      <c r="F703" s="12">
        <v>1.0</v>
      </c>
      <c r="G703" s="12">
        <v>1.0</v>
      </c>
      <c r="H703" s="12">
        <v>0.0</v>
      </c>
      <c r="I703" s="12">
        <v>1.0</v>
      </c>
      <c r="J703" s="12">
        <v>0.5</v>
      </c>
      <c r="K703" s="12">
        <v>0.0</v>
      </c>
      <c r="L703" s="2"/>
      <c r="M703" s="12">
        <v>1.0</v>
      </c>
      <c r="N703" s="12">
        <v>1.0</v>
      </c>
      <c r="O703" s="13">
        <v>0.0</v>
      </c>
      <c r="P703" s="12">
        <v>1.0</v>
      </c>
      <c r="Q703" s="5"/>
      <c r="R703" s="10">
        <f>sum(F703:K703,M703:P703)/(COUNTIF(B703:P703, 1) + (COUNTIF(B703:P703, 0)) + COUNTIF(B703:P703, 0.5))</f>
        <v>0.65</v>
      </c>
    </row>
    <row r="704">
      <c r="A704" s="7">
        <v>87.0</v>
      </c>
      <c r="B704" s="8">
        <v>2888.0</v>
      </c>
      <c r="C704" s="8">
        <v>394.0</v>
      </c>
      <c r="D704" s="8">
        <v>40.75</v>
      </c>
      <c r="E704" s="8">
        <v>-124.1</v>
      </c>
      <c r="F704" s="1"/>
      <c r="G704" s="1"/>
      <c r="H704" s="1"/>
      <c r="I704" s="3" t="s">
        <v>18</v>
      </c>
      <c r="J704" s="3" t="s">
        <v>1598</v>
      </c>
      <c r="K704" s="1"/>
      <c r="L704" s="2" t="s">
        <v>1595</v>
      </c>
      <c r="M704" s="3" t="s">
        <v>1580</v>
      </c>
      <c r="N704" s="1"/>
      <c r="O704" s="22"/>
      <c r="P704" s="3" t="s">
        <v>669</v>
      </c>
      <c r="Q704" s="5" t="s">
        <v>1581</v>
      </c>
      <c r="R704" s="10"/>
    </row>
    <row r="705">
      <c r="A705" s="11" t="s">
        <v>1599</v>
      </c>
      <c r="B705" s="8"/>
      <c r="C705" s="8"/>
      <c r="D705" s="8"/>
      <c r="E705" s="8"/>
      <c r="F705" s="12">
        <v>1.0</v>
      </c>
      <c r="G705" s="12">
        <v>1.0</v>
      </c>
      <c r="H705" s="12">
        <v>0.0</v>
      </c>
      <c r="I705" s="12">
        <v>1.0</v>
      </c>
      <c r="J705" s="12">
        <v>0.5</v>
      </c>
      <c r="K705" s="12">
        <v>0.0</v>
      </c>
      <c r="L705" s="2"/>
      <c r="M705" s="12">
        <v>1.0</v>
      </c>
      <c r="N705" s="12">
        <v>1.0</v>
      </c>
      <c r="O705" s="13">
        <v>0.0</v>
      </c>
      <c r="P705" s="12">
        <v>1.0</v>
      </c>
      <c r="Q705" s="5"/>
      <c r="R705" s="10">
        <f>sum(F705:K705,M705:P705)/(COUNTIF(B705:P705, 1) + (COUNTIF(B705:P705, 0)) + COUNTIF(B705:P705, 0.5))</f>
        <v>0.65</v>
      </c>
    </row>
    <row r="706">
      <c r="A706" s="7">
        <v>88.0</v>
      </c>
      <c r="B706" s="8">
        <v>2888.0</v>
      </c>
      <c r="C706" s="8">
        <v>394.0</v>
      </c>
      <c r="D706" s="8">
        <v>40.75</v>
      </c>
      <c r="E706" s="8">
        <v>-124.1</v>
      </c>
      <c r="F706" s="1"/>
      <c r="G706" s="1"/>
      <c r="H706" s="1"/>
      <c r="I706" s="3" t="s">
        <v>18</v>
      </c>
      <c r="J706" s="3" t="s">
        <v>1600</v>
      </c>
      <c r="K706" s="1"/>
      <c r="L706" s="2" t="s">
        <v>1595</v>
      </c>
      <c r="M706" s="3" t="s">
        <v>1580</v>
      </c>
      <c r="N706" s="1"/>
      <c r="O706" s="22"/>
      <c r="P706" s="3" t="s">
        <v>669</v>
      </c>
      <c r="Q706" s="5" t="s">
        <v>1601</v>
      </c>
      <c r="R706" s="10"/>
    </row>
    <row r="707">
      <c r="A707" s="11" t="s">
        <v>1602</v>
      </c>
      <c r="B707" s="8"/>
      <c r="C707" s="8"/>
      <c r="D707" s="8"/>
      <c r="E707" s="8"/>
      <c r="F707" s="12">
        <v>1.0</v>
      </c>
      <c r="G707" s="12">
        <v>1.0</v>
      </c>
      <c r="H707" s="12">
        <v>0.0</v>
      </c>
      <c r="I707" s="12">
        <v>1.0</v>
      </c>
      <c r="J707" s="12">
        <v>0.5</v>
      </c>
      <c r="K707" s="12">
        <v>0.0</v>
      </c>
      <c r="L707" s="2"/>
      <c r="M707" s="12">
        <v>1.0</v>
      </c>
      <c r="N707" s="12">
        <v>1.0</v>
      </c>
      <c r="O707" s="13">
        <v>0.0</v>
      </c>
      <c r="P707" s="12">
        <v>1.0</v>
      </c>
      <c r="Q707" s="5"/>
      <c r="R707" s="10">
        <f>sum(F707:K707,M707:P707)/(COUNTIF(B707:P707, 1) + (COUNTIF(B707:P707, 0)) + COUNTIF(B707:P707, 0.5))</f>
        <v>0.65</v>
      </c>
    </row>
    <row r="708">
      <c r="A708" s="7">
        <v>89.0</v>
      </c>
      <c r="B708" s="8">
        <v>2888.0</v>
      </c>
      <c r="C708" s="8">
        <v>394.0</v>
      </c>
      <c r="D708" s="8">
        <v>40.75</v>
      </c>
      <c r="E708" s="8">
        <v>-124.1</v>
      </c>
      <c r="F708" s="1"/>
      <c r="G708" s="1"/>
      <c r="H708" s="1"/>
      <c r="I708" s="3" t="s">
        <v>18</v>
      </c>
      <c r="J708" s="3" t="s">
        <v>1574</v>
      </c>
      <c r="K708" s="1"/>
      <c r="L708" s="2" t="s">
        <v>1595</v>
      </c>
      <c r="M708" s="3" t="s">
        <v>1580</v>
      </c>
      <c r="N708" s="1"/>
      <c r="O708" s="22"/>
      <c r="P708" s="3" t="s">
        <v>669</v>
      </c>
      <c r="Q708" s="5" t="s">
        <v>18</v>
      </c>
      <c r="R708" s="10"/>
    </row>
    <row r="709">
      <c r="A709" s="11" t="s">
        <v>1603</v>
      </c>
      <c r="B709" s="8"/>
      <c r="C709" s="8"/>
      <c r="D709" s="8"/>
      <c r="E709" s="8"/>
      <c r="F709" s="12">
        <v>1.0</v>
      </c>
      <c r="G709" s="12">
        <v>1.0</v>
      </c>
      <c r="H709" s="12">
        <v>0.0</v>
      </c>
      <c r="I709" s="12">
        <v>1.0</v>
      </c>
      <c r="J709" s="12">
        <v>1.0</v>
      </c>
      <c r="K709" s="12">
        <v>0.0</v>
      </c>
      <c r="L709" s="2"/>
      <c r="M709" s="12">
        <v>1.0</v>
      </c>
      <c r="N709" s="12">
        <v>1.0</v>
      </c>
      <c r="O709" s="13">
        <v>0.0</v>
      </c>
      <c r="P709" s="12">
        <v>1.0</v>
      </c>
      <c r="Q709" s="5"/>
      <c r="R709" s="10">
        <f>sum(F709:K709,M709:P709)/(COUNTIF(B709:P709, 1) + (COUNTIF(B709:P709, 0)) + COUNTIF(B709:P709, 0.5))</f>
        <v>0.7</v>
      </c>
    </row>
    <row r="710">
      <c r="A710" s="7">
        <v>90.0</v>
      </c>
      <c r="B710" s="8">
        <v>2888.0</v>
      </c>
      <c r="C710" s="8">
        <v>394.0</v>
      </c>
      <c r="D710" s="8">
        <v>33.1</v>
      </c>
      <c r="E710" s="8">
        <v>-115.5</v>
      </c>
      <c r="F710" s="1"/>
      <c r="G710" s="1"/>
      <c r="H710" s="1"/>
      <c r="I710" s="3" t="s">
        <v>18</v>
      </c>
      <c r="J710" s="3" t="s">
        <v>1604</v>
      </c>
      <c r="K710" s="1"/>
      <c r="L710" s="2" t="s">
        <v>1605</v>
      </c>
      <c r="M710" s="3" t="s">
        <v>1580</v>
      </c>
      <c r="N710" s="1"/>
      <c r="O710" s="22"/>
      <c r="P710" s="3" t="s">
        <v>669</v>
      </c>
      <c r="Q710" s="5" t="s">
        <v>1606</v>
      </c>
      <c r="R710" s="10"/>
    </row>
    <row r="711">
      <c r="A711" s="11" t="s">
        <v>1607</v>
      </c>
      <c r="B711" s="8"/>
      <c r="C711" s="8"/>
      <c r="D711" s="8"/>
      <c r="E711" s="8"/>
      <c r="F711" s="12">
        <v>1.0</v>
      </c>
      <c r="G711" s="12">
        <v>1.0</v>
      </c>
      <c r="H711" s="12">
        <v>0.0</v>
      </c>
      <c r="I711" s="12">
        <v>1.0</v>
      </c>
      <c r="J711" s="12">
        <v>1.0</v>
      </c>
      <c r="K711" s="12">
        <v>0.0</v>
      </c>
      <c r="L711" s="2"/>
      <c r="M711" s="12">
        <v>1.0</v>
      </c>
      <c r="N711" s="12">
        <v>1.0</v>
      </c>
      <c r="O711" s="13">
        <v>0.0</v>
      </c>
      <c r="P711" s="12">
        <v>1.0</v>
      </c>
      <c r="Q711" s="5"/>
      <c r="R711" s="10">
        <f>sum(F711:K711,M711:P711)/(COUNTIF(B711:P711, 1) + (COUNTIF(B711:P711, 0)) + COUNTIF(B711:P711, 0.5))</f>
        <v>0.7</v>
      </c>
    </row>
    <row r="712">
      <c r="A712" s="7">
        <v>91.0</v>
      </c>
      <c r="B712" s="8">
        <v>2888.0</v>
      </c>
      <c r="C712" s="8">
        <v>394.0</v>
      </c>
      <c r="D712" s="8">
        <v>33.1</v>
      </c>
      <c r="E712" s="8">
        <v>-115.5</v>
      </c>
      <c r="F712" s="1"/>
      <c r="G712" s="1"/>
      <c r="H712" s="1"/>
      <c r="I712" s="3" t="s">
        <v>18</v>
      </c>
      <c r="J712" s="3" t="s">
        <v>1608</v>
      </c>
      <c r="K712" s="1"/>
      <c r="L712" s="2" t="s">
        <v>1605</v>
      </c>
      <c r="M712" s="3" t="s">
        <v>1580</v>
      </c>
      <c r="N712" s="1"/>
      <c r="O712" s="22"/>
      <c r="P712" s="3" t="s">
        <v>669</v>
      </c>
      <c r="Q712" s="5" t="s">
        <v>18</v>
      </c>
      <c r="R712" s="10"/>
    </row>
    <row r="713">
      <c r="A713" s="11" t="s">
        <v>1609</v>
      </c>
      <c r="B713" s="8"/>
      <c r="C713" s="8"/>
      <c r="D713" s="8"/>
      <c r="E713" s="8"/>
      <c r="F713" s="12">
        <v>1.0</v>
      </c>
      <c r="G713" s="12">
        <v>1.0</v>
      </c>
      <c r="H713" s="12">
        <v>0.0</v>
      </c>
      <c r="I713" s="12">
        <v>1.0</v>
      </c>
      <c r="J713" s="12">
        <v>1.0</v>
      </c>
      <c r="K713" s="12">
        <v>0.0</v>
      </c>
      <c r="L713" s="2"/>
      <c r="M713" s="12">
        <v>1.0</v>
      </c>
      <c r="N713" s="12">
        <v>1.0</v>
      </c>
      <c r="O713" s="13">
        <v>0.0</v>
      </c>
      <c r="P713" s="12">
        <v>1.0</v>
      </c>
      <c r="Q713" s="5"/>
      <c r="R713" s="10">
        <f>sum(F713:K713,M713:P713)/(COUNTIF(B713:P713, 1) + (COUNTIF(B713:P713, 0)) + COUNTIF(B713:P713, 0.5))</f>
        <v>0.7</v>
      </c>
    </row>
    <row r="714">
      <c r="A714" s="7">
        <v>92.0</v>
      </c>
      <c r="B714" s="8">
        <v>2888.0</v>
      </c>
      <c r="C714" s="8">
        <v>394.0</v>
      </c>
      <c r="D714" s="8">
        <v>33.1</v>
      </c>
      <c r="E714" s="8">
        <v>-115.5</v>
      </c>
      <c r="F714" s="1"/>
      <c r="G714" s="1"/>
      <c r="H714" s="1"/>
      <c r="I714" s="3" t="s">
        <v>18</v>
      </c>
      <c r="J714" s="3" t="s">
        <v>1610</v>
      </c>
      <c r="K714" s="1"/>
      <c r="L714" s="2" t="s">
        <v>1605</v>
      </c>
      <c r="M714" s="3" t="s">
        <v>1580</v>
      </c>
      <c r="N714" s="1"/>
      <c r="O714" s="22"/>
      <c r="P714" s="3" t="s">
        <v>669</v>
      </c>
      <c r="Q714" s="5" t="s">
        <v>18</v>
      </c>
      <c r="R714" s="10"/>
    </row>
    <row r="715">
      <c r="A715" s="11" t="s">
        <v>1611</v>
      </c>
      <c r="B715" s="8"/>
      <c r="C715" s="8"/>
      <c r="D715" s="8"/>
      <c r="E715" s="8"/>
      <c r="F715" s="12">
        <v>1.0</v>
      </c>
      <c r="G715" s="12">
        <v>1.0</v>
      </c>
      <c r="H715" s="12">
        <v>0.0</v>
      </c>
      <c r="I715" s="12">
        <v>1.0</v>
      </c>
      <c r="J715" s="12">
        <v>1.0</v>
      </c>
      <c r="K715" s="12">
        <v>0.0</v>
      </c>
      <c r="L715" s="2"/>
      <c r="M715" s="12">
        <v>1.0</v>
      </c>
      <c r="N715" s="12">
        <v>1.0</v>
      </c>
      <c r="O715" s="13">
        <v>0.0</v>
      </c>
      <c r="P715" s="12">
        <v>1.0</v>
      </c>
      <c r="Q715" s="5"/>
      <c r="R715" s="10">
        <f>sum(F715:K715,M715:P715)/(COUNTIF(B715:P715, 1) + (COUNTIF(B715:P715, 0)) + COUNTIF(B715:P715, 0.5))</f>
        <v>0.7</v>
      </c>
    </row>
    <row r="716">
      <c r="A716" s="7">
        <v>93.0</v>
      </c>
      <c r="B716" s="8">
        <v>2888.0</v>
      </c>
      <c r="C716" s="8">
        <v>394.0</v>
      </c>
      <c r="D716" s="8">
        <v>33.1</v>
      </c>
      <c r="E716" s="8">
        <v>-115.5</v>
      </c>
      <c r="F716" s="1"/>
      <c r="G716" s="1"/>
      <c r="H716" s="1"/>
      <c r="I716" s="3" t="s">
        <v>18</v>
      </c>
      <c r="J716" s="3" t="s">
        <v>1612</v>
      </c>
      <c r="K716" s="1"/>
      <c r="L716" s="2" t="s">
        <v>1605</v>
      </c>
      <c r="M716" s="3" t="s">
        <v>1580</v>
      </c>
      <c r="N716" s="1"/>
      <c r="O716" s="22"/>
      <c r="P716" s="3" t="s">
        <v>669</v>
      </c>
      <c r="Q716" s="5" t="s">
        <v>18</v>
      </c>
      <c r="R716" s="10"/>
    </row>
    <row r="717">
      <c r="A717" s="11" t="s">
        <v>1613</v>
      </c>
      <c r="B717" s="8"/>
      <c r="C717" s="8"/>
      <c r="D717" s="8"/>
      <c r="E717" s="8"/>
      <c r="F717" s="12">
        <v>1.0</v>
      </c>
      <c r="G717" s="12">
        <v>1.0</v>
      </c>
      <c r="H717" s="12">
        <v>0.0</v>
      </c>
      <c r="I717" s="12">
        <v>1.0</v>
      </c>
      <c r="J717" s="12">
        <v>1.0</v>
      </c>
      <c r="K717" s="12">
        <v>0.0</v>
      </c>
      <c r="L717" s="2"/>
      <c r="M717" s="12">
        <v>1.0</v>
      </c>
      <c r="N717" s="12">
        <v>1.0</v>
      </c>
      <c r="O717" s="13">
        <v>0.0</v>
      </c>
      <c r="P717" s="12">
        <v>1.0</v>
      </c>
      <c r="Q717" s="5"/>
      <c r="R717" s="10">
        <f>sum(F717:K717,M717:P717)/(COUNTIF(B717:P717, 1) + (COUNTIF(B717:P717, 0)) + COUNTIF(B717:P717, 0.5))</f>
        <v>0.7</v>
      </c>
    </row>
    <row r="718">
      <c r="A718" s="7">
        <v>94.0</v>
      </c>
      <c r="B718" s="8">
        <v>2888.0</v>
      </c>
      <c r="C718" s="8">
        <v>394.0</v>
      </c>
      <c r="D718" s="8">
        <v>33.1</v>
      </c>
      <c r="E718" s="8">
        <v>-115.5</v>
      </c>
      <c r="F718" s="1"/>
      <c r="G718" s="1"/>
      <c r="H718" s="1"/>
      <c r="I718" s="3" t="s">
        <v>18</v>
      </c>
      <c r="J718" s="3" t="s">
        <v>1614</v>
      </c>
      <c r="K718" s="1"/>
      <c r="L718" s="2" t="s">
        <v>1605</v>
      </c>
      <c r="M718" s="3" t="s">
        <v>1580</v>
      </c>
      <c r="N718" s="1"/>
      <c r="O718" s="22"/>
      <c r="P718" s="3" t="s">
        <v>669</v>
      </c>
      <c r="Q718" s="5" t="s">
        <v>18</v>
      </c>
      <c r="R718" s="10"/>
    </row>
    <row r="719">
      <c r="A719" s="11" t="s">
        <v>1615</v>
      </c>
      <c r="B719" s="8"/>
      <c r="C719" s="8"/>
      <c r="D719" s="8"/>
      <c r="E719" s="8"/>
      <c r="F719" s="12">
        <v>1.0</v>
      </c>
      <c r="G719" s="12">
        <v>1.0</v>
      </c>
      <c r="H719" s="12">
        <v>0.0</v>
      </c>
      <c r="I719" s="12">
        <v>1.0</v>
      </c>
      <c r="J719" s="12">
        <v>1.0</v>
      </c>
      <c r="K719" s="12">
        <v>0.0</v>
      </c>
      <c r="L719" s="2"/>
      <c r="M719" s="12">
        <v>1.0</v>
      </c>
      <c r="N719" s="12">
        <v>1.0</v>
      </c>
      <c r="O719" s="13">
        <v>0.0</v>
      </c>
      <c r="P719" s="12">
        <v>1.0</v>
      </c>
      <c r="Q719" s="5"/>
      <c r="R719" s="10">
        <f>sum(F719:K719,M719:P719)/(COUNTIF(B719:P719, 1) + (COUNTIF(B719:P719, 0)) + COUNTIF(B719:P719, 0.5))</f>
        <v>0.7</v>
      </c>
    </row>
    <row r="720">
      <c r="A720" s="7">
        <v>95.0</v>
      </c>
      <c r="B720" s="8">
        <v>2888.0</v>
      </c>
      <c r="C720" s="8">
        <v>394.0</v>
      </c>
      <c r="D720" s="8">
        <v>33.1</v>
      </c>
      <c r="E720" s="8">
        <v>-115.5</v>
      </c>
      <c r="F720" s="1"/>
      <c r="G720" s="1"/>
      <c r="H720" s="1"/>
      <c r="I720" s="3" t="s">
        <v>18</v>
      </c>
      <c r="J720" s="3" t="s">
        <v>1616</v>
      </c>
      <c r="K720" s="1"/>
      <c r="L720" s="2" t="s">
        <v>1605</v>
      </c>
      <c r="M720" s="3" t="s">
        <v>1580</v>
      </c>
      <c r="N720" s="1"/>
      <c r="O720" s="22"/>
      <c r="P720" s="3" t="s">
        <v>669</v>
      </c>
      <c r="Q720" s="5" t="s">
        <v>18</v>
      </c>
      <c r="R720" s="10"/>
    </row>
    <row r="721">
      <c r="A721" s="11" t="s">
        <v>1617</v>
      </c>
      <c r="B721" s="8"/>
      <c r="C721" s="8"/>
      <c r="D721" s="8"/>
      <c r="E721" s="8"/>
      <c r="F721" s="12">
        <v>1.0</v>
      </c>
      <c r="G721" s="12">
        <v>1.0</v>
      </c>
      <c r="H721" s="12">
        <v>0.0</v>
      </c>
      <c r="I721" s="12">
        <v>1.0</v>
      </c>
      <c r="J721" s="12">
        <v>1.0</v>
      </c>
      <c r="K721" s="12">
        <v>0.0</v>
      </c>
      <c r="L721" s="2"/>
      <c r="M721" s="12">
        <v>1.0</v>
      </c>
      <c r="N721" s="12">
        <v>1.0</v>
      </c>
      <c r="O721" s="13">
        <v>0.0</v>
      </c>
      <c r="P721" s="12">
        <v>1.0</v>
      </c>
      <c r="Q721" s="5"/>
      <c r="R721" s="10">
        <f>sum(F721:K721,M721:P721)/(COUNTIF(B721:P721, 1) + (COUNTIF(B721:P721, 0)) + COUNTIF(B721:P721, 0.5))</f>
        <v>0.7</v>
      </c>
    </row>
    <row r="722">
      <c r="A722" s="7">
        <v>168.0</v>
      </c>
      <c r="B722" s="8">
        <v>3153.0</v>
      </c>
      <c r="C722" s="8">
        <v>83.0</v>
      </c>
      <c r="D722" s="8">
        <v>38.5</v>
      </c>
      <c r="E722" s="8">
        <v>-122.6</v>
      </c>
      <c r="F722" s="1"/>
      <c r="G722" s="1"/>
      <c r="H722" s="3" t="s">
        <v>1618</v>
      </c>
      <c r="I722" s="3" t="s">
        <v>18</v>
      </c>
      <c r="J722" s="3" t="s">
        <v>1619</v>
      </c>
      <c r="K722" s="3" t="s">
        <v>1620</v>
      </c>
      <c r="L722" s="2" t="s">
        <v>1620</v>
      </c>
      <c r="M722" s="3" t="s">
        <v>1621</v>
      </c>
      <c r="N722" s="1"/>
      <c r="O722" s="4" t="s">
        <v>1622</v>
      </c>
      <c r="P722" s="3" t="s">
        <v>669</v>
      </c>
      <c r="Q722" s="5" t="s">
        <v>1623</v>
      </c>
      <c r="R722" s="10"/>
    </row>
    <row r="723">
      <c r="A723" s="11" t="s">
        <v>1624</v>
      </c>
      <c r="B723" s="8"/>
      <c r="C723" s="8"/>
      <c r="D723" s="8"/>
      <c r="E723" s="8"/>
      <c r="F723" s="12">
        <v>1.0</v>
      </c>
      <c r="G723" s="12">
        <v>1.0</v>
      </c>
      <c r="H723" s="12">
        <v>1.0</v>
      </c>
      <c r="I723" s="12">
        <v>1.0</v>
      </c>
      <c r="J723" s="12">
        <v>1.0</v>
      </c>
      <c r="K723" s="12">
        <v>1.0</v>
      </c>
      <c r="L723" s="2"/>
      <c r="M723" s="12">
        <v>0.0</v>
      </c>
      <c r="N723" s="12">
        <v>1.0</v>
      </c>
      <c r="O723" s="13">
        <v>1.0</v>
      </c>
      <c r="P723" s="12">
        <v>1.0</v>
      </c>
      <c r="Q723" s="5"/>
      <c r="R723" s="10">
        <f>sum(F723:K723,M723:P723)/(COUNTIF(B723:P723, 1) + (COUNTIF(B723:P723, 0)) + COUNTIF(B723:P723, 0.5))</f>
        <v>0.9</v>
      </c>
    </row>
    <row r="724">
      <c r="A724" s="7">
        <v>169.0</v>
      </c>
      <c r="B724" s="8">
        <v>3153.0</v>
      </c>
      <c r="C724" s="8">
        <v>83.0</v>
      </c>
      <c r="D724" s="8">
        <v>38.5</v>
      </c>
      <c r="E724" s="8">
        <v>-122.6</v>
      </c>
      <c r="F724" s="1"/>
      <c r="G724" s="1"/>
      <c r="H724" s="3" t="s">
        <v>1625</v>
      </c>
      <c r="I724" s="3" t="s">
        <v>18</v>
      </c>
      <c r="J724" s="3" t="s">
        <v>1626</v>
      </c>
      <c r="K724" s="3" t="s">
        <v>1620</v>
      </c>
      <c r="L724" s="2" t="s">
        <v>1620</v>
      </c>
      <c r="M724" s="3" t="s">
        <v>1621</v>
      </c>
      <c r="N724" s="1"/>
      <c r="O724" s="4" t="s">
        <v>1622</v>
      </c>
      <c r="P724" s="3" t="s">
        <v>669</v>
      </c>
      <c r="Q724" s="5" t="s">
        <v>1627</v>
      </c>
      <c r="R724" s="10"/>
    </row>
    <row r="725">
      <c r="A725" s="11" t="s">
        <v>1628</v>
      </c>
      <c r="B725" s="8"/>
      <c r="C725" s="8"/>
      <c r="D725" s="8"/>
      <c r="E725" s="8"/>
      <c r="F725" s="12">
        <v>1.0</v>
      </c>
      <c r="G725" s="12">
        <v>1.0</v>
      </c>
      <c r="H725" s="12">
        <v>1.0</v>
      </c>
      <c r="I725" s="12">
        <v>1.0</v>
      </c>
      <c r="J725" s="12">
        <v>1.0</v>
      </c>
      <c r="K725" s="12">
        <v>1.0</v>
      </c>
      <c r="L725" s="2"/>
      <c r="M725" s="12">
        <v>0.0</v>
      </c>
      <c r="N725" s="12">
        <v>1.0</v>
      </c>
      <c r="O725" s="13">
        <v>1.0</v>
      </c>
      <c r="P725" s="12">
        <v>1.0</v>
      </c>
      <c r="Q725" s="5"/>
      <c r="R725" s="10">
        <f>sum(F725:K725,M725:P725)/(COUNTIF(B725:P725, 1) + (COUNTIF(B725:P725, 0)) + COUNTIF(B725:P725, 0.5))</f>
        <v>0.9</v>
      </c>
    </row>
    <row r="726">
      <c r="A726" s="7">
        <v>170.0</v>
      </c>
      <c r="B726" s="8">
        <v>3153.0</v>
      </c>
      <c r="C726" s="8">
        <v>83.0</v>
      </c>
      <c r="D726" s="8">
        <v>38.5</v>
      </c>
      <c r="E726" s="8">
        <v>-122.6</v>
      </c>
      <c r="F726" s="1"/>
      <c r="G726" s="1"/>
      <c r="H726" s="3" t="s">
        <v>1629</v>
      </c>
      <c r="I726" s="3" t="s">
        <v>18</v>
      </c>
      <c r="J726" s="3" t="s">
        <v>1630</v>
      </c>
      <c r="K726" s="3" t="s">
        <v>1620</v>
      </c>
      <c r="L726" s="2" t="s">
        <v>1620</v>
      </c>
      <c r="M726" s="3" t="s">
        <v>1621</v>
      </c>
      <c r="N726" s="1"/>
      <c r="O726" s="4" t="s">
        <v>1622</v>
      </c>
      <c r="P726" s="3" t="s">
        <v>669</v>
      </c>
      <c r="Q726" s="5" t="s">
        <v>1627</v>
      </c>
      <c r="R726" s="10"/>
    </row>
    <row r="727">
      <c r="A727" s="11" t="s">
        <v>1631</v>
      </c>
      <c r="B727" s="8"/>
      <c r="C727" s="8"/>
      <c r="D727" s="8"/>
      <c r="E727" s="8"/>
      <c r="F727" s="12">
        <v>1.0</v>
      </c>
      <c r="G727" s="12">
        <v>1.0</v>
      </c>
      <c r="H727" s="12">
        <v>1.0</v>
      </c>
      <c r="I727" s="12">
        <v>1.0</v>
      </c>
      <c r="J727" s="12">
        <v>1.0</v>
      </c>
      <c r="K727" s="12">
        <v>1.0</v>
      </c>
      <c r="L727" s="2"/>
      <c r="M727" s="12">
        <v>0.0</v>
      </c>
      <c r="N727" s="12">
        <v>1.0</v>
      </c>
      <c r="O727" s="13">
        <v>1.0</v>
      </c>
      <c r="P727" s="12">
        <v>1.0</v>
      </c>
      <c r="Q727" s="5"/>
      <c r="R727" s="10">
        <f>sum(F727:K727,M727:P727)/(COUNTIF(B727:P727, 1) + (COUNTIF(B727:P727, 0)) + COUNTIF(B727:P727, 0.5))</f>
        <v>0.9</v>
      </c>
    </row>
    <row r="728">
      <c r="A728" s="7">
        <v>171.0</v>
      </c>
      <c r="B728" s="8">
        <v>3153.0</v>
      </c>
      <c r="C728" s="8">
        <v>83.0</v>
      </c>
      <c r="D728" s="8">
        <v>38.5</v>
      </c>
      <c r="E728" s="8">
        <v>-122.6</v>
      </c>
      <c r="F728" s="1"/>
      <c r="G728" s="1"/>
      <c r="H728" s="3" t="s">
        <v>1632</v>
      </c>
      <c r="I728" s="3" t="s">
        <v>18</v>
      </c>
      <c r="J728" s="3" t="s">
        <v>1633</v>
      </c>
      <c r="K728" s="3" t="s">
        <v>1620</v>
      </c>
      <c r="L728" s="2" t="s">
        <v>1620</v>
      </c>
      <c r="M728" s="3" t="s">
        <v>1621</v>
      </c>
      <c r="N728" s="1"/>
      <c r="O728" s="4" t="s">
        <v>1622</v>
      </c>
      <c r="P728" s="3" t="s">
        <v>669</v>
      </c>
      <c r="Q728" s="5" t="s">
        <v>1627</v>
      </c>
      <c r="R728" s="10"/>
    </row>
    <row r="729">
      <c r="A729" s="11" t="s">
        <v>1634</v>
      </c>
      <c r="B729" s="8"/>
      <c r="C729" s="8"/>
      <c r="D729" s="8"/>
      <c r="E729" s="8"/>
      <c r="F729" s="12">
        <v>1.0</v>
      </c>
      <c r="G729" s="12">
        <v>1.0</v>
      </c>
      <c r="H729" s="12">
        <v>1.0</v>
      </c>
      <c r="I729" s="12">
        <v>1.0</v>
      </c>
      <c r="J729" s="12">
        <v>1.0</v>
      </c>
      <c r="K729" s="12">
        <v>1.0</v>
      </c>
      <c r="L729" s="2"/>
      <c r="M729" s="12">
        <v>0.0</v>
      </c>
      <c r="N729" s="12">
        <v>1.0</v>
      </c>
      <c r="O729" s="13">
        <v>1.0</v>
      </c>
      <c r="P729" s="12">
        <v>1.0</v>
      </c>
      <c r="Q729" s="5"/>
      <c r="R729" s="10">
        <f>sum(F729:K729,M729:P729)/(COUNTIF(B729:P729, 1) + (COUNTIF(B729:P729, 0)) + COUNTIF(B729:P729, 0.5))</f>
        <v>0.9</v>
      </c>
    </row>
    <row r="730">
      <c r="A730" s="7">
        <v>172.0</v>
      </c>
      <c r="B730" s="8">
        <v>3153.0</v>
      </c>
      <c r="C730" s="8">
        <v>83.0</v>
      </c>
      <c r="D730" s="8">
        <v>38.5</v>
      </c>
      <c r="E730" s="8">
        <v>-122.6</v>
      </c>
      <c r="F730" s="1"/>
      <c r="G730" s="1"/>
      <c r="H730" s="3" t="s">
        <v>1635</v>
      </c>
      <c r="I730" s="3" t="s">
        <v>18</v>
      </c>
      <c r="J730" s="3" t="s">
        <v>1636</v>
      </c>
      <c r="K730" s="3" t="s">
        <v>1620</v>
      </c>
      <c r="L730" s="2" t="s">
        <v>1620</v>
      </c>
      <c r="M730" s="3" t="s">
        <v>1621</v>
      </c>
      <c r="N730" s="1"/>
      <c r="O730" s="4" t="s">
        <v>1622</v>
      </c>
      <c r="P730" s="3" t="s">
        <v>669</v>
      </c>
      <c r="Q730" s="5" t="s">
        <v>1627</v>
      </c>
      <c r="R730" s="10"/>
    </row>
    <row r="731">
      <c r="A731" s="11" t="s">
        <v>1637</v>
      </c>
      <c r="B731" s="8"/>
      <c r="C731" s="8"/>
      <c r="D731" s="8"/>
      <c r="E731" s="8"/>
      <c r="F731" s="12">
        <v>1.0</v>
      </c>
      <c r="G731" s="12">
        <v>1.0</v>
      </c>
      <c r="H731" s="12">
        <v>1.0</v>
      </c>
      <c r="I731" s="12">
        <v>1.0</v>
      </c>
      <c r="J731" s="12">
        <v>1.0</v>
      </c>
      <c r="K731" s="12">
        <v>1.0</v>
      </c>
      <c r="L731" s="2"/>
      <c r="M731" s="12">
        <v>0.0</v>
      </c>
      <c r="N731" s="12">
        <v>1.0</v>
      </c>
      <c r="O731" s="13">
        <v>1.0</v>
      </c>
      <c r="P731" s="12">
        <v>1.0</v>
      </c>
      <c r="Q731" s="5"/>
      <c r="R731" s="10">
        <f>sum(F731:K731,M731:P731)/(COUNTIF(B731:P731, 1) + (COUNTIF(B731:P731, 0)) + COUNTIF(B731:P731, 0.5))</f>
        <v>0.9</v>
      </c>
    </row>
    <row r="732">
      <c r="A732" s="7">
        <v>173.0</v>
      </c>
      <c r="B732" s="8">
        <v>3153.0</v>
      </c>
      <c r="C732" s="8">
        <v>83.0</v>
      </c>
      <c r="D732" s="8">
        <v>38.5</v>
      </c>
      <c r="E732" s="8">
        <v>-122.6</v>
      </c>
      <c r="F732" s="1"/>
      <c r="G732" s="1"/>
      <c r="H732" s="3" t="s">
        <v>1638</v>
      </c>
      <c r="I732" s="3" t="s">
        <v>18</v>
      </c>
      <c r="J732" s="3" t="s">
        <v>1639</v>
      </c>
      <c r="K732" s="3" t="s">
        <v>1620</v>
      </c>
      <c r="L732" s="2" t="s">
        <v>1620</v>
      </c>
      <c r="M732" s="3" t="s">
        <v>1621</v>
      </c>
      <c r="N732" s="1"/>
      <c r="O732" s="4" t="s">
        <v>1622</v>
      </c>
      <c r="P732" s="3" t="s">
        <v>669</v>
      </c>
      <c r="Q732" s="5" t="s">
        <v>18</v>
      </c>
      <c r="R732" s="10"/>
    </row>
    <row r="733">
      <c r="A733" s="11" t="s">
        <v>1640</v>
      </c>
      <c r="B733" s="8"/>
      <c r="C733" s="8"/>
      <c r="D733" s="8"/>
      <c r="E733" s="8"/>
      <c r="F733" s="12">
        <v>1.0</v>
      </c>
      <c r="G733" s="12">
        <v>1.0</v>
      </c>
      <c r="H733" s="12">
        <v>1.0</v>
      </c>
      <c r="I733" s="12">
        <v>1.0</v>
      </c>
      <c r="J733" s="12">
        <v>1.0</v>
      </c>
      <c r="K733" s="12">
        <v>1.0</v>
      </c>
      <c r="L733" s="2"/>
      <c r="M733" s="12">
        <v>0.0</v>
      </c>
      <c r="N733" s="12">
        <v>1.0</v>
      </c>
      <c r="O733" s="13">
        <v>1.0</v>
      </c>
      <c r="P733" s="12">
        <v>1.0</v>
      </c>
      <c r="Q733" s="5"/>
      <c r="R733" s="10">
        <f>sum(F733:K733,M733:P733)/(COUNTIF(B733:P733, 1) + (COUNTIF(B733:P733, 0)) + COUNTIF(B733:P733, 0.5))</f>
        <v>0.9</v>
      </c>
    </row>
    <row r="734">
      <c r="A734" s="7">
        <v>174.0</v>
      </c>
      <c r="B734" s="8">
        <v>3153.0</v>
      </c>
      <c r="C734" s="8">
        <v>83.0</v>
      </c>
      <c r="D734" s="8">
        <v>38.7</v>
      </c>
      <c r="E734" s="8">
        <v>-122.8</v>
      </c>
      <c r="F734" s="1"/>
      <c r="G734" s="1"/>
      <c r="H734" s="3" t="s">
        <v>1641</v>
      </c>
      <c r="I734" s="3" t="s">
        <v>18</v>
      </c>
      <c r="J734" s="3" t="s">
        <v>1538</v>
      </c>
      <c r="K734" s="3" t="s">
        <v>1642</v>
      </c>
      <c r="L734" s="2" t="s">
        <v>350</v>
      </c>
      <c r="M734" s="3" t="s">
        <v>1621</v>
      </c>
      <c r="N734" s="1"/>
      <c r="O734" s="4" t="s">
        <v>1622</v>
      </c>
      <c r="P734" s="3" t="s">
        <v>669</v>
      </c>
      <c r="Q734" s="5" t="s">
        <v>1627</v>
      </c>
      <c r="R734" s="10"/>
    </row>
    <row r="735">
      <c r="A735" s="11" t="s">
        <v>1643</v>
      </c>
      <c r="B735" s="8"/>
      <c r="C735" s="8"/>
      <c r="D735" s="8"/>
      <c r="E735" s="8"/>
      <c r="F735" s="12">
        <v>1.0</v>
      </c>
      <c r="G735" s="12">
        <v>1.0</v>
      </c>
      <c r="H735" s="12">
        <v>1.0</v>
      </c>
      <c r="I735" s="12">
        <v>1.0</v>
      </c>
      <c r="J735" s="12">
        <v>1.0</v>
      </c>
      <c r="K735" s="12">
        <v>0.5</v>
      </c>
      <c r="L735" s="2"/>
      <c r="M735" s="12">
        <v>0.0</v>
      </c>
      <c r="N735" s="12">
        <v>1.0</v>
      </c>
      <c r="O735" s="13">
        <v>1.0</v>
      </c>
      <c r="P735" s="12">
        <v>1.0</v>
      </c>
      <c r="Q735" s="5"/>
      <c r="R735" s="10">
        <f>sum(F735:K735,M735:P735)/(COUNTIF(B735:P735, 1) + (COUNTIF(B735:P735, 0)) + COUNTIF(B735:P735, 0.5))</f>
        <v>0.85</v>
      </c>
    </row>
    <row r="736">
      <c r="A736" s="7">
        <v>175.0</v>
      </c>
      <c r="B736" s="8">
        <v>3153.0</v>
      </c>
      <c r="C736" s="8">
        <v>83.0</v>
      </c>
      <c r="D736" s="8">
        <v>38.7</v>
      </c>
      <c r="E736" s="8">
        <v>-122.8</v>
      </c>
      <c r="F736" s="1"/>
      <c r="G736" s="1"/>
      <c r="H736" s="3" t="s">
        <v>1644</v>
      </c>
      <c r="I736" s="3" t="s">
        <v>18</v>
      </c>
      <c r="J736" s="3" t="s">
        <v>1645</v>
      </c>
      <c r="K736" s="3" t="s">
        <v>1642</v>
      </c>
      <c r="L736" s="2" t="s">
        <v>350</v>
      </c>
      <c r="M736" s="3" t="s">
        <v>1621</v>
      </c>
      <c r="N736" s="1"/>
      <c r="O736" s="4" t="s">
        <v>1622</v>
      </c>
      <c r="P736" s="3" t="s">
        <v>669</v>
      </c>
      <c r="Q736" s="5" t="s">
        <v>1627</v>
      </c>
      <c r="R736" s="10"/>
    </row>
    <row r="737">
      <c r="A737" s="11" t="s">
        <v>1646</v>
      </c>
      <c r="B737" s="8"/>
      <c r="C737" s="8"/>
      <c r="D737" s="8"/>
      <c r="E737" s="8"/>
      <c r="F737" s="12">
        <v>1.0</v>
      </c>
      <c r="G737" s="12">
        <v>1.0</v>
      </c>
      <c r="H737" s="12">
        <v>1.0</v>
      </c>
      <c r="I737" s="12">
        <v>1.0</v>
      </c>
      <c r="J737" s="12">
        <v>1.0</v>
      </c>
      <c r="K737" s="12">
        <v>0.5</v>
      </c>
      <c r="L737" s="2"/>
      <c r="M737" s="12">
        <v>0.0</v>
      </c>
      <c r="N737" s="12">
        <v>1.0</v>
      </c>
      <c r="O737" s="13">
        <v>1.0</v>
      </c>
      <c r="P737" s="12">
        <v>1.0</v>
      </c>
      <c r="Q737" s="5"/>
      <c r="R737" s="10">
        <f>sum(F737:K737,M737:P737)/(COUNTIF(B737:P737, 1) + (COUNTIF(B737:P737, 0)) + COUNTIF(B737:P737, 0.5))</f>
        <v>0.85</v>
      </c>
    </row>
    <row r="738">
      <c r="A738" s="7">
        <v>176.0</v>
      </c>
      <c r="B738" s="8">
        <v>3153.0</v>
      </c>
      <c r="C738" s="8">
        <v>83.0</v>
      </c>
      <c r="D738" s="8">
        <v>38.7</v>
      </c>
      <c r="E738" s="8">
        <v>-122.8</v>
      </c>
      <c r="F738" s="1"/>
      <c r="G738" s="1"/>
      <c r="H738" s="3" t="s">
        <v>1647</v>
      </c>
      <c r="I738" s="3" t="s">
        <v>18</v>
      </c>
      <c r="J738" s="3" t="s">
        <v>1648</v>
      </c>
      <c r="K738" s="3" t="s">
        <v>1642</v>
      </c>
      <c r="L738" s="2" t="s">
        <v>350</v>
      </c>
      <c r="M738" s="3" t="s">
        <v>1621</v>
      </c>
      <c r="N738" s="1"/>
      <c r="O738" s="4" t="s">
        <v>1622</v>
      </c>
      <c r="P738" s="3" t="s">
        <v>669</v>
      </c>
      <c r="Q738" s="5" t="s">
        <v>1627</v>
      </c>
      <c r="R738" s="10"/>
    </row>
    <row r="739">
      <c r="A739" s="11" t="s">
        <v>1649</v>
      </c>
      <c r="B739" s="8"/>
      <c r="C739" s="8"/>
      <c r="D739" s="8"/>
      <c r="E739" s="8"/>
      <c r="F739" s="12">
        <v>1.0</v>
      </c>
      <c r="G739" s="12">
        <v>1.0</v>
      </c>
      <c r="H739" s="12">
        <v>1.0</v>
      </c>
      <c r="I739" s="12">
        <v>1.0</v>
      </c>
      <c r="J739" s="12">
        <v>1.0</v>
      </c>
      <c r="K739" s="12">
        <v>0.5</v>
      </c>
      <c r="L739" s="2"/>
      <c r="M739" s="12">
        <v>0.0</v>
      </c>
      <c r="N739" s="12">
        <v>1.0</v>
      </c>
      <c r="O739" s="13">
        <v>1.0</v>
      </c>
      <c r="P739" s="12">
        <v>1.0</v>
      </c>
      <c r="Q739" s="5"/>
      <c r="R739" s="10">
        <f>sum(F739:K739,M739:P739)/(COUNTIF(B739:P739, 1) + (COUNTIF(B739:P739, 0)) + COUNTIF(B739:P739, 0.5))</f>
        <v>0.85</v>
      </c>
    </row>
    <row r="740">
      <c r="A740" s="7">
        <v>177.0</v>
      </c>
      <c r="B740" s="8">
        <v>3153.0</v>
      </c>
      <c r="C740" s="8">
        <v>83.0</v>
      </c>
      <c r="D740" s="8">
        <v>38.7</v>
      </c>
      <c r="E740" s="8">
        <v>-122.8</v>
      </c>
      <c r="F740" s="1"/>
      <c r="G740" s="1"/>
      <c r="H740" s="3" t="s">
        <v>1650</v>
      </c>
      <c r="I740" s="3" t="s">
        <v>18</v>
      </c>
      <c r="J740" s="3" t="s">
        <v>1651</v>
      </c>
      <c r="K740" s="3" t="s">
        <v>1642</v>
      </c>
      <c r="L740" s="2" t="s">
        <v>350</v>
      </c>
      <c r="M740" s="3" t="s">
        <v>1621</v>
      </c>
      <c r="N740" s="1"/>
      <c r="O740" s="4" t="s">
        <v>1622</v>
      </c>
      <c r="P740" s="3" t="s">
        <v>669</v>
      </c>
      <c r="Q740" s="5" t="s">
        <v>1627</v>
      </c>
      <c r="R740" s="10"/>
    </row>
    <row r="741">
      <c r="A741" s="11" t="s">
        <v>1652</v>
      </c>
      <c r="B741" s="8"/>
      <c r="C741" s="8"/>
      <c r="D741" s="8"/>
      <c r="E741" s="8"/>
      <c r="F741" s="12">
        <v>1.0</v>
      </c>
      <c r="G741" s="12">
        <v>1.0</v>
      </c>
      <c r="H741" s="12">
        <v>1.0</v>
      </c>
      <c r="I741" s="12">
        <v>1.0</v>
      </c>
      <c r="J741" s="12">
        <v>1.0</v>
      </c>
      <c r="K741" s="12">
        <v>0.5</v>
      </c>
      <c r="L741" s="2"/>
      <c r="M741" s="12">
        <v>0.0</v>
      </c>
      <c r="N741" s="12">
        <v>1.0</v>
      </c>
      <c r="O741" s="13">
        <v>1.0</v>
      </c>
      <c r="P741" s="12">
        <v>1.0</v>
      </c>
      <c r="Q741" s="5"/>
      <c r="R741" s="10">
        <f>sum(F741:K741,M741:P741)/(COUNTIF(B741:P741, 1) + (COUNTIF(B741:P741, 0)) + COUNTIF(B741:P741, 0.5))</f>
        <v>0.85</v>
      </c>
    </row>
    <row r="742">
      <c r="A742" s="7">
        <v>178.0</v>
      </c>
      <c r="B742" s="8">
        <v>3153.0</v>
      </c>
      <c r="C742" s="8">
        <v>83.0</v>
      </c>
      <c r="D742" s="8">
        <v>38.7</v>
      </c>
      <c r="E742" s="8">
        <v>-122.8</v>
      </c>
      <c r="F742" s="1"/>
      <c r="G742" s="1"/>
      <c r="H742" s="3" t="s">
        <v>1653</v>
      </c>
      <c r="I742" s="3" t="s">
        <v>18</v>
      </c>
      <c r="J742" s="3" t="s">
        <v>1545</v>
      </c>
      <c r="K742" s="1"/>
      <c r="L742" s="2" t="s">
        <v>350</v>
      </c>
      <c r="M742" s="3" t="s">
        <v>1621</v>
      </c>
      <c r="N742" s="1"/>
      <c r="O742" s="4" t="s">
        <v>1654</v>
      </c>
      <c r="P742" s="3" t="s">
        <v>669</v>
      </c>
      <c r="Q742" s="5" t="s">
        <v>18</v>
      </c>
      <c r="R742" s="10"/>
    </row>
    <row r="743">
      <c r="A743" s="11" t="s">
        <v>1655</v>
      </c>
      <c r="B743" s="8"/>
      <c r="C743" s="8"/>
      <c r="D743" s="8"/>
      <c r="E743" s="8"/>
      <c r="F743" s="12">
        <v>1.0</v>
      </c>
      <c r="G743" s="12">
        <v>1.0</v>
      </c>
      <c r="H743" s="12">
        <v>1.0</v>
      </c>
      <c r="I743" s="12">
        <v>1.0</v>
      </c>
      <c r="J743" s="12">
        <v>1.0</v>
      </c>
      <c r="K743" s="12">
        <v>0.0</v>
      </c>
      <c r="L743" s="2"/>
      <c r="M743" s="12">
        <v>0.0</v>
      </c>
      <c r="N743" s="12">
        <v>1.0</v>
      </c>
      <c r="O743" s="13">
        <v>1.0</v>
      </c>
      <c r="P743" s="12">
        <v>1.0</v>
      </c>
      <c r="Q743" s="5"/>
      <c r="R743" s="10">
        <f>sum(F743:K743,M743:P743)/(COUNTIF(B743:P743, 1) + (COUNTIF(B743:P743, 0)) + COUNTIF(B743:P743, 0.5))</f>
        <v>0.8</v>
      </c>
    </row>
    <row r="744">
      <c r="A744" s="11">
        <v>179.0</v>
      </c>
      <c r="B744" s="8">
        <v>3153.0</v>
      </c>
      <c r="C744" s="8">
        <v>83.0</v>
      </c>
      <c r="D744" s="8">
        <v>38.8</v>
      </c>
      <c r="E744" s="8">
        <v>-122.7</v>
      </c>
      <c r="F744" s="1"/>
      <c r="G744" s="1"/>
      <c r="H744" s="3" t="s">
        <v>1656</v>
      </c>
      <c r="I744" s="3" t="s">
        <v>18</v>
      </c>
      <c r="J744" s="3" t="s">
        <v>1657</v>
      </c>
      <c r="K744" s="3" t="s">
        <v>350</v>
      </c>
      <c r="L744" s="2" t="s">
        <v>350</v>
      </c>
      <c r="M744" s="3" t="s">
        <v>1621</v>
      </c>
      <c r="N744" s="1"/>
      <c r="O744" s="4" t="s">
        <v>1654</v>
      </c>
      <c r="P744" s="3" t="s">
        <v>669</v>
      </c>
      <c r="Q744" s="5" t="s">
        <v>1627</v>
      </c>
      <c r="R744" s="10"/>
    </row>
    <row r="745">
      <c r="A745" s="11" t="s">
        <v>1658</v>
      </c>
      <c r="B745" s="8"/>
      <c r="C745" s="8"/>
      <c r="D745" s="8"/>
      <c r="E745" s="8"/>
      <c r="F745" s="12">
        <v>1.0</v>
      </c>
      <c r="G745" s="12">
        <v>1.0</v>
      </c>
      <c r="H745" s="12">
        <v>0.5</v>
      </c>
      <c r="I745" s="12">
        <v>1.0</v>
      </c>
      <c r="J745" s="12">
        <v>1.0</v>
      </c>
      <c r="K745" s="12">
        <v>1.0</v>
      </c>
      <c r="L745" s="2"/>
      <c r="M745" s="12">
        <v>0.0</v>
      </c>
      <c r="N745" s="12">
        <v>1.0</v>
      </c>
      <c r="O745" s="13">
        <v>1.0</v>
      </c>
      <c r="P745" s="12">
        <v>1.0</v>
      </c>
      <c r="Q745" s="5"/>
      <c r="R745" s="10">
        <f>sum(F745:K745,M745:P745)/(COUNTIF(B745:P745, 1) + (COUNTIF(B745:P745, 0)) + COUNTIF(B745:P745, 0.5))</f>
        <v>0.85</v>
      </c>
    </row>
    <row r="746">
      <c r="A746" s="7">
        <v>180.0</v>
      </c>
      <c r="B746" s="8">
        <v>3153.0</v>
      </c>
      <c r="C746" s="8">
        <v>83.0</v>
      </c>
      <c r="D746" s="8">
        <v>38.6</v>
      </c>
      <c r="E746" s="8">
        <v>-122.9</v>
      </c>
      <c r="F746" s="1"/>
      <c r="G746" s="1"/>
      <c r="H746" s="3" t="s">
        <v>1659</v>
      </c>
      <c r="I746" s="3" t="s">
        <v>18</v>
      </c>
      <c r="J746" s="3" t="s">
        <v>1660</v>
      </c>
      <c r="K746" s="3" t="s">
        <v>350</v>
      </c>
      <c r="L746" s="2" t="s">
        <v>350</v>
      </c>
      <c r="M746" s="3" t="s">
        <v>1621</v>
      </c>
      <c r="N746" s="1"/>
      <c r="O746" s="4" t="s">
        <v>1654</v>
      </c>
      <c r="P746" s="3" t="s">
        <v>669</v>
      </c>
      <c r="Q746" s="5" t="s">
        <v>1627</v>
      </c>
      <c r="R746" s="10"/>
    </row>
    <row r="747">
      <c r="A747" s="11" t="s">
        <v>1661</v>
      </c>
      <c r="B747" s="8"/>
      <c r="C747" s="8"/>
      <c r="D747" s="8"/>
      <c r="E747" s="8"/>
      <c r="F747" s="12">
        <v>1.0</v>
      </c>
      <c r="G747" s="12">
        <v>1.0</v>
      </c>
      <c r="H747" s="12">
        <v>0.5</v>
      </c>
      <c r="I747" s="12">
        <v>1.0</v>
      </c>
      <c r="J747" s="12">
        <v>1.0</v>
      </c>
      <c r="K747" s="12">
        <v>1.0</v>
      </c>
      <c r="L747" s="2"/>
      <c r="M747" s="12">
        <v>0.0</v>
      </c>
      <c r="N747" s="12">
        <v>1.0</v>
      </c>
      <c r="O747" s="13">
        <v>1.0</v>
      </c>
      <c r="P747" s="12">
        <v>1.0</v>
      </c>
      <c r="Q747" s="5"/>
      <c r="R747" s="10">
        <f>sum(F747:K747,M747:P747)/(COUNTIF(B747:P747, 1) + (COUNTIF(B747:P747, 0)) + COUNTIF(B747:P747, 0.5))</f>
        <v>0.85</v>
      </c>
    </row>
    <row r="748">
      <c r="A748" s="7">
        <v>220.0</v>
      </c>
      <c r="B748" s="8">
        <v>3153.0</v>
      </c>
      <c r="C748" s="8">
        <v>120.0</v>
      </c>
      <c r="D748" s="8">
        <v>39.4974</v>
      </c>
      <c r="E748" s="8">
        <v>-119.794</v>
      </c>
      <c r="F748" s="1"/>
      <c r="G748" s="1"/>
      <c r="H748" s="3" t="s">
        <v>1662</v>
      </c>
      <c r="I748" s="12" t="s">
        <v>1663</v>
      </c>
      <c r="J748" s="3" t="s">
        <v>1664</v>
      </c>
      <c r="K748" s="3" t="s">
        <v>1665</v>
      </c>
      <c r="L748" s="9"/>
      <c r="M748" s="1"/>
      <c r="N748" s="1"/>
      <c r="O748" s="22"/>
      <c r="P748" s="3" t="s">
        <v>669</v>
      </c>
      <c r="Q748" s="5" t="s">
        <v>1666</v>
      </c>
      <c r="R748" s="10"/>
    </row>
    <row r="749">
      <c r="A749" s="11" t="s">
        <v>1667</v>
      </c>
      <c r="B749" s="8"/>
      <c r="C749" s="8"/>
      <c r="D749" s="8"/>
      <c r="E749" s="8"/>
      <c r="F749" s="12">
        <v>1.0</v>
      </c>
      <c r="G749" s="12">
        <v>1.0</v>
      </c>
      <c r="H749" s="12">
        <v>0.5</v>
      </c>
      <c r="I749" s="12">
        <v>1.0</v>
      </c>
      <c r="J749" s="12">
        <v>0.0</v>
      </c>
      <c r="K749" s="12">
        <v>0.0</v>
      </c>
      <c r="L749" s="9"/>
      <c r="M749" s="12">
        <v>1.0</v>
      </c>
      <c r="N749" s="12">
        <v>1.0</v>
      </c>
      <c r="O749" s="12">
        <v>1.0</v>
      </c>
      <c r="P749" s="12">
        <v>1.0</v>
      </c>
      <c r="Q749" s="5"/>
      <c r="R749" s="10">
        <f>sum(F749:K749,M749:P749)/(COUNTIF(B749:P749, 1) + (COUNTIF(B749:P749, 0)) + COUNTIF(B749:P749, 0.5))</f>
        <v>0.75</v>
      </c>
    </row>
    <row r="750">
      <c r="A750" s="7">
        <v>221.0</v>
      </c>
      <c r="B750" s="28">
        <v>3153.0</v>
      </c>
      <c r="C750" s="8">
        <v>120.0</v>
      </c>
      <c r="D750" s="8">
        <v>39.1452</v>
      </c>
      <c r="E750" s="8">
        <v>-119.761</v>
      </c>
      <c r="F750" s="1"/>
      <c r="G750" s="1"/>
      <c r="H750" s="3" t="s">
        <v>1668</v>
      </c>
      <c r="I750" s="3" t="s">
        <v>1669</v>
      </c>
      <c r="J750" s="3" t="s">
        <v>1670</v>
      </c>
      <c r="K750" s="3" t="s">
        <v>1671</v>
      </c>
      <c r="L750" s="9"/>
      <c r="M750" s="1"/>
      <c r="N750" s="1"/>
      <c r="O750" s="1"/>
      <c r="P750" s="3" t="s">
        <v>669</v>
      </c>
      <c r="Q750" s="5" t="s">
        <v>1672</v>
      </c>
      <c r="R750" s="10"/>
    </row>
    <row r="751">
      <c r="A751" s="11" t="s">
        <v>1673</v>
      </c>
      <c r="B751" s="8"/>
      <c r="C751" s="8"/>
      <c r="D751" s="8"/>
      <c r="E751" s="8"/>
      <c r="F751" s="12">
        <v>1.0</v>
      </c>
      <c r="G751" s="12">
        <v>1.0</v>
      </c>
      <c r="H751" s="12">
        <v>0.5</v>
      </c>
      <c r="I751" s="12">
        <v>0.0</v>
      </c>
      <c r="J751" s="12">
        <v>0.5</v>
      </c>
      <c r="K751" s="12">
        <v>0.0</v>
      </c>
      <c r="L751" s="9"/>
      <c r="M751" s="12">
        <v>1.0</v>
      </c>
      <c r="N751" s="12">
        <v>1.0</v>
      </c>
      <c r="O751" s="12">
        <v>1.0</v>
      </c>
      <c r="P751" s="12">
        <v>1.0</v>
      </c>
      <c r="Q751" s="5"/>
      <c r="R751" s="10">
        <f>sum(F751:K751,M751:P751)/(COUNTIF(B751:P751, 1) + (COUNTIF(B751:P751, 0)) + COUNTIF(B751:P751, 0.5))</f>
        <v>0.7</v>
      </c>
    </row>
    <row r="752">
      <c r="A752" s="7">
        <v>222.0</v>
      </c>
      <c r="B752" s="8">
        <v>3153.0</v>
      </c>
      <c r="C752" s="8">
        <v>120.0</v>
      </c>
      <c r="D752" s="8">
        <v>39.1595</v>
      </c>
      <c r="E752" s="8">
        <v>-119.758</v>
      </c>
      <c r="F752" s="12"/>
      <c r="G752" s="1"/>
      <c r="H752" s="3" t="s">
        <v>1674</v>
      </c>
      <c r="I752" s="3" t="s">
        <v>1675</v>
      </c>
      <c r="J752" s="3" t="s">
        <v>1676</v>
      </c>
      <c r="K752" s="3" t="s">
        <v>1677</v>
      </c>
      <c r="L752" s="9"/>
      <c r="M752" s="1"/>
      <c r="N752" s="1"/>
      <c r="O752" s="1"/>
      <c r="P752" s="3" t="s">
        <v>669</v>
      </c>
      <c r="Q752" s="5" t="s">
        <v>1672</v>
      </c>
      <c r="R752" s="10"/>
    </row>
    <row r="753">
      <c r="A753" s="11" t="s">
        <v>1678</v>
      </c>
      <c r="B753" s="8"/>
      <c r="C753" s="8"/>
      <c r="D753" s="8"/>
      <c r="E753" s="8"/>
      <c r="F753" s="12">
        <v>1.0</v>
      </c>
      <c r="G753" s="12">
        <v>1.0</v>
      </c>
      <c r="H753" s="12">
        <v>0.5</v>
      </c>
      <c r="I753" s="12">
        <v>0.0</v>
      </c>
      <c r="J753" s="12">
        <v>0.5</v>
      </c>
      <c r="K753" s="12">
        <v>0.0</v>
      </c>
      <c r="L753" s="9"/>
      <c r="M753" s="12">
        <v>1.0</v>
      </c>
      <c r="N753" s="12">
        <v>1.0</v>
      </c>
      <c r="O753" s="12">
        <v>1.0</v>
      </c>
      <c r="P753" s="12">
        <v>1.0</v>
      </c>
      <c r="Q753" s="5"/>
      <c r="R753" s="10">
        <f>sum(F753:K753,M753:P753)/(COUNTIF(B753:P753, 1) + (COUNTIF(B753:P753, 0)) + COUNTIF(B753:P753, 0.5))</f>
        <v>0.7</v>
      </c>
    </row>
    <row r="754">
      <c r="A754" s="7">
        <v>223.0</v>
      </c>
      <c r="B754" s="8">
        <v>3153.0</v>
      </c>
      <c r="C754" s="8">
        <v>120.0</v>
      </c>
      <c r="D754" s="8">
        <v>39.1452</v>
      </c>
      <c r="E754" s="8">
        <v>-119.761</v>
      </c>
      <c r="F754" s="1"/>
      <c r="G754" s="1"/>
      <c r="H754" s="3" t="s">
        <v>1679</v>
      </c>
      <c r="I754" s="3" t="s">
        <v>1669</v>
      </c>
      <c r="J754" s="3" t="s">
        <v>1680</v>
      </c>
      <c r="K754" s="3" t="s">
        <v>1677</v>
      </c>
      <c r="L754" s="9"/>
      <c r="M754" s="1"/>
      <c r="N754" s="1"/>
      <c r="O754" s="1"/>
      <c r="P754" s="3" t="s">
        <v>669</v>
      </c>
      <c r="Q754" s="5" t="s">
        <v>1672</v>
      </c>
      <c r="R754" s="10"/>
    </row>
    <row r="755">
      <c r="A755" s="11" t="s">
        <v>1681</v>
      </c>
      <c r="B755" s="8"/>
      <c r="C755" s="8"/>
      <c r="D755" s="8"/>
      <c r="E755" s="8"/>
      <c r="F755" s="12">
        <v>1.0</v>
      </c>
      <c r="G755" s="12">
        <v>1.0</v>
      </c>
      <c r="H755" s="12">
        <v>0.5</v>
      </c>
      <c r="I755" s="12">
        <v>0.0</v>
      </c>
      <c r="J755" s="12">
        <v>1.0</v>
      </c>
      <c r="K755" s="12">
        <v>0.0</v>
      </c>
      <c r="L755" s="9"/>
      <c r="M755" s="12">
        <v>1.0</v>
      </c>
      <c r="N755" s="12">
        <v>1.0</v>
      </c>
      <c r="O755" s="12">
        <v>1.0</v>
      </c>
      <c r="P755" s="12">
        <v>1.0</v>
      </c>
      <c r="Q755" s="5"/>
      <c r="R755" s="10">
        <f>sum(F755:K755,M755:P755)/(COUNTIF(B755:P755, 1) + (COUNTIF(B755:P755, 0)) + COUNTIF(B755:P755, 0.5))</f>
        <v>0.75</v>
      </c>
    </row>
    <row r="756">
      <c r="A756" s="7">
        <v>224.0</v>
      </c>
      <c r="B756" s="8">
        <v>3153.0</v>
      </c>
      <c r="C756" s="8">
        <v>120.0</v>
      </c>
      <c r="D756" s="8">
        <v>39.2161</v>
      </c>
      <c r="E756" s="8">
        <v>-119.303</v>
      </c>
      <c r="F756" s="1"/>
      <c r="G756" s="1"/>
      <c r="H756" s="3" t="s">
        <v>1682</v>
      </c>
      <c r="I756" s="3" t="s">
        <v>1683</v>
      </c>
      <c r="J756" s="3" t="s">
        <v>1684</v>
      </c>
      <c r="K756" s="3" t="s">
        <v>1685</v>
      </c>
      <c r="L756" s="9"/>
      <c r="M756" s="1"/>
      <c r="N756" s="1"/>
      <c r="O756" s="1"/>
      <c r="P756" s="3" t="s">
        <v>669</v>
      </c>
      <c r="Q756" s="5" t="s">
        <v>1672</v>
      </c>
      <c r="R756" s="10"/>
    </row>
    <row r="757">
      <c r="A757" s="11" t="s">
        <v>1686</v>
      </c>
      <c r="B757" s="8"/>
      <c r="C757" s="8"/>
      <c r="D757" s="8"/>
      <c r="E757" s="8"/>
      <c r="F757" s="12">
        <v>1.0</v>
      </c>
      <c r="G757" s="12">
        <v>1.0</v>
      </c>
      <c r="H757" s="12">
        <v>0.5</v>
      </c>
      <c r="I757" s="12">
        <v>0.0</v>
      </c>
      <c r="J757" s="12">
        <v>1.0</v>
      </c>
      <c r="K757" s="12">
        <v>0.0</v>
      </c>
      <c r="L757" s="9"/>
      <c r="M757" s="12">
        <v>1.0</v>
      </c>
      <c r="N757" s="12">
        <v>1.0</v>
      </c>
      <c r="O757" s="12">
        <v>1.0</v>
      </c>
      <c r="P757" s="12">
        <v>1.0</v>
      </c>
      <c r="Q757" s="5"/>
      <c r="R757" s="10">
        <f>sum(F757:K757,M757:P757)/(COUNTIF(B757:P757, 1) + (COUNTIF(B757:P757, 0)) + COUNTIF(B757:P757, 0.5))</f>
        <v>0.75</v>
      </c>
    </row>
    <row r="758">
      <c r="A758" s="7">
        <v>225.0</v>
      </c>
      <c r="B758" s="8">
        <v>3153.0</v>
      </c>
      <c r="C758" s="8">
        <v>120.0</v>
      </c>
      <c r="D758" s="8">
        <v>40.4929</v>
      </c>
      <c r="E758" s="8">
        <v>-118.72</v>
      </c>
      <c r="F758" s="1"/>
      <c r="G758" s="1"/>
      <c r="H758" s="3" t="s">
        <v>1687</v>
      </c>
      <c r="I758" s="3" t="s">
        <v>1688</v>
      </c>
      <c r="J758" s="3" t="s">
        <v>1689</v>
      </c>
      <c r="K758" s="3" t="s">
        <v>1690</v>
      </c>
      <c r="L758" s="9"/>
      <c r="M758" s="1"/>
      <c r="N758" s="1"/>
      <c r="O758" s="1"/>
      <c r="P758" s="3" t="s">
        <v>669</v>
      </c>
      <c r="Q758" s="5" t="s">
        <v>1672</v>
      </c>
      <c r="R758" s="10"/>
    </row>
    <row r="759">
      <c r="A759" s="11" t="s">
        <v>1691</v>
      </c>
      <c r="B759" s="8"/>
      <c r="C759" s="8"/>
      <c r="D759" s="8"/>
      <c r="E759" s="8"/>
      <c r="F759" s="12">
        <v>1.0</v>
      </c>
      <c r="G759" s="12">
        <v>1.0</v>
      </c>
      <c r="H759" s="12">
        <v>0.0</v>
      </c>
      <c r="I759" s="12">
        <v>0.0</v>
      </c>
      <c r="J759" s="12">
        <v>1.0</v>
      </c>
      <c r="K759" s="12">
        <v>0.0</v>
      </c>
      <c r="L759" s="9"/>
      <c r="M759" s="12">
        <v>1.0</v>
      </c>
      <c r="N759" s="12">
        <v>1.0</v>
      </c>
      <c r="O759" s="12">
        <v>1.0</v>
      </c>
      <c r="P759" s="12">
        <v>1.0</v>
      </c>
      <c r="Q759" s="5"/>
      <c r="R759" s="10">
        <f>sum(F759:K759,M759:P759)/(COUNTIF(B759:P759, 1) + (COUNTIF(B759:P759, 0)) + COUNTIF(B759:P759, 0.5))</f>
        <v>0.7</v>
      </c>
    </row>
    <row r="760">
      <c r="A760" s="7">
        <v>226.0</v>
      </c>
      <c r="B760" s="8">
        <v>3153.0</v>
      </c>
      <c r="C760" s="8">
        <v>120.0</v>
      </c>
      <c r="D760" s="8">
        <v>40.4929</v>
      </c>
      <c r="E760" s="8">
        <v>-118.72</v>
      </c>
      <c r="F760" s="1"/>
      <c r="G760" s="1"/>
      <c r="H760" s="3" t="s">
        <v>1692</v>
      </c>
      <c r="I760" s="3" t="s">
        <v>1688</v>
      </c>
      <c r="J760" s="3" t="s">
        <v>1693</v>
      </c>
      <c r="K760" s="3" t="s">
        <v>1690</v>
      </c>
      <c r="L760" s="9"/>
      <c r="M760" s="1"/>
      <c r="N760" s="1"/>
      <c r="O760" s="1"/>
      <c r="P760" s="3" t="s">
        <v>669</v>
      </c>
      <c r="Q760" s="5" t="s">
        <v>1672</v>
      </c>
      <c r="R760" s="10"/>
    </row>
    <row r="761">
      <c r="A761" s="11" t="s">
        <v>1694</v>
      </c>
      <c r="B761" s="8"/>
      <c r="C761" s="8"/>
      <c r="D761" s="8"/>
      <c r="E761" s="8"/>
      <c r="F761" s="12">
        <v>1.0</v>
      </c>
      <c r="G761" s="12">
        <v>1.0</v>
      </c>
      <c r="H761" s="12">
        <v>0.5</v>
      </c>
      <c r="I761" s="12">
        <v>0.0</v>
      </c>
      <c r="J761" s="12">
        <v>1.0</v>
      </c>
      <c r="K761" s="12">
        <v>0.0</v>
      </c>
      <c r="L761" s="9"/>
      <c r="M761" s="12">
        <v>1.0</v>
      </c>
      <c r="N761" s="12">
        <v>1.0</v>
      </c>
      <c r="O761" s="12">
        <v>1.0</v>
      </c>
      <c r="P761" s="12">
        <v>1.0</v>
      </c>
      <c r="Q761" s="5"/>
      <c r="R761" s="10">
        <f>sum(F761:K761,M761:P761)/(COUNTIF(B761:P761, 1) + (COUNTIF(B761:P761, 0)) + COUNTIF(B761:P761, 0.5))</f>
        <v>0.75</v>
      </c>
    </row>
    <row r="762">
      <c r="A762" s="7">
        <v>227.0</v>
      </c>
      <c r="B762" s="8">
        <v>3153.0</v>
      </c>
      <c r="C762" s="8">
        <v>120.0</v>
      </c>
      <c r="D762" s="8">
        <v>40.7678</v>
      </c>
      <c r="E762" s="8">
        <v>-123.899</v>
      </c>
      <c r="F762" s="1"/>
      <c r="G762" s="1"/>
      <c r="H762" s="3" t="s">
        <v>1695</v>
      </c>
      <c r="I762" s="3" t="s">
        <v>1696</v>
      </c>
      <c r="J762" s="3" t="s">
        <v>1697</v>
      </c>
      <c r="K762" s="3" t="s">
        <v>1698</v>
      </c>
      <c r="L762" s="9"/>
      <c r="M762" s="12"/>
      <c r="N762" s="12"/>
      <c r="O762" s="12"/>
      <c r="P762" s="3" t="s">
        <v>669</v>
      </c>
      <c r="Q762" s="5" t="s">
        <v>1672</v>
      </c>
      <c r="R762" s="10"/>
    </row>
    <row r="763">
      <c r="A763" s="11" t="s">
        <v>1699</v>
      </c>
      <c r="B763" s="8"/>
      <c r="C763" s="8"/>
      <c r="D763" s="8"/>
      <c r="E763" s="8"/>
      <c r="F763" s="12">
        <v>1.0</v>
      </c>
      <c r="G763" s="12">
        <v>1.0</v>
      </c>
      <c r="H763" s="12">
        <v>0.5</v>
      </c>
      <c r="I763" s="12">
        <v>0.0</v>
      </c>
      <c r="J763" s="12">
        <v>1.0</v>
      </c>
      <c r="K763" s="12">
        <v>0.0</v>
      </c>
      <c r="L763" s="9"/>
      <c r="M763" s="12">
        <v>1.0</v>
      </c>
      <c r="N763" s="12">
        <v>1.0</v>
      </c>
      <c r="O763" s="12">
        <v>1.0</v>
      </c>
      <c r="P763" s="12">
        <v>1.0</v>
      </c>
      <c r="Q763" s="5"/>
      <c r="R763" s="10">
        <f>sum(F763:K763,M763:P763)/(COUNTIF(B763:P763, 1) + (COUNTIF(B763:P763, 0)) + COUNTIF(B763:P763, 0.5))</f>
        <v>0.75</v>
      </c>
    </row>
    <row r="764">
      <c r="A764" s="7">
        <v>228.0</v>
      </c>
      <c r="B764" s="8">
        <v>3153.0</v>
      </c>
      <c r="C764" s="8">
        <v>120.0</v>
      </c>
      <c r="D764" s="8">
        <v>40.1459</v>
      </c>
      <c r="E764" s="8">
        <v>-119.418</v>
      </c>
      <c r="F764" s="1"/>
      <c r="G764" s="1"/>
      <c r="H764" s="3" t="s">
        <v>1700</v>
      </c>
      <c r="I764" s="3" t="s">
        <v>1701</v>
      </c>
      <c r="J764" s="3" t="s">
        <v>1702</v>
      </c>
      <c r="K764" s="3" t="s">
        <v>1703</v>
      </c>
      <c r="L764" s="9"/>
      <c r="M764" s="1"/>
      <c r="N764" s="1"/>
      <c r="O764" s="1"/>
      <c r="P764" s="3" t="s">
        <v>669</v>
      </c>
      <c r="Q764" s="5" t="s">
        <v>1672</v>
      </c>
      <c r="R764" s="10"/>
    </row>
    <row r="765">
      <c r="A765" s="11" t="s">
        <v>1704</v>
      </c>
      <c r="B765" s="8"/>
      <c r="C765" s="8"/>
      <c r="D765" s="8"/>
      <c r="E765" s="8"/>
      <c r="F765" s="12">
        <v>1.0</v>
      </c>
      <c r="G765" s="12">
        <v>1.0</v>
      </c>
      <c r="H765" s="12">
        <v>1.0</v>
      </c>
      <c r="I765" s="12">
        <v>0.0</v>
      </c>
      <c r="J765" s="12">
        <v>1.0</v>
      </c>
      <c r="K765" s="12">
        <v>0.0</v>
      </c>
      <c r="L765" s="9"/>
      <c r="M765" s="12">
        <v>1.0</v>
      </c>
      <c r="N765" s="12">
        <v>1.0</v>
      </c>
      <c r="O765" s="12">
        <v>1.0</v>
      </c>
      <c r="P765" s="12">
        <v>1.0</v>
      </c>
      <c r="Q765" s="5"/>
      <c r="R765" s="10">
        <f>sum(F765:K765,M765:P765)/(COUNTIF(B765:P765, 1) + (COUNTIF(B765:P765, 0)) + COUNTIF(B765:P765, 0.5))</f>
        <v>0.8</v>
      </c>
    </row>
    <row r="766">
      <c r="A766" s="7">
        <v>366.0</v>
      </c>
      <c r="B766" s="8">
        <v>6506.0</v>
      </c>
      <c r="C766" s="8">
        <v>26.0</v>
      </c>
      <c r="D766" s="9"/>
      <c r="E766" s="9"/>
      <c r="F766" s="7">
        <v>39.1178</v>
      </c>
      <c r="G766" s="7">
        <v>-120.898</v>
      </c>
      <c r="H766" s="3" t="s">
        <v>675</v>
      </c>
      <c r="I766" s="3" t="s">
        <v>18</v>
      </c>
      <c r="J766" s="3" t="s">
        <v>1705</v>
      </c>
      <c r="K766" s="3" t="s">
        <v>1706</v>
      </c>
      <c r="L766" s="9"/>
      <c r="M766" s="3" t="s">
        <v>1707</v>
      </c>
      <c r="N766" s="3" t="s">
        <v>1708</v>
      </c>
      <c r="O766" s="4" t="s">
        <v>1709</v>
      </c>
      <c r="P766" s="3" t="s">
        <v>251</v>
      </c>
      <c r="Q766" s="5" t="s">
        <v>1710</v>
      </c>
      <c r="R766" s="10"/>
    </row>
    <row r="767">
      <c r="A767" s="11" t="s">
        <v>1711</v>
      </c>
      <c r="B767" s="8"/>
      <c r="C767" s="8"/>
      <c r="D767" s="9"/>
      <c r="E767" s="9"/>
      <c r="F767" s="11">
        <v>0.0</v>
      </c>
      <c r="G767" s="11">
        <v>0.0</v>
      </c>
      <c r="H767" s="12">
        <v>1.0</v>
      </c>
      <c r="I767" s="12">
        <v>1.0</v>
      </c>
      <c r="J767" s="12">
        <v>1.0</v>
      </c>
      <c r="K767" s="12">
        <v>0.0</v>
      </c>
      <c r="L767" s="9"/>
      <c r="M767" s="12">
        <v>1.0</v>
      </c>
      <c r="N767" s="12">
        <v>1.0</v>
      </c>
      <c r="O767" s="13">
        <v>1.0</v>
      </c>
      <c r="P767" s="12">
        <v>1.0</v>
      </c>
      <c r="Q767" s="5"/>
      <c r="R767" s="10">
        <f>sum(F767:K767,M767:P767)/(COUNTIF(B767:P767, 1) + (COUNTIF(B767:P767, 0)) + COUNTIF(B767:P767, 0.5))</f>
        <v>0.7</v>
      </c>
    </row>
    <row r="768">
      <c r="A768" s="7">
        <v>105.0</v>
      </c>
      <c r="B768" s="8">
        <v>6506.0</v>
      </c>
      <c r="C768" s="8">
        <v>30.0</v>
      </c>
      <c r="D768" s="8">
        <v>39.2</v>
      </c>
      <c r="E768" s="8">
        <v>-121.3</v>
      </c>
      <c r="F768" s="1"/>
      <c r="G768" s="1"/>
      <c r="H768" s="3" t="s">
        <v>1712</v>
      </c>
      <c r="I768" s="1"/>
      <c r="J768" s="1"/>
      <c r="K768" s="1"/>
      <c r="L768" s="2" t="s">
        <v>1713</v>
      </c>
      <c r="M768" s="1"/>
      <c r="N768" s="1"/>
      <c r="O768" s="22"/>
      <c r="P768" s="3" t="s">
        <v>440</v>
      </c>
      <c r="Q768" s="5" t="s">
        <v>1714</v>
      </c>
      <c r="R768" s="10"/>
    </row>
    <row r="769">
      <c r="A769" s="11" t="s">
        <v>1715</v>
      </c>
      <c r="B769" s="8"/>
      <c r="C769" s="8"/>
      <c r="D769" s="8"/>
      <c r="E769" s="8"/>
      <c r="F769" s="12">
        <v>1.0</v>
      </c>
      <c r="G769" s="12">
        <v>1.0</v>
      </c>
      <c r="H769" s="12">
        <v>1.0</v>
      </c>
      <c r="I769" s="12">
        <v>1.0</v>
      </c>
      <c r="J769" s="12">
        <v>0.0</v>
      </c>
      <c r="K769" s="12">
        <v>1.0</v>
      </c>
      <c r="L769" s="2"/>
      <c r="M769" s="12">
        <v>0.0</v>
      </c>
      <c r="N769" s="12">
        <v>1.0</v>
      </c>
      <c r="O769" s="13">
        <v>0.0</v>
      </c>
      <c r="P769" s="12">
        <v>1.0</v>
      </c>
      <c r="Q769" s="5"/>
      <c r="R769" s="10">
        <f>sum(F769:K769,M769:P769)/(COUNTIF(B769:P769, 1) + (COUNTIF(B769:P769, 0)) + COUNTIF(B769:P769, 0.5))</f>
        <v>0.7</v>
      </c>
    </row>
    <row r="770">
      <c r="A770" s="7">
        <v>318.0</v>
      </c>
      <c r="B770" s="8">
        <v>28370.0</v>
      </c>
      <c r="C770" s="8">
        <v>10.0</v>
      </c>
      <c r="D770" s="8">
        <v>38.9</v>
      </c>
      <c r="E770" s="8">
        <v>-116.3</v>
      </c>
      <c r="F770" s="1"/>
      <c r="G770" s="1"/>
      <c r="H770" s="3" t="s">
        <v>1716</v>
      </c>
      <c r="I770" s="3" t="s">
        <v>18</v>
      </c>
      <c r="J770" s="3" t="s">
        <v>1717</v>
      </c>
      <c r="K770" s="1"/>
      <c r="L770" s="2" t="s">
        <v>1718</v>
      </c>
      <c r="M770" s="3" t="s">
        <v>1719</v>
      </c>
      <c r="N770" s="3" t="s">
        <v>54</v>
      </c>
      <c r="O770" s="4" t="s">
        <v>1720</v>
      </c>
      <c r="P770" s="3" t="s">
        <v>24</v>
      </c>
      <c r="Q770" s="5" t="s">
        <v>1721</v>
      </c>
      <c r="R770" s="10"/>
    </row>
    <row r="771">
      <c r="A771" s="11" t="s">
        <v>1722</v>
      </c>
      <c r="B771" s="8"/>
      <c r="C771" s="8"/>
      <c r="D771" s="8"/>
      <c r="E771" s="8"/>
      <c r="F771" s="12">
        <v>1.0</v>
      </c>
      <c r="G771" s="12">
        <v>1.0</v>
      </c>
      <c r="H771" s="12">
        <v>1.0</v>
      </c>
      <c r="I771" s="12">
        <v>1.0</v>
      </c>
      <c r="J771" s="12">
        <v>1.0</v>
      </c>
      <c r="K771" s="12">
        <v>1.0</v>
      </c>
      <c r="L771" s="2"/>
      <c r="M771" s="12">
        <v>1.0</v>
      </c>
      <c r="N771" s="12">
        <v>1.0</v>
      </c>
      <c r="O771" s="13">
        <v>1.0</v>
      </c>
      <c r="P771" s="12">
        <v>1.0</v>
      </c>
      <c r="Q771" s="5"/>
      <c r="R771" s="10">
        <f>sum(F771:K771,M771:P771)/(COUNTIF(B771:P771, 1) + (COUNTIF(B771:P771, 0)) + COUNTIF(B771:P771, 0.5))</f>
        <v>1</v>
      </c>
    </row>
    <row r="772">
      <c r="A772" s="7">
        <v>319.0</v>
      </c>
      <c r="B772" s="8">
        <v>28370.0</v>
      </c>
      <c r="C772" s="8">
        <v>10.0</v>
      </c>
      <c r="D772" s="8">
        <v>33.5</v>
      </c>
      <c r="E772" s="8">
        <v>-118.3</v>
      </c>
      <c r="F772" s="1"/>
      <c r="G772" s="1"/>
      <c r="H772" s="3" t="s">
        <v>1723</v>
      </c>
      <c r="I772" s="3" t="s">
        <v>18</v>
      </c>
      <c r="J772" s="3" t="s">
        <v>1724</v>
      </c>
      <c r="K772" s="1"/>
      <c r="L772" s="2" t="s">
        <v>1725</v>
      </c>
      <c r="M772" s="3" t="s">
        <v>1719</v>
      </c>
      <c r="N772" s="3" t="s">
        <v>54</v>
      </c>
      <c r="O772" s="4" t="s">
        <v>1720</v>
      </c>
      <c r="P772" s="3" t="s">
        <v>24</v>
      </c>
      <c r="Q772" s="5" t="s">
        <v>1721</v>
      </c>
      <c r="R772" s="10"/>
    </row>
    <row r="773">
      <c r="A773" s="11" t="s">
        <v>1726</v>
      </c>
      <c r="B773" s="8"/>
      <c r="C773" s="8"/>
      <c r="D773" s="8"/>
      <c r="E773" s="8"/>
      <c r="F773" s="12">
        <v>1.0</v>
      </c>
      <c r="G773" s="12">
        <v>1.0</v>
      </c>
      <c r="H773" s="12">
        <v>1.0</v>
      </c>
      <c r="I773" s="12">
        <v>1.0</v>
      </c>
      <c r="J773" s="12">
        <v>1.0</v>
      </c>
      <c r="K773" s="12">
        <v>1.0</v>
      </c>
      <c r="L773" s="2"/>
      <c r="M773" s="12">
        <v>1.0</v>
      </c>
      <c r="N773" s="12">
        <v>1.0</v>
      </c>
      <c r="O773" s="13">
        <v>1.0</v>
      </c>
      <c r="P773" s="12">
        <v>1.0</v>
      </c>
      <c r="Q773" s="5"/>
      <c r="R773" s="10">
        <f>sum(F773:K773,M773:P773)/(COUNTIF(B773:P773, 1) + (COUNTIF(B773:P773, 0)) + COUNTIF(B773:P773, 0.5))</f>
        <v>1</v>
      </c>
    </row>
    <row r="774">
      <c r="A774" s="7">
        <v>320.0</v>
      </c>
      <c r="B774" s="8">
        <v>28370.0</v>
      </c>
      <c r="C774" s="8">
        <v>10.0</v>
      </c>
      <c r="D774" s="8">
        <v>34.9</v>
      </c>
      <c r="E774" s="8">
        <v>-120.4</v>
      </c>
      <c r="F774" s="1"/>
      <c r="G774" s="1"/>
      <c r="H774" s="3" t="s">
        <v>1727</v>
      </c>
      <c r="I774" s="3" t="s">
        <v>18</v>
      </c>
      <c r="J774" s="3" t="s">
        <v>1728</v>
      </c>
      <c r="K774" s="1"/>
      <c r="L774" s="2" t="s">
        <v>1729</v>
      </c>
      <c r="M774" s="3" t="s">
        <v>1719</v>
      </c>
      <c r="N774" s="3" t="s">
        <v>54</v>
      </c>
      <c r="O774" s="4" t="s">
        <v>1720</v>
      </c>
      <c r="P774" s="3" t="s">
        <v>24</v>
      </c>
      <c r="Q774" s="5" t="s">
        <v>1721</v>
      </c>
      <c r="R774" s="10"/>
    </row>
    <row r="775">
      <c r="A775" s="11" t="s">
        <v>1730</v>
      </c>
      <c r="B775" s="8"/>
      <c r="C775" s="8"/>
      <c r="D775" s="8"/>
      <c r="E775" s="8"/>
      <c r="F775" s="12">
        <v>1.0</v>
      </c>
      <c r="G775" s="12">
        <v>1.0</v>
      </c>
      <c r="H775" s="12">
        <v>1.0</v>
      </c>
      <c r="I775" s="12">
        <v>1.0</v>
      </c>
      <c r="J775" s="12">
        <v>1.0</v>
      </c>
      <c r="K775" s="12">
        <v>1.0</v>
      </c>
      <c r="L775" s="2"/>
      <c r="M775" s="12">
        <v>1.0</v>
      </c>
      <c r="N775" s="12">
        <v>1.0</v>
      </c>
      <c r="O775" s="13">
        <v>1.0</v>
      </c>
      <c r="P775" s="12">
        <v>1.0</v>
      </c>
      <c r="Q775" s="5"/>
      <c r="R775" s="10">
        <f>sum(F775:K775,M775:P775)/(COUNTIF(B775:P775, 1) + (COUNTIF(B775:P775, 0)) + COUNTIF(B775:P775, 0.5))</f>
        <v>1</v>
      </c>
    </row>
    <row r="776">
      <c r="A776" s="7">
        <v>321.0</v>
      </c>
      <c r="B776" s="8">
        <v>28370.0</v>
      </c>
      <c r="C776" s="8">
        <v>10.0</v>
      </c>
      <c r="D776" s="8">
        <v>36.2</v>
      </c>
      <c r="E776" s="8">
        <v>-119.7</v>
      </c>
      <c r="F776" s="1"/>
      <c r="G776" s="1"/>
      <c r="H776" s="3" t="s">
        <v>1731</v>
      </c>
      <c r="I776" s="3" t="s">
        <v>18</v>
      </c>
      <c r="J776" s="3" t="s">
        <v>1732</v>
      </c>
      <c r="K776" s="1"/>
      <c r="L776" s="2" t="s">
        <v>1733</v>
      </c>
      <c r="M776" s="3" t="s">
        <v>1719</v>
      </c>
      <c r="N776" s="3" t="s">
        <v>54</v>
      </c>
      <c r="O776" s="4" t="s">
        <v>1720</v>
      </c>
      <c r="P776" s="3" t="s">
        <v>24</v>
      </c>
      <c r="Q776" s="5" t="s">
        <v>1721</v>
      </c>
      <c r="R776" s="10"/>
    </row>
    <row r="777">
      <c r="A777" s="11" t="s">
        <v>1734</v>
      </c>
      <c r="B777" s="8"/>
      <c r="C777" s="8"/>
      <c r="D777" s="8"/>
      <c r="E777" s="8"/>
      <c r="F777" s="12">
        <v>1.0</v>
      </c>
      <c r="G777" s="12">
        <v>1.0</v>
      </c>
      <c r="H777" s="12">
        <v>1.0</v>
      </c>
      <c r="I777" s="12">
        <v>1.0</v>
      </c>
      <c r="J777" s="12">
        <v>1.0</v>
      </c>
      <c r="K777" s="12">
        <v>1.0</v>
      </c>
      <c r="L777" s="2"/>
      <c r="M777" s="12">
        <v>1.0</v>
      </c>
      <c r="N777" s="12">
        <v>1.0</v>
      </c>
      <c r="O777" s="13">
        <v>1.0</v>
      </c>
      <c r="P777" s="12">
        <v>1.0</v>
      </c>
      <c r="Q777" s="5"/>
      <c r="R777" s="10">
        <f>sum(F777:K777,M777:P777)/(COUNTIF(B777:P777, 1) + (COUNTIF(B777:P777, 0)) + COUNTIF(B777:P777, 0.5))</f>
        <v>1</v>
      </c>
    </row>
    <row r="778">
      <c r="A778" s="7">
        <v>322.0</v>
      </c>
      <c r="B778" s="8">
        <v>28370.0</v>
      </c>
      <c r="C778" s="8">
        <v>10.0</v>
      </c>
      <c r="D778" s="8">
        <v>36.8</v>
      </c>
      <c r="E778" s="8">
        <v>-119.7</v>
      </c>
      <c r="F778" s="1"/>
      <c r="G778" s="1"/>
      <c r="H778" s="3" t="s">
        <v>1735</v>
      </c>
      <c r="I778" s="3" t="s">
        <v>18</v>
      </c>
      <c r="J778" s="3" t="s">
        <v>1736</v>
      </c>
      <c r="K778" s="1"/>
      <c r="L778" s="2" t="s">
        <v>1737</v>
      </c>
      <c r="M778" s="3" t="s">
        <v>1719</v>
      </c>
      <c r="N778" s="3" t="s">
        <v>54</v>
      </c>
      <c r="O778" s="4" t="s">
        <v>1720</v>
      </c>
      <c r="P778" s="3" t="s">
        <v>24</v>
      </c>
      <c r="Q778" s="5" t="s">
        <v>1721</v>
      </c>
      <c r="R778" s="10"/>
    </row>
    <row r="779">
      <c r="A779" s="11" t="s">
        <v>1738</v>
      </c>
      <c r="B779" s="8"/>
      <c r="C779" s="8"/>
      <c r="D779" s="8"/>
      <c r="E779" s="8"/>
      <c r="F779" s="12">
        <v>1.0</v>
      </c>
      <c r="G779" s="12">
        <v>1.0</v>
      </c>
      <c r="H779" s="12">
        <v>1.0</v>
      </c>
      <c r="I779" s="12">
        <v>1.0</v>
      </c>
      <c r="J779" s="12">
        <v>1.0</v>
      </c>
      <c r="K779" s="12">
        <v>1.0</v>
      </c>
      <c r="L779" s="2"/>
      <c r="M779" s="12">
        <v>1.0</v>
      </c>
      <c r="N779" s="12">
        <v>1.0</v>
      </c>
      <c r="O779" s="13">
        <v>1.0</v>
      </c>
      <c r="P779" s="12">
        <v>1.0</v>
      </c>
      <c r="Q779" s="5"/>
      <c r="R779" s="10">
        <f>sum(F779:K779,M779:P779)/(COUNTIF(B779:P779, 1) + (COUNTIF(B779:P779, 0)) + COUNTIF(B779:P779, 0.5))</f>
        <v>1</v>
      </c>
    </row>
    <row r="780">
      <c r="A780" s="7">
        <v>323.0</v>
      </c>
      <c r="B780" s="8">
        <v>28370.0</v>
      </c>
      <c r="C780" s="8">
        <v>10.0</v>
      </c>
      <c r="D780" s="8">
        <v>38.5</v>
      </c>
      <c r="E780" s="8">
        <v>-121.5</v>
      </c>
      <c r="F780" s="12"/>
      <c r="G780" s="12"/>
      <c r="H780" s="3" t="s">
        <v>1739</v>
      </c>
      <c r="I780" s="3" t="s">
        <v>18</v>
      </c>
      <c r="J780" s="3" t="s">
        <v>1740</v>
      </c>
      <c r="K780" s="12"/>
      <c r="L780" s="2" t="s">
        <v>1741</v>
      </c>
      <c r="M780" s="3" t="s">
        <v>1719</v>
      </c>
      <c r="N780" s="3" t="s">
        <v>54</v>
      </c>
      <c r="O780" s="4" t="s">
        <v>1720</v>
      </c>
      <c r="P780" s="3" t="s">
        <v>24</v>
      </c>
      <c r="Q780" s="5" t="s">
        <v>1721</v>
      </c>
      <c r="R780" s="10"/>
    </row>
    <row r="781">
      <c r="A781" s="11" t="s">
        <v>1742</v>
      </c>
      <c r="B781" s="8"/>
      <c r="C781" s="8"/>
      <c r="D781" s="8"/>
      <c r="E781" s="8"/>
      <c r="F781" s="12">
        <v>1.0</v>
      </c>
      <c r="G781" s="12">
        <v>1.0</v>
      </c>
      <c r="H781" s="12">
        <v>1.0</v>
      </c>
      <c r="I781" s="12">
        <v>1.0</v>
      </c>
      <c r="J781" s="12">
        <v>1.0</v>
      </c>
      <c r="K781" s="12">
        <v>1.0</v>
      </c>
      <c r="L781" s="2"/>
      <c r="M781" s="12">
        <v>1.0</v>
      </c>
      <c r="N781" s="12">
        <v>1.0</v>
      </c>
      <c r="O781" s="13">
        <v>1.0</v>
      </c>
      <c r="P781" s="12">
        <v>1.0</v>
      </c>
      <c r="Q781" s="5"/>
      <c r="R781" s="10">
        <f>sum(F781:K781,M781:P781)/(COUNTIF(B781:P781, 1) + (COUNTIF(B781:P781, 0)) + COUNTIF(B781:P781, 0.5))</f>
        <v>1</v>
      </c>
    </row>
    <row r="782">
      <c r="A782" s="7">
        <v>324.0</v>
      </c>
      <c r="B782" s="8">
        <v>28370.0</v>
      </c>
      <c r="C782" s="8">
        <v>10.0</v>
      </c>
      <c r="D782" s="8">
        <v>38.5</v>
      </c>
      <c r="E782" s="8">
        <v>-121.5</v>
      </c>
      <c r="F782" s="1"/>
      <c r="G782" s="1"/>
      <c r="H782" s="3" t="s">
        <v>1743</v>
      </c>
      <c r="I782" s="3" t="s">
        <v>18</v>
      </c>
      <c r="J782" s="3" t="s">
        <v>1744</v>
      </c>
      <c r="K782" s="1"/>
      <c r="L782" s="2" t="s">
        <v>1745</v>
      </c>
      <c r="M782" s="3" t="s">
        <v>1719</v>
      </c>
      <c r="N782" s="3" t="s">
        <v>54</v>
      </c>
      <c r="O782" s="4" t="s">
        <v>1720</v>
      </c>
      <c r="P782" s="3" t="s">
        <v>24</v>
      </c>
      <c r="Q782" s="5" t="s">
        <v>1721</v>
      </c>
      <c r="R782" s="10"/>
    </row>
    <row r="783">
      <c r="A783" s="11" t="s">
        <v>1746</v>
      </c>
      <c r="B783" s="8"/>
      <c r="C783" s="8"/>
      <c r="D783" s="8"/>
      <c r="E783" s="8"/>
      <c r="F783" s="12">
        <v>1.0</v>
      </c>
      <c r="G783" s="12">
        <v>1.0</v>
      </c>
      <c r="H783" s="12">
        <v>1.0</v>
      </c>
      <c r="I783" s="12">
        <v>1.0</v>
      </c>
      <c r="J783" s="12">
        <v>1.0</v>
      </c>
      <c r="K783" s="12">
        <v>1.0</v>
      </c>
      <c r="L783" s="2"/>
      <c r="M783" s="12">
        <v>1.0</v>
      </c>
      <c r="N783" s="12">
        <v>1.0</v>
      </c>
      <c r="O783" s="13">
        <v>1.0</v>
      </c>
      <c r="P783" s="12">
        <v>1.0</v>
      </c>
      <c r="Q783" s="5"/>
      <c r="R783" s="10">
        <f>sum(F783:K783,M783:P783)/(COUNTIF(B783:P783, 1) + (COUNTIF(B783:P783, 0)) + COUNTIF(B783:P783, 0.5))</f>
        <v>1</v>
      </c>
    </row>
    <row r="784">
      <c r="A784" s="7">
        <v>325.0</v>
      </c>
      <c r="B784" s="8">
        <v>28370.0</v>
      </c>
      <c r="C784" s="8">
        <v>10.0</v>
      </c>
      <c r="D784" s="8">
        <v>37.7</v>
      </c>
      <c r="E784" s="8">
        <v>-122.4</v>
      </c>
      <c r="F784" s="1"/>
      <c r="G784" s="1"/>
      <c r="H784" s="3" t="s">
        <v>1747</v>
      </c>
      <c r="I784" s="3" t="s">
        <v>18</v>
      </c>
      <c r="J784" s="3" t="s">
        <v>1748</v>
      </c>
      <c r="K784" s="1"/>
      <c r="L784" s="2" t="s">
        <v>1749</v>
      </c>
      <c r="M784" s="3" t="s">
        <v>1719</v>
      </c>
      <c r="N784" s="3" t="s">
        <v>54</v>
      </c>
      <c r="O784" s="4" t="s">
        <v>1720</v>
      </c>
      <c r="P784" s="3" t="s">
        <v>24</v>
      </c>
      <c r="Q784" s="5" t="s">
        <v>1721</v>
      </c>
      <c r="R784" s="10"/>
    </row>
    <row r="785">
      <c r="A785" s="11" t="s">
        <v>1750</v>
      </c>
      <c r="B785" s="8"/>
      <c r="C785" s="8"/>
      <c r="D785" s="8"/>
      <c r="E785" s="8"/>
      <c r="F785" s="12">
        <v>1.0</v>
      </c>
      <c r="G785" s="12">
        <v>1.0</v>
      </c>
      <c r="H785" s="12">
        <v>1.0</v>
      </c>
      <c r="I785" s="12">
        <v>1.0</v>
      </c>
      <c r="J785" s="12">
        <v>1.0</v>
      </c>
      <c r="K785" s="12">
        <v>1.0</v>
      </c>
      <c r="L785" s="2"/>
      <c r="M785" s="12">
        <v>1.0</v>
      </c>
      <c r="N785" s="12">
        <v>1.0</v>
      </c>
      <c r="O785" s="13">
        <v>1.0</v>
      </c>
      <c r="P785" s="12">
        <v>1.0</v>
      </c>
      <c r="Q785" s="5"/>
      <c r="R785" s="10">
        <f>sum(F785:K785,M785:P785)/(COUNTIF(B785:P785, 1) + (COUNTIF(B785:P785, 0)) + COUNTIF(B785:P785, 0.5))</f>
        <v>1</v>
      </c>
    </row>
    <row r="786">
      <c r="A786" s="7">
        <v>326.0</v>
      </c>
      <c r="B786" s="8">
        <v>28370.0</v>
      </c>
      <c r="C786" s="8">
        <v>10.0</v>
      </c>
      <c r="D786" s="8">
        <v>39.5</v>
      </c>
      <c r="E786" s="8">
        <v>-123.7</v>
      </c>
      <c r="F786" s="1"/>
      <c r="G786" s="1"/>
      <c r="H786" s="3" t="s">
        <v>1751</v>
      </c>
      <c r="I786" s="3" t="s">
        <v>18</v>
      </c>
      <c r="J786" s="3" t="s">
        <v>1752</v>
      </c>
      <c r="K786" s="1"/>
      <c r="L786" s="2" t="s">
        <v>1753</v>
      </c>
      <c r="M786" s="3" t="s">
        <v>1719</v>
      </c>
      <c r="N786" s="3" t="s">
        <v>54</v>
      </c>
      <c r="O786" s="4" t="s">
        <v>1720</v>
      </c>
      <c r="P786" s="3" t="s">
        <v>24</v>
      </c>
      <c r="Q786" s="5" t="s">
        <v>1721</v>
      </c>
      <c r="R786" s="10"/>
    </row>
    <row r="787">
      <c r="A787" s="11" t="s">
        <v>1754</v>
      </c>
      <c r="B787" s="8"/>
      <c r="C787" s="8"/>
      <c r="D787" s="8"/>
      <c r="E787" s="8"/>
      <c r="F787" s="12">
        <v>1.0</v>
      </c>
      <c r="G787" s="12">
        <v>1.0</v>
      </c>
      <c r="H787" s="12">
        <v>1.0</v>
      </c>
      <c r="I787" s="12">
        <v>1.0</v>
      </c>
      <c r="J787" s="12">
        <v>1.0</v>
      </c>
      <c r="K787" s="12">
        <v>1.0</v>
      </c>
      <c r="L787" s="2"/>
      <c r="M787" s="12">
        <v>1.0</v>
      </c>
      <c r="N787" s="12">
        <v>1.0</v>
      </c>
      <c r="O787" s="13">
        <v>1.0</v>
      </c>
      <c r="P787" s="12">
        <v>1.0</v>
      </c>
      <c r="Q787" s="5"/>
      <c r="R787" s="10">
        <f>sum(F787:K787,M787:P787)/(COUNTIF(B787:P787, 1) + (COUNTIF(B787:P787, 0)) + COUNTIF(B787:P787, 0.5))</f>
        <v>1</v>
      </c>
    </row>
    <row r="788">
      <c r="A788" s="7">
        <v>194.0</v>
      </c>
      <c r="B788" s="8">
        <v>28370.0</v>
      </c>
      <c r="C788" s="8">
        <v>16.0</v>
      </c>
      <c r="D788" s="9"/>
      <c r="E788" s="9"/>
      <c r="F788" s="1"/>
      <c r="G788" s="1"/>
      <c r="H788" s="3" t="s">
        <v>1755</v>
      </c>
      <c r="I788" s="3" t="s">
        <v>18</v>
      </c>
      <c r="J788" s="3" t="s">
        <v>1756</v>
      </c>
      <c r="K788" s="1"/>
      <c r="L788" s="2" t="s">
        <v>249</v>
      </c>
      <c r="M788" s="3" t="s">
        <v>249</v>
      </c>
      <c r="N788" s="3" t="s">
        <v>54</v>
      </c>
      <c r="O788" s="4" t="s">
        <v>1757</v>
      </c>
      <c r="P788" s="3" t="s">
        <v>24</v>
      </c>
      <c r="Q788" s="5" t="s">
        <v>1758</v>
      </c>
      <c r="R788" s="10"/>
    </row>
    <row r="789">
      <c r="A789" s="11" t="s">
        <v>1759</v>
      </c>
      <c r="B789" s="8"/>
      <c r="C789" s="8"/>
      <c r="D789" s="9"/>
      <c r="E789" s="9"/>
      <c r="F789" s="12">
        <v>1.0</v>
      </c>
      <c r="G789" s="12">
        <v>1.0</v>
      </c>
      <c r="H789" s="12">
        <v>1.0</v>
      </c>
      <c r="I789" s="12">
        <v>1.0</v>
      </c>
      <c r="J789" s="12">
        <v>1.0</v>
      </c>
      <c r="K789" s="12">
        <v>1.0</v>
      </c>
      <c r="L789" s="2"/>
      <c r="M789" s="12">
        <v>1.0</v>
      </c>
      <c r="N789" s="12">
        <v>1.0</v>
      </c>
      <c r="O789" s="13">
        <v>1.0</v>
      </c>
      <c r="P789" s="12">
        <v>1.0</v>
      </c>
      <c r="Q789" s="5"/>
      <c r="R789" s="10">
        <f>sum(F789:K789,M789:P789)/(COUNTIF(B789:P789, 1) + (COUNTIF(B789:P789, 0)) + COUNTIF(B789:P789, 0.5))</f>
        <v>1</v>
      </c>
    </row>
    <row r="790">
      <c r="A790" s="7">
        <v>195.0</v>
      </c>
      <c r="B790" s="8">
        <v>28370.0</v>
      </c>
      <c r="C790" s="8">
        <v>16.0</v>
      </c>
      <c r="D790" s="9"/>
      <c r="E790" s="9"/>
      <c r="F790" s="1"/>
      <c r="G790" s="1"/>
      <c r="H790" s="3" t="s">
        <v>1755</v>
      </c>
      <c r="I790" s="1"/>
      <c r="J790" s="3" t="s">
        <v>1760</v>
      </c>
      <c r="K790" s="1"/>
      <c r="L790" s="2" t="s">
        <v>249</v>
      </c>
      <c r="M790" s="3" t="s">
        <v>249</v>
      </c>
      <c r="N790" s="3" t="s">
        <v>54</v>
      </c>
      <c r="O790" s="4" t="s">
        <v>1757</v>
      </c>
      <c r="P790" s="3" t="s">
        <v>24</v>
      </c>
      <c r="Q790" s="5" t="s">
        <v>1761</v>
      </c>
      <c r="R790" s="10"/>
    </row>
    <row r="791">
      <c r="A791" s="11" t="s">
        <v>1762</v>
      </c>
      <c r="B791" s="8"/>
      <c r="C791" s="8"/>
      <c r="D791" s="9"/>
      <c r="E791" s="9"/>
      <c r="F791" s="12">
        <v>1.0</v>
      </c>
      <c r="G791" s="12">
        <v>1.0</v>
      </c>
      <c r="H791" s="12">
        <v>1.0</v>
      </c>
      <c r="I791" s="12">
        <v>1.0</v>
      </c>
      <c r="J791" s="12">
        <v>1.0</v>
      </c>
      <c r="K791" s="12">
        <v>1.0</v>
      </c>
      <c r="L791" s="2"/>
      <c r="M791" s="12">
        <v>1.0</v>
      </c>
      <c r="N791" s="12">
        <v>1.0</v>
      </c>
      <c r="O791" s="13">
        <v>1.0</v>
      </c>
      <c r="P791" s="12">
        <v>1.0</v>
      </c>
      <c r="Q791" s="5"/>
      <c r="R791" s="10">
        <f>sum(F791:K791,M791:P791)/(COUNTIF(B791:P791, 1) + (COUNTIF(B791:P791, 0)) + COUNTIF(B791:P791, 0.5))</f>
        <v>1</v>
      </c>
    </row>
    <row r="792">
      <c r="A792" s="7">
        <v>196.0</v>
      </c>
      <c r="B792" s="8">
        <v>28370.0</v>
      </c>
      <c r="C792" s="8">
        <v>16.0</v>
      </c>
      <c r="D792" s="9"/>
      <c r="E792" s="9"/>
      <c r="F792" s="1"/>
      <c r="G792" s="1"/>
      <c r="H792" s="3" t="s">
        <v>1755</v>
      </c>
      <c r="I792" s="1"/>
      <c r="J792" s="3" t="s">
        <v>1763</v>
      </c>
      <c r="K792" s="1"/>
      <c r="L792" s="2" t="s">
        <v>249</v>
      </c>
      <c r="M792" s="3" t="s">
        <v>249</v>
      </c>
      <c r="N792" s="3" t="s">
        <v>54</v>
      </c>
      <c r="O792" s="4" t="s">
        <v>1757</v>
      </c>
      <c r="P792" s="3" t="s">
        <v>24</v>
      </c>
      <c r="Q792" s="5" t="s">
        <v>1764</v>
      </c>
      <c r="R792" s="10"/>
    </row>
    <row r="793">
      <c r="A793" s="11" t="s">
        <v>1765</v>
      </c>
      <c r="B793" s="8"/>
      <c r="C793" s="8"/>
      <c r="D793" s="9"/>
      <c r="E793" s="9"/>
      <c r="F793" s="12">
        <v>1.0</v>
      </c>
      <c r="G793" s="12">
        <v>1.0</v>
      </c>
      <c r="H793" s="12">
        <v>1.0</v>
      </c>
      <c r="I793" s="12">
        <v>1.0</v>
      </c>
      <c r="J793" s="12">
        <v>1.0</v>
      </c>
      <c r="K793" s="12">
        <v>1.0</v>
      </c>
      <c r="L793" s="2"/>
      <c r="M793" s="12">
        <v>1.0</v>
      </c>
      <c r="N793" s="12">
        <v>1.0</v>
      </c>
      <c r="O793" s="13">
        <v>1.0</v>
      </c>
      <c r="P793" s="12">
        <v>1.0</v>
      </c>
      <c r="Q793" s="5"/>
      <c r="R793" s="10">
        <f>sum(F793:K793,M793:P793)/(COUNTIF(B793:P793, 1) + (COUNTIF(B793:P793, 0)) + COUNTIF(B793:P793, 0.5))</f>
        <v>1</v>
      </c>
    </row>
    <row r="794">
      <c r="A794" s="7">
        <v>197.0</v>
      </c>
      <c r="B794" s="8">
        <v>28370.0</v>
      </c>
      <c r="C794" s="8">
        <v>16.0</v>
      </c>
      <c r="D794" s="9"/>
      <c r="E794" s="9"/>
      <c r="F794" s="1"/>
      <c r="G794" s="1"/>
      <c r="H794" s="3" t="s">
        <v>1755</v>
      </c>
      <c r="I794" s="1"/>
      <c r="J794" s="3" t="s">
        <v>1766</v>
      </c>
      <c r="K794" s="1"/>
      <c r="L794" s="2" t="s">
        <v>249</v>
      </c>
      <c r="M794" s="3" t="s">
        <v>249</v>
      </c>
      <c r="N794" s="3" t="s">
        <v>54</v>
      </c>
      <c r="O794" s="4" t="s">
        <v>1757</v>
      </c>
      <c r="P794" s="3" t="s">
        <v>24</v>
      </c>
      <c r="Q794" s="5" t="s">
        <v>1761</v>
      </c>
      <c r="R794" s="10"/>
    </row>
    <row r="795">
      <c r="A795" s="11" t="s">
        <v>1767</v>
      </c>
      <c r="B795" s="8"/>
      <c r="C795" s="8"/>
      <c r="D795" s="9"/>
      <c r="E795" s="9"/>
      <c r="F795" s="12">
        <v>1.0</v>
      </c>
      <c r="G795" s="12">
        <v>1.0</v>
      </c>
      <c r="H795" s="12">
        <v>1.0</v>
      </c>
      <c r="I795" s="12">
        <v>1.0</v>
      </c>
      <c r="J795" s="12">
        <v>1.0</v>
      </c>
      <c r="K795" s="12">
        <v>1.0</v>
      </c>
      <c r="L795" s="2"/>
      <c r="M795" s="12">
        <v>1.0</v>
      </c>
      <c r="N795" s="12">
        <v>1.0</v>
      </c>
      <c r="O795" s="13">
        <v>1.0</v>
      </c>
      <c r="P795" s="12">
        <v>1.0</v>
      </c>
      <c r="Q795" s="5"/>
      <c r="R795" s="10">
        <f>sum(F795:K795,M795:P795)/(COUNTIF(B795:P795, 1) + (COUNTIF(B795:P795, 0)) + COUNTIF(B795:P795, 0.5))</f>
        <v>1</v>
      </c>
    </row>
    <row r="796">
      <c r="A796" s="7">
        <v>198.0</v>
      </c>
      <c r="B796" s="8">
        <v>28370.0</v>
      </c>
      <c r="C796" s="8">
        <v>16.0</v>
      </c>
      <c r="D796" s="9"/>
      <c r="E796" s="9"/>
      <c r="F796" s="1"/>
      <c r="G796" s="1"/>
      <c r="H796" s="3" t="s">
        <v>1755</v>
      </c>
      <c r="I796" s="1"/>
      <c r="J796" s="3" t="s">
        <v>1768</v>
      </c>
      <c r="K796" s="1"/>
      <c r="L796" s="2" t="s">
        <v>249</v>
      </c>
      <c r="M796" s="3" t="s">
        <v>249</v>
      </c>
      <c r="N796" s="3" t="s">
        <v>54</v>
      </c>
      <c r="O796" s="4" t="s">
        <v>1757</v>
      </c>
      <c r="P796" s="3" t="s">
        <v>24</v>
      </c>
      <c r="Q796" s="5" t="s">
        <v>1769</v>
      </c>
      <c r="R796" s="10"/>
    </row>
    <row r="797">
      <c r="A797" s="11" t="s">
        <v>1770</v>
      </c>
      <c r="B797" s="8"/>
      <c r="C797" s="8"/>
      <c r="D797" s="9"/>
      <c r="E797" s="9"/>
      <c r="F797" s="12">
        <v>1.0</v>
      </c>
      <c r="G797" s="12">
        <v>1.0</v>
      </c>
      <c r="H797" s="12">
        <v>1.0</v>
      </c>
      <c r="I797" s="12">
        <v>1.0</v>
      </c>
      <c r="J797" s="12">
        <v>1.0</v>
      </c>
      <c r="K797" s="12">
        <v>1.0</v>
      </c>
      <c r="L797" s="2"/>
      <c r="M797" s="12">
        <v>1.0</v>
      </c>
      <c r="N797" s="12">
        <v>1.0</v>
      </c>
      <c r="O797" s="13">
        <v>1.0</v>
      </c>
      <c r="P797" s="12">
        <v>1.0</v>
      </c>
      <c r="Q797" s="5"/>
      <c r="R797" s="10">
        <f>sum(F797:K797,M797:P797)/(COUNTIF(B797:P797, 1) + (COUNTIF(B797:P797, 0)) + COUNTIF(B797:P797, 0.5))</f>
        <v>1</v>
      </c>
    </row>
    <row r="798">
      <c r="A798" s="7">
        <v>199.0</v>
      </c>
      <c r="B798" s="8">
        <v>28370.0</v>
      </c>
      <c r="C798" s="8">
        <v>16.0</v>
      </c>
      <c r="D798" s="9"/>
      <c r="E798" s="9"/>
      <c r="F798" s="1"/>
      <c r="G798" s="1"/>
      <c r="H798" s="3" t="s">
        <v>1755</v>
      </c>
      <c r="I798" s="1"/>
      <c r="J798" s="3" t="s">
        <v>1771</v>
      </c>
      <c r="K798" s="1"/>
      <c r="L798" s="2" t="s">
        <v>249</v>
      </c>
      <c r="M798" s="3" t="s">
        <v>249</v>
      </c>
      <c r="N798" s="3" t="s">
        <v>54</v>
      </c>
      <c r="O798" s="4" t="s">
        <v>1757</v>
      </c>
      <c r="P798" s="3" t="s">
        <v>24</v>
      </c>
      <c r="Q798" s="5" t="s">
        <v>1772</v>
      </c>
      <c r="R798" s="10"/>
    </row>
    <row r="799">
      <c r="A799" s="11" t="s">
        <v>1773</v>
      </c>
      <c r="B799" s="8"/>
      <c r="C799" s="8"/>
      <c r="D799" s="9"/>
      <c r="E799" s="9"/>
      <c r="F799" s="12">
        <v>1.0</v>
      </c>
      <c r="G799" s="12">
        <v>1.0</v>
      </c>
      <c r="H799" s="12">
        <v>1.0</v>
      </c>
      <c r="I799" s="12">
        <v>1.0</v>
      </c>
      <c r="J799" s="12">
        <v>1.0</v>
      </c>
      <c r="K799" s="12">
        <v>1.0</v>
      </c>
      <c r="L799" s="2"/>
      <c r="M799" s="12">
        <v>1.0</v>
      </c>
      <c r="N799" s="12">
        <v>1.0</v>
      </c>
      <c r="O799" s="13">
        <v>1.0</v>
      </c>
      <c r="P799" s="12">
        <v>1.0</v>
      </c>
      <c r="Q799" s="5"/>
      <c r="R799" s="10">
        <f>sum(F799:K799,M799:P799)/(COUNTIF(B799:P799, 1) + (COUNTIF(B799:P799, 0)) + COUNTIF(B799:P799, 0.5))</f>
        <v>1</v>
      </c>
    </row>
    <row r="800">
      <c r="A800" s="7">
        <v>200.0</v>
      </c>
      <c r="B800" s="8">
        <v>28370.0</v>
      </c>
      <c r="C800" s="8">
        <v>16.0</v>
      </c>
      <c r="D800" s="9"/>
      <c r="E800" s="9"/>
      <c r="F800" s="1"/>
      <c r="G800" s="1"/>
      <c r="H800" s="3" t="s">
        <v>1755</v>
      </c>
      <c r="I800" s="1"/>
      <c r="J800" s="3" t="s">
        <v>1774</v>
      </c>
      <c r="K800" s="1"/>
      <c r="L800" s="2" t="s">
        <v>249</v>
      </c>
      <c r="M800" s="3" t="s">
        <v>249</v>
      </c>
      <c r="N800" s="3" t="s">
        <v>54</v>
      </c>
      <c r="O800" s="4" t="s">
        <v>1757</v>
      </c>
      <c r="P800" s="3" t="s">
        <v>24</v>
      </c>
      <c r="Q800" s="5" t="s">
        <v>1758</v>
      </c>
      <c r="R800" s="10"/>
    </row>
    <row r="801">
      <c r="A801" s="11" t="s">
        <v>1775</v>
      </c>
      <c r="B801" s="8"/>
      <c r="C801" s="8"/>
      <c r="D801" s="9"/>
      <c r="E801" s="9"/>
      <c r="F801" s="12">
        <v>1.0</v>
      </c>
      <c r="G801" s="12">
        <v>1.0</v>
      </c>
      <c r="H801" s="12">
        <v>1.0</v>
      </c>
      <c r="I801" s="12">
        <v>1.0</v>
      </c>
      <c r="J801" s="12">
        <v>1.0</v>
      </c>
      <c r="K801" s="12">
        <v>1.0</v>
      </c>
      <c r="L801" s="2"/>
      <c r="M801" s="12">
        <v>1.0</v>
      </c>
      <c r="N801" s="12">
        <v>1.0</v>
      </c>
      <c r="O801" s="13">
        <v>1.0</v>
      </c>
      <c r="P801" s="12">
        <v>1.0</v>
      </c>
      <c r="Q801" s="5"/>
      <c r="R801" s="10">
        <f>sum(F801:K801,M801:P801)/(COUNTIF(B801:P801, 1) + (COUNTIF(B801:P801, 0)) + COUNTIF(B801:P801, 0.5))</f>
        <v>1</v>
      </c>
    </row>
    <row r="802">
      <c r="A802" s="7">
        <v>201.0</v>
      </c>
      <c r="B802" s="8">
        <v>28370.0</v>
      </c>
      <c r="C802" s="8">
        <v>16.0</v>
      </c>
      <c r="D802" s="9"/>
      <c r="E802" s="9"/>
      <c r="F802" s="1"/>
      <c r="G802" s="1"/>
      <c r="H802" s="3" t="s">
        <v>1755</v>
      </c>
      <c r="I802" s="1"/>
      <c r="J802" s="3" t="s">
        <v>1776</v>
      </c>
      <c r="K802" s="1"/>
      <c r="L802" s="2" t="s">
        <v>249</v>
      </c>
      <c r="M802" s="3" t="s">
        <v>249</v>
      </c>
      <c r="N802" s="3" t="s">
        <v>54</v>
      </c>
      <c r="O802" s="4" t="s">
        <v>1757</v>
      </c>
      <c r="P802" s="3" t="s">
        <v>24</v>
      </c>
      <c r="Q802" s="5" t="s">
        <v>1761</v>
      </c>
      <c r="R802" s="10"/>
    </row>
    <row r="803">
      <c r="A803" s="11" t="s">
        <v>1777</v>
      </c>
      <c r="B803" s="8"/>
      <c r="C803" s="8"/>
      <c r="D803" s="9"/>
      <c r="E803" s="9"/>
      <c r="F803" s="12">
        <v>1.0</v>
      </c>
      <c r="G803" s="12">
        <v>1.0</v>
      </c>
      <c r="H803" s="12">
        <v>1.0</v>
      </c>
      <c r="I803" s="12">
        <v>1.0</v>
      </c>
      <c r="J803" s="12">
        <v>1.0</v>
      </c>
      <c r="K803" s="12">
        <v>1.0</v>
      </c>
      <c r="L803" s="2"/>
      <c r="M803" s="12">
        <v>1.0</v>
      </c>
      <c r="N803" s="12">
        <v>1.0</v>
      </c>
      <c r="O803" s="13">
        <v>1.0</v>
      </c>
      <c r="P803" s="12">
        <v>1.0</v>
      </c>
      <c r="Q803" s="5"/>
      <c r="R803" s="10">
        <f>sum(F803:K803,M803:P803)/(COUNTIF(B803:P803, 1) + (COUNTIF(B803:P803, 0)) + COUNTIF(B803:P803, 0.5))</f>
        <v>1</v>
      </c>
    </row>
    <row r="804">
      <c r="A804" s="7">
        <v>202.0</v>
      </c>
      <c r="B804" s="8">
        <v>28370.0</v>
      </c>
      <c r="C804" s="8">
        <v>16.0</v>
      </c>
      <c r="D804" s="9"/>
      <c r="E804" s="9"/>
      <c r="F804" s="1"/>
      <c r="G804" s="1"/>
      <c r="H804" s="3" t="s">
        <v>1755</v>
      </c>
      <c r="I804" s="1"/>
      <c r="J804" s="3" t="s">
        <v>1778</v>
      </c>
      <c r="K804" s="1"/>
      <c r="L804" s="2" t="s">
        <v>249</v>
      </c>
      <c r="M804" s="3" t="s">
        <v>249</v>
      </c>
      <c r="N804" s="3" t="s">
        <v>54</v>
      </c>
      <c r="O804" s="4" t="s">
        <v>1757</v>
      </c>
      <c r="P804" s="3" t="s">
        <v>24</v>
      </c>
      <c r="Q804" s="5" t="s">
        <v>1779</v>
      </c>
      <c r="R804" s="10"/>
    </row>
    <row r="805">
      <c r="A805" s="11" t="s">
        <v>1780</v>
      </c>
      <c r="B805" s="8"/>
      <c r="C805" s="8"/>
      <c r="D805" s="9"/>
      <c r="E805" s="9"/>
      <c r="F805" s="12">
        <v>1.0</v>
      </c>
      <c r="G805" s="12">
        <v>1.0</v>
      </c>
      <c r="H805" s="12">
        <v>1.0</v>
      </c>
      <c r="I805" s="12">
        <v>1.0</v>
      </c>
      <c r="J805" s="12">
        <v>1.0</v>
      </c>
      <c r="K805" s="12">
        <v>1.0</v>
      </c>
      <c r="L805" s="2"/>
      <c r="M805" s="12">
        <v>1.0</v>
      </c>
      <c r="N805" s="12">
        <v>1.0</v>
      </c>
      <c r="O805" s="13">
        <v>1.0</v>
      </c>
      <c r="P805" s="12">
        <v>1.0</v>
      </c>
      <c r="Q805" s="5"/>
      <c r="R805" s="10">
        <f>sum(F805:K805,M805:P805)/(COUNTIF(B805:P805, 1) + (COUNTIF(B805:P805, 0)) + COUNTIF(B805:P805, 0.5))</f>
        <v>1</v>
      </c>
    </row>
    <row r="806">
      <c r="A806" s="7">
        <v>96.0</v>
      </c>
      <c r="B806" s="28">
        <v>38998.0</v>
      </c>
      <c r="C806" s="8">
        <v>26.0</v>
      </c>
      <c r="D806" s="9"/>
      <c r="E806" s="9"/>
      <c r="F806" s="1"/>
      <c r="G806" s="1"/>
      <c r="H806" s="1"/>
      <c r="I806" s="1"/>
      <c r="J806" s="1"/>
      <c r="K806" s="1"/>
      <c r="L806" s="9"/>
      <c r="M806" s="1"/>
      <c r="N806" s="1"/>
      <c r="O806" s="22"/>
      <c r="P806" s="1"/>
      <c r="Q806" s="30"/>
      <c r="R806" s="10"/>
    </row>
    <row r="807">
      <c r="A807" s="11" t="s">
        <v>1781</v>
      </c>
      <c r="B807" s="8"/>
      <c r="C807" s="8"/>
      <c r="D807" s="9"/>
      <c r="E807" s="9"/>
      <c r="F807" s="12"/>
      <c r="G807" s="12"/>
      <c r="H807" s="12"/>
      <c r="I807" s="12"/>
      <c r="J807" s="12"/>
      <c r="K807" s="12"/>
      <c r="L807" s="9"/>
      <c r="M807" s="12"/>
      <c r="N807" s="12"/>
      <c r="O807" s="22"/>
      <c r="P807" s="1"/>
      <c r="Q807" s="30"/>
      <c r="R807" s="10"/>
    </row>
    <row r="808">
      <c r="A808" s="7">
        <v>380.0</v>
      </c>
      <c r="B808" s="8">
        <v>38998.0</v>
      </c>
      <c r="C808" s="8">
        <v>30.0</v>
      </c>
      <c r="D808" s="8">
        <v>37.6533</v>
      </c>
      <c r="E808" s="8">
        <v>-119.013</v>
      </c>
      <c r="F808" s="7">
        <v>37.6533</v>
      </c>
      <c r="G808" s="7">
        <v>-119.013</v>
      </c>
      <c r="H808" s="3" t="s">
        <v>1782</v>
      </c>
      <c r="I808" s="3" t="s">
        <v>1783</v>
      </c>
      <c r="J808" s="3" t="s">
        <v>1784</v>
      </c>
      <c r="K808" s="1"/>
      <c r="L808" s="2" t="s">
        <v>1410</v>
      </c>
      <c r="M808" s="1"/>
      <c r="N808" s="1"/>
      <c r="O808" s="4" t="s">
        <v>1785</v>
      </c>
      <c r="P808" s="3" t="s">
        <v>440</v>
      </c>
      <c r="Q808" s="5" t="s">
        <v>1786</v>
      </c>
      <c r="R808" s="10"/>
    </row>
    <row r="809">
      <c r="A809" s="11" t="s">
        <v>1787</v>
      </c>
      <c r="B809" s="8"/>
      <c r="C809" s="8"/>
      <c r="D809" s="8"/>
      <c r="E809" s="8"/>
      <c r="F809" s="11">
        <v>0.0</v>
      </c>
      <c r="G809" s="11">
        <v>0.0</v>
      </c>
      <c r="H809" s="12">
        <v>1.0</v>
      </c>
      <c r="I809" s="12">
        <v>1.0</v>
      </c>
      <c r="J809" s="12">
        <v>1.0</v>
      </c>
      <c r="K809" s="12">
        <v>1.0</v>
      </c>
      <c r="L809" s="2"/>
      <c r="M809" s="12">
        <v>1.0</v>
      </c>
      <c r="N809" s="12">
        <v>1.0</v>
      </c>
      <c r="O809" s="13">
        <v>1.0</v>
      </c>
      <c r="P809" s="12">
        <v>1.0</v>
      </c>
      <c r="Q809" s="5"/>
      <c r="R809" s="10">
        <f>sum(F809:K809,M809:P809)/(COUNTIF(B809:P809, 1) + (COUNTIF(B809:P809, 0)) + COUNTIF(B809:P809, 0.5))</f>
        <v>0.8</v>
      </c>
    </row>
    <row r="810">
      <c r="A810" s="7">
        <v>233.0</v>
      </c>
      <c r="B810" s="8">
        <v>52651.0</v>
      </c>
      <c r="C810" s="8">
        <v>27.0</v>
      </c>
      <c r="D810" s="9"/>
      <c r="E810" s="9"/>
      <c r="F810" s="7">
        <v>37.805</v>
      </c>
      <c r="G810" s="7">
        <v>-122.232</v>
      </c>
      <c r="H810" s="3" t="s">
        <v>1788</v>
      </c>
      <c r="I810" s="3" t="s">
        <v>1789</v>
      </c>
      <c r="J810" s="3" t="s">
        <v>1790</v>
      </c>
      <c r="K810" s="3" t="s">
        <v>1497</v>
      </c>
      <c r="L810" s="9"/>
      <c r="M810" s="1"/>
      <c r="N810" s="1"/>
      <c r="O810" s="4" t="s">
        <v>1791</v>
      </c>
      <c r="P810" s="3" t="s">
        <v>669</v>
      </c>
      <c r="Q810" s="5" t="s">
        <v>1792</v>
      </c>
      <c r="R810" s="10"/>
    </row>
    <row r="811">
      <c r="A811" s="11" t="s">
        <v>1793</v>
      </c>
      <c r="B811" s="8"/>
      <c r="C811" s="8"/>
      <c r="D811" s="9"/>
      <c r="E811" s="9"/>
      <c r="F811" s="11">
        <v>1.0</v>
      </c>
      <c r="G811" s="11">
        <v>1.0</v>
      </c>
      <c r="H811" s="12">
        <v>1.0</v>
      </c>
      <c r="I811" s="12">
        <v>0.5</v>
      </c>
      <c r="J811" s="12">
        <v>1.0</v>
      </c>
      <c r="K811" s="12">
        <v>1.0</v>
      </c>
      <c r="L811" s="9"/>
      <c r="M811" s="12">
        <v>0.0</v>
      </c>
      <c r="N811" s="12">
        <v>0.0</v>
      </c>
      <c r="O811" s="13">
        <v>1.0</v>
      </c>
      <c r="P811" s="12">
        <v>1.0</v>
      </c>
      <c r="Q811" s="5"/>
      <c r="R811" s="10">
        <f>sum(F811:K811,M811:P811)/(COUNTIF(B811:P811, 1) + (COUNTIF(B811:P811, 0)) + COUNTIF(B811:P811, 0.5))</f>
        <v>0.75</v>
      </c>
    </row>
    <row r="812">
      <c r="A812" s="7">
        <v>234.0</v>
      </c>
      <c r="B812" s="28">
        <v>52651.0</v>
      </c>
      <c r="C812" s="8">
        <v>27.0</v>
      </c>
      <c r="D812" s="9"/>
      <c r="E812" s="9"/>
      <c r="F812" s="7">
        <v>37.7167</v>
      </c>
      <c r="G812" s="7">
        <v>-122.117</v>
      </c>
      <c r="H812" s="3" t="s">
        <v>1794</v>
      </c>
      <c r="I812" s="3" t="s">
        <v>1795</v>
      </c>
      <c r="J812" s="12" t="s">
        <v>1796</v>
      </c>
      <c r="K812" s="3" t="s">
        <v>1497</v>
      </c>
      <c r="L812" s="9"/>
      <c r="M812" s="1"/>
      <c r="N812" s="1"/>
      <c r="O812" s="4" t="s">
        <v>1791</v>
      </c>
      <c r="P812" s="3" t="s">
        <v>669</v>
      </c>
      <c r="Q812" s="5" t="s">
        <v>1797</v>
      </c>
      <c r="R812" s="10"/>
    </row>
    <row r="813">
      <c r="A813" s="11" t="s">
        <v>1798</v>
      </c>
      <c r="B813" s="8"/>
      <c r="C813" s="8"/>
      <c r="D813" s="9"/>
      <c r="E813" s="9"/>
      <c r="F813" s="11">
        <v>1.0</v>
      </c>
      <c r="G813" s="11">
        <v>1.0</v>
      </c>
      <c r="H813" s="12">
        <v>1.0</v>
      </c>
      <c r="I813" s="12">
        <v>1.0</v>
      </c>
      <c r="J813" s="12">
        <v>0.5</v>
      </c>
      <c r="K813" s="12">
        <v>1.0</v>
      </c>
      <c r="L813" s="9"/>
      <c r="M813" s="12">
        <v>0.0</v>
      </c>
      <c r="N813" s="12">
        <v>0.0</v>
      </c>
      <c r="O813" s="13">
        <v>1.0</v>
      </c>
      <c r="P813" s="12">
        <v>1.0</v>
      </c>
      <c r="Q813" s="5"/>
      <c r="R813" s="10">
        <f>sum(F813:K813,M813:P813)/(COUNTIF(B813:P813, 1) + (COUNTIF(B813:P813, 0)) + COUNTIF(B813:P813, 0.5))</f>
        <v>0.75</v>
      </c>
    </row>
    <row r="814">
      <c r="A814" s="7">
        <v>235.0</v>
      </c>
      <c r="B814" s="8">
        <v>52651.0</v>
      </c>
      <c r="C814" s="8">
        <v>27.0</v>
      </c>
      <c r="D814" s="9"/>
      <c r="E814" s="9"/>
      <c r="F814" s="7">
        <v>37.7167</v>
      </c>
      <c r="G814" s="7">
        <v>-122.117</v>
      </c>
      <c r="H814" s="1"/>
      <c r="I814" s="3" t="s">
        <v>1799</v>
      </c>
      <c r="J814" s="3" t="s">
        <v>1800</v>
      </c>
      <c r="K814" s="3" t="s">
        <v>1497</v>
      </c>
      <c r="L814" s="9"/>
      <c r="M814" s="1"/>
      <c r="N814" s="1"/>
      <c r="O814" s="4" t="s">
        <v>1791</v>
      </c>
      <c r="P814" s="3" t="s">
        <v>669</v>
      </c>
      <c r="Q814" s="5" t="s">
        <v>1801</v>
      </c>
      <c r="R814" s="10"/>
    </row>
    <row r="815">
      <c r="A815" s="11" t="s">
        <v>1802</v>
      </c>
      <c r="B815" s="8"/>
      <c r="C815" s="8"/>
      <c r="D815" s="9"/>
      <c r="E815" s="9"/>
      <c r="F815" s="11">
        <v>1.0</v>
      </c>
      <c r="G815" s="11">
        <v>1.0</v>
      </c>
      <c r="H815" s="12">
        <v>1.0</v>
      </c>
      <c r="I815" s="12">
        <v>1.0</v>
      </c>
      <c r="J815" s="12">
        <v>1.0</v>
      </c>
      <c r="K815" s="12">
        <v>1.0</v>
      </c>
      <c r="L815" s="9"/>
      <c r="M815" s="12">
        <v>0.0</v>
      </c>
      <c r="N815" s="12">
        <v>0.0</v>
      </c>
      <c r="O815" s="13">
        <v>1.0</v>
      </c>
      <c r="P815" s="12">
        <v>1.0</v>
      </c>
      <c r="Q815" s="5"/>
      <c r="R815" s="10">
        <f>sum(F815:K815,M815:P815)/(COUNTIF(B815:P815, 1) + (COUNTIF(B815:P815, 0)) + COUNTIF(B815:P815, 0.5))</f>
        <v>0.8</v>
      </c>
    </row>
    <row r="816">
      <c r="A816" s="7">
        <v>236.0</v>
      </c>
      <c r="B816" s="8">
        <v>52651.0</v>
      </c>
      <c r="C816" s="8">
        <v>27.0</v>
      </c>
      <c r="D816" s="9"/>
      <c r="E816" s="9"/>
      <c r="F816" s="7">
        <v>37.7</v>
      </c>
      <c r="G816" s="7">
        <v>-122.117</v>
      </c>
      <c r="H816" s="1"/>
      <c r="I816" s="3" t="s">
        <v>1803</v>
      </c>
      <c r="J816" s="3" t="s">
        <v>1804</v>
      </c>
      <c r="K816" s="12"/>
      <c r="L816" s="9"/>
      <c r="M816" s="1"/>
      <c r="N816" s="1"/>
      <c r="O816" s="4" t="s">
        <v>1791</v>
      </c>
      <c r="P816" s="3" t="s">
        <v>669</v>
      </c>
      <c r="Q816" s="5" t="s">
        <v>1805</v>
      </c>
      <c r="R816" s="10"/>
    </row>
    <row r="817">
      <c r="A817" s="11" t="s">
        <v>1806</v>
      </c>
      <c r="B817" s="8"/>
      <c r="C817" s="8"/>
      <c r="D817" s="9"/>
      <c r="E817" s="9"/>
      <c r="F817" s="11">
        <v>1.0</v>
      </c>
      <c r="G817" s="11">
        <v>1.0</v>
      </c>
      <c r="H817" s="12">
        <v>1.0</v>
      </c>
      <c r="I817" s="12">
        <v>1.0</v>
      </c>
      <c r="J817" s="12">
        <v>1.0</v>
      </c>
      <c r="K817" s="12">
        <v>0.0</v>
      </c>
      <c r="L817" s="9"/>
      <c r="M817" s="12">
        <v>0.0</v>
      </c>
      <c r="N817" s="12">
        <v>0.0</v>
      </c>
      <c r="O817" s="13">
        <v>1.0</v>
      </c>
      <c r="P817" s="12">
        <v>1.0</v>
      </c>
      <c r="Q817" s="5"/>
      <c r="R817" s="10">
        <f>sum(F817:K817,M817:P817)/(COUNTIF(B817:P817, 1) + (COUNTIF(B817:P817, 0)) + COUNTIF(B817:P817, 0.5))</f>
        <v>0.7</v>
      </c>
    </row>
    <row r="818">
      <c r="A818" s="7">
        <v>237.0</v>
      </c>
      <c r="B818" s="8">
        <v>52651.0</v>
      </c>
      <c r="C818" s="8">
        <v>27.0</v>
      </c>
      <c r="D818" s="9"/>
      <c r="E818" s="9"/>
      <c r="F818" s="7">
        <v>37.6667</v>
      </c>
      <c r="G818" s="7">
        <v>-121.717</v>
      </c>
      <c r="H818" s="1"/>
      <c r="I818" s="3" t="s">
        <v>1807</v>
      </c>
      <c r="J818" s="3" t="s">
        <v>1808</v>
      </c>
      <c r="K818" s="1"/>
      <c r="L818" s="9"/>
      <c r="M818" s="1"/>
      <c r="N818" s="1"/>
      <c r="O818" s="4" t="s">
        <v>1791</v>
      </c>
      <c r="P818" s="3" t="s">
        <v>669</v>
      </c>
      <c r="Q818" s="5" t="s">
        <v>1805</v>
      </c>
      <c r="R818" s="10"/>
    </row>
    <row r="819">
      <c r="A819" s="11" t="s">
        <v>1809</v>
      </c>
      <c r="B819" s="8"/>
      <c r="C819" s="8"/>
      <c r="D819" s="9"/>
      <c r="E819" s="9"/>
      <c r="F819" s="11">
        <v>1.0</v>
      </c>
      <c r="G819" s="11">
        <v>1.0</v>
      </c>
      <c r="H819" s="12">
        <v>1.0</v>
      </c>
      <c r="I819" s="12">
        <v>1.0</v>
      </c>
      <c r="J819" s="12">
        <v>0.5</v>
      </c>
      <c r="K819" s="12">
        <v>0.0</v>
      </c>
      <c r="L819" s="9"/>
      <c r="M819" s="12">
        <v>0.0</v>
      </c>
      <c r="N819" s="12">
        <v>0.0</v>
      </c>
      <c r="O819" s="13">
        <v>1.0</v>
      </c>
      <c r="P819" s="12">
        <v>1.0</v>
      </c>
      <c r="Q819" s="5"/>
      <c r="R819" s="10">
        <f>sum(F819:K819,M819:P819)/(COUNTIF(B819:P819, 1) + (COUNTIF(B819:P819, 0)) + COUNTIF(B819:P819, 0.5))</f>
        <v>0.65</v>
      </c>
    </row>
    <row r="820">
      <c r="A820" s="7">
        <v>238.0</v>
      </c>
      <c r="B820" s="8">
        <v>52651.0</v>
      </c>
      <c r="C820" s="8">
        <v>27.0</v>
      </c>
      <c r="D820" s="9"/>
      <c r="E820" s="9"/>
      <c r="F820" s="7">
        <v>37.6328</v>
      </c>
      <c r="G820" s="7">
        <v>-121.762</v>
      </c>
      <c r="H820" s="1"/>
      <c r="I820" s="3" t="s">
        <v>1810</v>
      </c>
      <c r="J820" s="3" t="s">
        <v>1811</v>
      </c>
      <c r="K820" s="1"/>
      <c r="L820" s="9"/>
      <c r="M820" s="1"/>
      <c r="N820" s="1"/>
      <c r="O820" s="4" t="s">
        <v>1791</v>
      </c>
      <c r="P820" s="3" t="s">
        <v>669</v>
      </c>
      <c r="Q820" s="5" t="s">
        <v>1812</v>
      </c>
      <c r="R820" s="10"/>
    </row>
    <row r="821">
      <c r="A821" s="11" t="s">
        <v>1813</v>
      </c>
      <c r="B821" s="8"/>
      <c r="C821" s="8"/>
      <c r="D821" s="9"/>
      <c r="E821" s="9"/>
      <c r="F821" s="11">
        <v>1.0</v>
      </c>
      <c r="G821" s="11">
        <v>1.0</v>
      </c>
      <c r="H821" s="12">
        <v>1.0</v>
      </c>
      <c r="I821" s="12">
        <v>1.0</v>
      </c>
      <c r="J821" s="12">
        <v>0.5</v>
      </c>
      <c r="K821" s="12">
        <v>0.0</v>
      </c>
      <c r="L821" s="9"/>
      <c r="M821" s="12">
        <v>0.0</v>
      </c>
      <c r="N821" s="12">
        <v>0.0</v>
      </c>
      <c r="O821" s="13">
        <v>1.0</v>
      </c>
      <c r="P821" s="12">
        <v>1.0</v>
      </c>
      <c r="Q821" s="5"/>
      <c r="R821" s="10">
        <f>sum(F821:K821,M821:P821)/(COUNTIF(B821:P821, 1) + (COUNTIF(B821:P821, 0)) + COUNTIF(B821:P821, 0.5))</f>
        <v>0.65</v>
      </c>
    </row>
    <row r="822">
      <c r="A822" s="7">
        <v>239.0</v>
      </c>
      <c r="B822" s="8">
        <v>52651.0</v>
      </c>
      <c r="C822" s="8">
        <v>27.0</v>
      </c>
      <c r="D822" s="9"/>
      <c r="E822" s="9"/>
      <c r="F822" s="7">
        <v>37.6685</v>
      </c>
      <c r="G822" s="7">
        <v>-121.629</v>
      </c>
      <c r="H822" s="1"/>
      <c r="I822" s="3" t="s">
        <v>1814</v>
      </c>
      <c r="J822" s="3" t="s">
        <v>1815</v>
      </c>
      <c r="K822" s="1"/>
      <c r="L822" s="9"/>
      <c r="M822" s="1"/>
      <c r="N822" s="1"/>
      <c r="O822" s="4" t="s">
        <v>1791</v>
      </c>
      <c r="P822" s="3" t="s">
        <v>669</v>
      </c>
      <c r="Q822" s="5" t="s">
        <v>1816</v>
      </c>
      <c r="R822" s="10"/>
    </row>
    <row r="823">
      <c r="A823" s="11" t="s">
        <v>1817</v>
      </c>
      <c r="B823" s="8"/>
      <c r="C823" s="8"/>
      <c r="D823" s="9"/>
      <c r="E823" s="9"/>
      <c r="F823" s="11">
        <v>1.0</v>
      </c>
      <c r="G823" s="11">
        <v>1.0</v>
      </c>
      <c r="H823" s="12">
        <v>1.0</v>
      </c>
      <c r="I823" s="12">
        <v>1.0</v>
      </c>
      <c r="J823" s="12">
        <v>0.5</v>
      </c>
      <c r="K823" s="12">
        <v>0.0</v>
      </c>
      <c r="L823" s="9"/>
      <c r="M823" s="12">
        <v>0.0</v>
      </c>
      <c r="N823" s="12">
        <v>0.0</v>
      </c>
      <c r="O823" s="13">
        <v>1.0</v>
      </c>
      <c r="P823" s="12">
        <v>1.0</v>
      </c>
      <c r="Q823" s="5"/>
      <c r="R823" s="10">
        <f>sum(F823:K823,M823:P823)/(COUNTIF(B823:P823, 1) + (COUNTIF(B823:P823, 0)) + COUNTIF(B823:P823, 0.5))</f>
        <v>0.65</v>
      </c>
    </row>
    <row r="824">
      <c r="A824" s="7">
        <v>15.0</v>
      </c>
      <c r="B824" s="8">
        <v>52651.0</v>
      </c>
      <c r="C824" s="8">
        <v>34.0</v>
      </c>
      <c r="D824" s="9"/>
      <c r="E824" s="9"/>
      <c r="F824" s="7">
        <v>36.12333</v>
      </c>
      <c r="G824" s="7">
        <v>-121.635</v>
      </c>
      <c r="H824" s="12" t="s">
        <v>1818</v>
      </c>
      <c r="I824" s="3" t="s">
        <v>1819</v>
      </c>
      <c r="J824" s="3" t="s">
        <v>1361</v>
      </c>
      <c r="K824" s="3" t="s">
        <v>1820</v>
      </c>
      <c r="L824" s="9"/>
      <c r="M824" s="3" t="s">
        <v>1821</v>
      </c>
      <c r="N824" s="3" t="s">
        <v>1822</v>
      </c>
      <c r="O824" s="4" t="s">
        <v>1823</v>
      </c>
      <c r="P824" s="3" t="s">
        <v>669</v>
      </c>
      <c r="Q824" s="5" t="s">
        <v>1824</v>
      </c>
      <c r="R824" s="10"/>
    </row>
    <row r="825">
      <c r="A825" s="11" t="s">
        <v>1825</v>
      </c>
      <c r="B825" s="8"/>
      <c r="C825" s="8"/>
      <c r="D825" s="9"/>
      <c r="E825" s="9"/>
      <c r="F825" s="11">
        <v>1.0</v>
      </c>
      <c r="G825" s="11">
        <v>1.0</v>
      </c>
      <c r="H825" s="12">
        <v>1.0</v>
      </c>
      <c r="I825" s="12">
        <v>1.0</v>
      </c>
      <c r="J825" s="12">
        <v>0.5</v>
      </c>
      <c r="K825" s="12">
        <v>1.0</v>
      </c>
      <c r="L825" s="9"/>
      <c r="M825" s="12">
        <v>1.0</v>
      </c>
      <c r="N825" s="12">
        <v>1.0</v>
      </c>
      <c r="O825" s="13">
        <v>1.0</v>
      </c>
      <c r="P825" s="12">
        <v>1.0</v>
      </c>
      <c r="Q825" s="5"/>
      <c r="R825" s="10">
        <f>sum(F825:K825,M825:P825)/(COUNTIF(B825:P825, 1) + (COUNTIF(B825:P825, 0)) + COUNTIF(B825:P825, 0.5))</f>
        <v>0.95</v>
      </c>
    </row>
    <row r="826">
      <c r="A826" s="7">
        <v>16.0</v>
      </c>
      <c r="B826" s="8">
        <v>52651.0</v>
      </c>
      <c r="C826" s="8">
        <v>34.0</v>
      </c>
      <c r="D826" s="9"/>
      <c r="E826" s="9"/>
      <c r="F826" s="7">
        <v>36.08353</v>
      </c>
      <c r="G826" s="7">
        <v>-121.586</v>
      </c>
      <c r="H826" s="12" t="s">
        <v>1826</v>
      </c>
      <c r="I826" s="3" t="s">
        <v>1827</v>
      </c>
      <c r="J826" s="3" t="s">
        <v>1828</v>
      </c>
      <c r="K826" s="3" t="s">
        <v>1820</v>
      </c>
      <c r="L826" s="9"/>
      <c r="M826" s="3" t="s">
        <v>1821</v>
      </c>
      <c r="N826" s="3" t="s">
        <v>1822</v>
      </c>
      <c r="O826" s="4" t="s">
        <v>1823</v>
      </c>
      <c r="P826" s="3" t="s">
        <v>669</v>
      </c>
      <c r="Q826" s="5" t="s">
        <v>1829</v>
      </c>
      <c r="R826" s="10"/>
    </row>
    <row r="827">
      <c r="A827" s="11" t="s">
        <v>1830</v>
      </c>
      <c r="B827" s="8"/>
      <c r="C827" s="8"/>
      <c r="D827" s="9"/>
      <c r="E827" s="9"/>
      <c r="F827" s="11">
        <v>1.0</v>
      </c>
      <c r="G827" s="11">
        <v>1.0</v>
      </c>
      <c r="H827" s="12">
        <v>1.0</v>
      </c>
      <c r="I827" s="12">
        <v>1.0</v>
      </c>
      <c r="J827" s="12">
        <v>0.5</v>
      </c>
      <c r="K827" s="12">
        <v>1.0</v>
      </c>
      <c r="L827" s="9"/>
      <c r="M827" s="12">
        <v>1.0</v>
      </c>
      <c r="N827" s="12">
        <v>1.0</v>
      </c>
      <c r="O827" s="13">
        <v>1.0</v>
      </c>
      <c r="P827" s="12">
        <v>1.0</v>
      </c>
      <c r="Q827" s="5"/>
      <c r="R827" s="10">
        <f>sum(F827:K827,M827:P827)/(COUNTIF(B827:P827, 1) + (COUNTIF(B827:P827, 0)) + COUNTIF(B827:P827, 0.5))</f>
        <v>0.95</v>
      </c>
    </row>
    <row r="828">
      <c r="A828" s="7">
        <v>17.0</v>
      </c>
      <c r="B828" s="28">
        <v>52651.0</v>
      </c>
      <c r="C828" s="8">
        <v>34.0</v>
      </c>
      <c r="D828" s="9"/>
      <c r="E828" s="9"/>
      <c r="F828" s="7">
        <v>36.04133</v>
      </c>
      <c r="G828" s="7">
        <v>-121.221</v>
      </c>
      <c r="H828" s="12" t="s">
        <v>1831</v>
      </c>
      <c r="I828" s="3" t="s">
        <v>1832</v>
      </c>
      <c r="J828" s="3" t="s">
        <v>1833</v>
      </c>
      <c r="K828" s="3" t="s">
        <v>1834</v>
      </c>
      <c r="L828" s="9"/>
      <c r="M828" s="3" t="s">
        <v>1835</v>
      </c>
      <c r="N828" s="3" t="s">
        <v>1836</v>
      </c>
      <c r="O828" s="4" t="s">
        <v>1837</v>
      </c>
      <c r="P828" s="3" t="s">
        <v>669</v>
      </c>
      <c r="Q828" s="5" t="s">
        <v>1838</v>
      </c>
      <c r="R828" s="10"/>
    </row>
    <row r="829">
      <c r="A829" s="11" t="s">
        <v>1839</v>
      </c>
      <c r="B829" s="8"/>
      <c r="C829" s="8"/>
      <c r="D829" s="9"/>
      <c r="E829" s="9"/>
      <c r="F829" s="11">
        <v>1.0</v>
      </c>
      <c r="G829" s="11">
        <v>1.0</v>
      </c>
      <c r="H829" s="12">
        <v>0.5</v>
      </c>
      <c r="I829" s="12">
        <v>1.0</v>
      </c>
      <c r="J829" s="12">
        <v>1.0</v>
      </c>
      <c r="K829" s="12">
        <v>0.0</v>
      </c>
      <c r="L829" s="9"/>
      <c r="M829" s="12">
        <v>0.0</v>
      </c>
      <c r="N829" s="12">
        <v>1.0</v>
      </c>
      <c r="O829" s="13">
        <v>1.0</v>
      </c>
      <c r="P829" s="12">
        <v>1.0</v>
      </c>
      <c r="Q829" s="5"/>
      <c r="R829" s="10">
        <f>sum(F829:K829,M829:P829)/(COUNTIF(B829:P829, 1) + (COUNTIF(B829:P829, 0)) + COUNTIF(B829:P829, 0.5))</f>
        <v>0.75</v>
      </c>
    </row>
    <row r="830">
      <c r="A830" s="7">
        <v>18.0</v>
      </c>
      <c r="B830" s="8">
        <v>52651.0</v>
      </c>
      <c r="C830" s="8">
        <v>34.0</v>
      </c>
      <c r="D830" s="9"/>
      <c r="E830" s="9"/>
      <c r="F830" s="7">
        <v>33.93389</v>
      </c>
      <c r="G830" s="7">
        <v>-117.797</v>
      </c>
      <c r="H830" s="12" t="s">
        <v>1840</v>
      </c>
      <c r="I830" s="3" t="s">
        <v>1841</v>
      </c>
      <c r="J830" s="3" t="s">
        <v>1842</v>
      </c>
      <c r="K830" s="3" t="s">
        <v>1834</v>
      </c>
      <c r="L830" s="9"/>
      <c r="M830" s="3" t="s">
        <v>1843</v>
      </c>
      <c r="N830" s="3" t="s">
        <v>1836</v>
      </c>
      <c r="O830" s="4" t="s">
        <v>1844</v>
      </c>
      <c r="P830" s="3" t="s">
        <v>669</v>
      </c>
      <c r="Q830" s="5" t="s">
        <v>1845</v>
      </c>
      <c r="R830" s="10"/>
    </row>
    <row r="831">
      <c r="A831" s="11" t="s">
        <v>1846</v>
      </c>
      <c r="B831" s="8"/>
      <c r="C831" s="8"/>
      <c r="D831" s="9"/>
      <c r="E831" s="9"/>
      <c r="F831" s="11">
        <v>1.0</v>
      </c>
      <c r="G831" s="11">
        <v>1.0</v>
      </c>
      <c r="H831" s="12">
        <v>1.0</v>
      </c>
      <c r="I831" s="12">
        <v>1.0</v>
      </c>
      <c r="J831" s="12">
        <v>1.0</v>
      </c>
      <c r="K831" s="12">
        <v>1.0</v>
      </c>
      <c r="L831" s="9"/>
      <c r="M831" s="12">
        <v>1.0</v>
      </c>
      <c r="N831" s="12">
        <v>1.0</v>
      </c>
      <c r="O831" s="13">
        <v>1.0</v>
      </c>
      <c r="P831" s="12">
        <v>1.0</v>
      </c>
      <c r="Q831" s="5"/>
      <c r="R831" s="10">
        <f>sum(F831:K831,M831:P831)/(COUNTIF(B831:P831, 1) + (COUNTIF(B831:P831, 0)) + COUNTIF(B831:P831, 0.5))</f>
        <v>1</v>
      </c>
    </row>
    <row r="832">
      <c r="A832" s="7">
        <v>19.0</v>
      </c>
      <c r="B832" s="8">
        <v>52651.0</v>
      </c>
      <c r="C832" s="8">
        <v>34.0</v>
      </c>
      <c r="D832" s="9"/>
      <c r="E832" s="9"/>
      <c r="F832" s="7">
        <v>33.83139</v>
      </c>
      <c r="G832" s="7">
        <v>-117.672</v>
      </c>
      <c r="H832" s="12" t="s">
        <v>1847</v>
      </c>
      <c r="I832" s="3" t="s">
        <v>1848</v>
      </c>
      <c r="J832" s="3" t="s">
        <v>1849</v>
      </c>
      <c r="K832" s="3" t="s">
        <v>1834</v>
      </c>
      <c r="L832" s="9"/>
      <c r="M832" s="3" t="s">
        <v>1835</v>
      </c>
      <c r="N832" s="3" t="s">
        <v>1836</v>
      </c>
      <c r="O832" s="4" t="s">
        <v>1844</v>
      </c>
      <c r="P832" s="3" t="s">
        <v>669</v>
      </c>
      <c r="Q832" s="5" t="s">
        <v>1845</v>
      </c>
      <c r="R832" s="10"/>
    </row>
    <row r="833">
      <c r="A833" s="11" t="s">
        <v>1850</v>
      </c>
      <c r="B833" s="8"/>
      <c r="C833" s="8"/>
      <c r="D833" s="9"/>
      <c r="E833" s="9"/>
      <c r="F833" s="11">
        <v>1.0</v>
      </c>
      <c r="G833" s="11">
        <v>1.0</v>
      </c>
      <c r="H833" s="12">
        <v>1.0</v>
      </c>
      <c r="I833" s="12">
        <v>1.0</v>
      </c>
      <c r="J833" s="12">
        <v>0.5</v>
      </c>
      <c r="K833" s="12">
        <v>1.0</v>
      </c>
      <c r="L833" s="9"/>
      <c r="M833" s="12">
        <v>1.0</v>
      </c>
      <c r="N833" s="12">
        <v>1.0</v>
      </c>
      <c r="O833" s="13">
        <v>1.0</v>
      </c>
      <c r="P833" s="12">
        <v>1.0</v>
      </c>
      <c r="Q833" s="5"/>
      <c r="R833" s="10">
        <f>sum(F833:K833,M833:P833)/(COUNTIF(B833:P833, 1) + (COUNTIF(B833:P833, 0)) + COUNTIF(B833:P833, 0.5))</f>
        <v>0.95</v>
      </c>
    </row>
    <row r="834">
      <c r="A834" s="7">
        <v>20.0</v>
      </c>
      <c r="B834" s="8">
        <v>52651.0</v>
      </c>
      <c r="C834" s="8">
        <v>34.0</v>
      </c>
      <c r="D834" s="9"/>
      <c r="E834" s="9"/>
      <c r="F834" s="7">
        <v>33.63889</v>
      </c>
      <c r="G834" s="7">
        <v>-117.405</v>
      </c>
      <c r="H834" s="12" t="s">
        <v>1851</v>
      </c>
      <c r="I834" s="3" t="s">
        <v>1852</v>
      </c>
      <c r="J834" s="3" t="s">
        <v>1853</v>
      </c>
      <c r="K834" s="3" t="s">
        <v>1834</v>
      </c>
      <c r="L834" s="9"/>
      <c r="M834" s="3" t="s">
        <v>1854</v>
      </c>
      <c r="N834" s="3" t="s">
        <v>1836</v>
      </c>
      <c r="O834" s="4" t="s">
        <v>1837</v>
      </c>
      <c r="P834" s="3" t="s">
        <v>669</v>
      </c>
      <c r="Q834" s="5" t="s">
        <v>1845</v>
      </c>
      <c r="R834" s="10"/>
    </row>
    <row r="835">
      <c r="A835" s="11" t="s">
        <v>1855</v>
      </c>
      <c r="B835" s="8"/>
      <c r="C835" s="8"/>
      <c r="D835" s="9"/>
      <c r="E835" s="9"/>
      <c r="F835" s="11">
        <v>1.0</v>
      </c>
      <c r="G835" s="11">
        <v>1.0</v>
      </c>
      <c r="H835" s="12">
        <v>1.0</v>
      </c>
      <c r="I835" s="12">
        <v>1.0</v>
      </c>
      <c r="J835" s="12">
        <v>1.0</v>
      </c>
      <c r="K835" s="12">
        <v>1.0</v>
      </c>
      <c r="L835" s="9"/>
      <c r="M835" s="12">
        <v>1.0</v>
      </c>
      <c r="N835" s="12">
        <v>1.0</v>
      </c>
      <c r="O835" s="13">
        <v>1.0</v>
      </c>
      <c r="P835" s="12">
        <v>1.0</v>
      </c>
      <c r="Q835" s="5"/>
      <c r="R835" s="10">
        <f>sum(F835:K835,M835:P835)/(COUNTIF(B835:P835, 1) + (COUNTIF(B835:P835, 0)) + COUNTIF(B835:P835, 0.5))</f>
        <v>1</v>
      </c>
    </row>
    <row r="836">
      <c r="A836" s="7">
        <v>6.0</v>
      </c>
      <c r="B836" s="8">
        <v>53419.0</v>
      </c>
      <c r="C836" s="8">
        <v>22.0</v>
      </c>
      <c r="D836" s="9"/>
      <c r="E836" s="9"/>
      <c r="F836" s="7">
        <v>40.65111</v>
      </c>
      <c r="G836" s="7">
        <v>-123.864</v>
      </c>
      <c r="H836" s="12" t="s">
        <v>1856</v>
      </c>
      <c r="I836" s="3" t="s">
        <v>1857</v>
      </c>
      <c r="J836" s="3" t="s">
        <v>1858</v>
      </c>
      <c r="K836" s="3" t="s">
        <v>1595</v>
      </c>
      <c r="L836" s="9"/>
      <c r="M836" s="3" t="s">
        <v>1859</v>
      </c>
      <c r="N836" s="3" t="s">
        <v>1860</v>
      </c>
      <c r="O836" s="4" t="s">
        <v>1861</v>
      </c>
      <c r="P836" s="3" t="s">
        <v>669</v>
      </c>
      <c r="Q836" s="5" t="s">
        <v>1862</v>
      </c>
      <c r="R836" s="10"/>
    </row>
    <row r="837">
      <c r="A837" s="11" t="s">
        <v>1863</v>
      </c>
      <c r="B837" s="8"/>
      <c r="C837" s="8"/>
      <c r="D837" s="9"/>
      <c r="E837" s="9"/>
      <c r="F837" s="11">
        <v>1.0</v>
      </c>
      <c r="G837" s="11">
        <v>1.0</v>
      </c>
      <c r="H837" s="12">
        <v>1.0</v>
      </c>
      <c r="I837" s="12">
        <v>1.0</v>
      </c>
      <c r="J837" s="12">
        <v>0.5</v>
      </c>
      <c r="K837" s="12">
        <v>1.0</v>
      </c>
      <c r="L837" s="9"/>
      <c r="M837" s="12">
        <v>1.0</v>
      </c>
      <c r="N837" s="12">
        <v>1.0</v>
      </c>
      <c r="O837" s="13">
        <v>1.0</v>
      </c>
      <c r="P837" s="12">
        <v>1.0</v>
      </c>
      <c r="Q837" s="5"/>
      <c r="R837" s="10">
        <f>sum(F837:K837,M837:P837)/(COUNTIF(B837:P837, 1) + (COUNTIF(B837:P837, 0)) + COUNTIF(B837:P837, 0.5))</f>
        <v>0.95</v>
      </c>
    </row>
    <row r="838">
      <c r="A838" s="7">
        <v>7.0</v>
      </c>
      <c r="B838" s="8">
        <v>53419.0</v>
      </c>
      <c r="C838" s="8">
        <v>22.0</v>
      </c>
      <c r="D838" s="9"/>
      <c r="E838" s="9"/>
      <c r="F838" s="7">
        <v>40.61389</v>
      </c>
      <c r="G838" s="7">
        <v>-123.851</v>
      </c>
      <c r="H838" s="12" t="s">
        <v>1864</v>
      </c>
      <c r="I838" s="3" t="s">
        <v>1865</v>
      </c>
      <c r="J838" s="3" t="s">
        <v>1866</v>
      </c>
      <c r="K838" s="3" t="s">
        <v>1595</v>
      </c>
      <c r="L838" s="9"/>
      <c r="M838" s="3" t="s">
        <v>1859</v>
      </c>
      <c r="N838" s="3" t="s">
        <v>1860</v>
      </c>
      <c r="O838" s="4" t="s">
        <v>1861</v>
      </c>
      <c r="P838" s="3" t="s">
        <v>669</v>
      </c>
      <c r="Q838" s="5" t="s">
        <v>1867</v>
      </c>
      <c r="R838" s="10"/>
    </row>
    <row r="839">
      <c r="A839" s="11" t="s">
        <v>1868</v>
      </c>
      <c r="B839" s="8"/>
      <c r="C839" s="8"/>
      <c r="D839" s="9"/>
      <c r="E839" s="9"/>
      <c r="F839" s="11">
        <v>1.0</v>
      </c>
      <c r="G839" s="11">
        <v>1.0</v>
      </c>
      <c r="H839" s="12">
        <v>1.0</v>
      </c>
      <c r="I839" s="12">
        <v>1.0</v>
      </c>
      <c r="J839" s="12">
        <v>0.5</v>
      </c>
      <c r="K839" s="12">
        <v>1.0</v>
      </c>
      <c r="L839" s="9"/>
      <c r="M839" s="12">
        <v>1.0</v>
      </c>
      <c r="N839" s="12">
        <v>1.0</v>
      </c>
      <c r="O839" s="13">
        <v>1.0</v>
      </c>
      <c r="P839" s="12">
        <v>1.0</v>
      </c>
      <c r="Q839" s="5"/>
      <c r="R839" s="10">
        <f>sum(F839:K839,M839:P839)/(COUNTIF(B839:P839, 1) + (COUNTIF(B839:P839, 0)) + COUNTIF(B839:P839, 0.5))</f>
        <v>0.95</v>
      </c>
    </row>
    <row r="840">
      <c r="A840" s="7">
        <v>8.0</v>
      </c>
      <c r="B840" s="8">
        <v>53419.0</v>
      </c>
      <c r="C840" s="8">
        <v>22.0</v>
      </c>
      <c r="D840" s="9"/>
      <c r="E840" s="9"/>
      <c r="F840" s="7">
        <v>40.68778</v>
      </c>
      <c r="G840" s="7">
        <v>-123.864</v>
      </c>
      <c r="H840" s="12" t="s">
        <v>1869</v>
      </c>
      <c r="I840" s="3" t="s">
        <v>1870</v>
      </c>
      <c r="J840" s="3" t="s">
        <v>1871</v>
      </c>
      <c r="K840" s="3" t="s">
        <v>1595</v>
      </c>
      <c r="L840" s="9"/>
      <c r="M840" s="3" t="s">
        <v>1859</v>
      </c>
      <c r="N840" s="3" t="s">
        <v>1860</v>
      </c>
      <c r="O840" s="4" t="s">
        <v>1861</v>
      </c>
      <c r="P840" s="3" t="s">
        <v>669</v>
      </c>
      <c r="Q840" s="5" t="s">
        <v>1867</v>
      </c>
      <c r="R840" s="10"/>
    </row>
    <row r="841">
      <c r="A841" s="11" t="s">
        <v>1872</v>
      </c>
      <c r="B841" s="8"/>
      <c r="C841" s="8"/>
      <c r="D841" s="9"/>
      <c r="E841" s="9"/>
      <c r="F841" s="11">
        <v>1.0</v>
      </c>
      <c r="G841" s="11">
        <v>1.0</v>
      </c>
      <c r="H841" s="12">
        <v>1.0</v>
      </c>
      <c r="I841" s="12">
        <v>1.0</v>
      </c>
      <c r="J841" s="12">
        <v>0.5</v>
      </c>
      <c r="K841" s="12">
        <v>1.0</v>
      </c>
      <c r="L841" s="9"/>
      <c r="M841" s="12">
        <v>1.0</v>
      </c>
      <c r="N841" s="12">
        <v>1.0</v>
      </c>
      <c r="O841" s="13">
        <v>1.0</v>
      </c>
      <c r="P841" s="12">
        <v>1.0</v>
      </c>
      <c r="Q841" s="5"/>
      <c r="R841" s="10">
        <f>sum(F841:K841,M841:P841)/(COUNTIF(B841:P841, 1) + (COUNTIF(B841:P841, 0)) + COUNTIF(B841:P841, 0.5))</f>
        <v>0.95</v>
      </c>
    </row>
    <row r="842">
      <c r="A842" s="7">
        <v>9.0</v>
      </c>
      <c r="B842" s="8">
        <v>53419.0</v>
      </c>
      <c r="C842" s="8">
        <v>22.0</v>
      </c>
      <c r="D842" s="8">
        <v>40.69639</v>
      </c>
      <c r="E842" s="8">
        <v>-124.274</v>
      </c>
      <c r="F842" s="1"/>
      <c r="G842" s="1"/>
      <c r="H842" s="12" t="s">
        <v>1873</v>
      </c>
      <c r="I842" s="3" t="s">
        <v>1874</v>
      </c>
      <c r="J842" s="3" t="s">
        <v>1875</v>
      </c>
      <c r="K842" s="1"/>
      <c r="L842" s="9"/>
      <c r="M842" s="3" t="s">
        <v>1876</v>
      </c>
      <c r="N842" s="3" t="s">
        <v>1877</v>
      </c>
      <c r="O842" s="4" t="s">
        <v>1861</v>
      </c>
      <c r="Q842" s="5" t="s">
        <v>18</v>
      </c>
      <c r="R842" s="10"/>
    </row>
    <row r="843">
      <c r="A843" s="11" t="s">
        <v>1878</v>
      </c>
      <c r="B843" s="8"/>
      <c r="C843" s="8"/>
      <c r="D843" s="8"/>
      <c r="E843" s="8"/>
      <c r="F843" s="12">
        <v>0.0</v>
      </c>
      <c r="G843" s="12">
        <v>0.0</v>
      </c>
      <c r="H843" s="12">
        <v>1.0</v>
      </c>
      <c r="I843" s="12">
        <v>1.0</v>
      </c>
      <c r="J843" s="12">
        <v>0.5</v>
      </c>
      <c r="K843" s="12">
        <v>0.0</v>
      </c>
      <c r="L843" s="9"/>
      <c r="M843" s="12">
        <v>0.5</v>
      </c>
      <c r="N843" s="12">
        <v>0.5</v>
      </c>
      <c r="O843" s="13">
        <v>1.0</v>
      </c>
      <c r="P843" s="13">
        <v>0.0</v>
      </c>
      <c r="Q843" s="5"/>
      <c r="R843" s="10">
        <f>sum(F843:K843,M843:P843)/(COUNTIF(B843:P843, 1) + (COUNTIF(B843:P843, 0)) + COUNTIF(B843:P843, 0.5))</f>
        <v>0.45</v>
      </c>
    </row>
    <row r="844">
      <c r="A844" s="7">
        <v>10.0</v>
      </c>
      <c r="B844" s="8">
        <v>53419.0</v>
      </c>
      <c r="C844" s="8">
        <v>22.0</v>
      </c>
      <c r="D844" s="8">
        <v>40.37444</v>
      </c>
      <c r="E844" s="8">
        <v>-123.98</v>
      </c>
      <c r="F844" s="1"/>
      <c r="G844" s="1"/>
      <c r="H844" s="12" t="s">
        <v>1879</v>
      </c>
      <c r="I844" s="3" t="s">
        <v>1880</v>
      </c>
      <c r="J844" s="3" t="s">
        <v>1881</v>
      </c>
      <c r="K844" s="1"/>
      <c r="L844" s="9"/>
      <c r="M844" s="3" t="s">
        <v>1882</v>
      </c>
      <c r="N844" s="3" t="s">
        <v>1883</v>
      </c>
      <c r="O844" s="4" t="s">
        <v>1861</v>
      </c>
      <c r="Q844" s="5" t="s">
        <v>18</v>
      </c>
      <c r="R844" s="10"/>
    </row>
    <row r="845">
      <c r="A845" s="11" t="s">
        <v>1884</v>
      </c>
      <c r="B845" s="8"/>
      <c r="C845" s="8"/>
      <c r="D845" s="8"/>
      <c r="E845" s="8"/>
      <c r="F845" s="12">
        <v>0.0</v>
      </c>
      <c r="G845" s="12">
        <v>0.0</v>
      </c>
      <c r="H845" s="12">
        <v>1.0</v>
      </c>
      <c r="I845" s="12">
        <v>0.5</v>
      </c>
      <c r="J845" s="12">
        <v>0.5</v>
      </c>
      <c r="K845" s="12">
        <v>0.0</v>
      </c>
      <c r="L845" s="9"/>
      <c r="M845" s="12">
        <v>1.0</v>
      </c>
      <c r="N845" s="12">
        <v>1.0</v>
      </c>
      <c r="O845" s="13">
        <v>1.0</v>
      </c>
      <c r="P845" s="13">
        <v>0.0</v>
      </c>
      <c r="Q845" s="5"/>
      <c r="R845" s="10">
        <f>sum(F845:K845,M845:P845)/(COUNTIF(B845:P845, 1) + (COUNTIF(B845:P845, 0)) + COUNTIF(B845:P845, 0.5))</f>
        <v>0.5</v>
      </c>
    </row>
    <row r="846">
      <c r="A846" s="7">
        <v>11.0</v>
      </c>
      <c r="B846" s="8">
        <v>53419.0</v>
      </c>
      <c r="C846" s="8">
        <v>22.0</v>
      </c>
      <c r="D846" s="8">
        <v>40.36583</v>
      </c>
      <c r="E846" s="8">
        <v>-124.342</v>
      </c>
      <c r="F846" s="1"/>
      <c r="G846" s="1"/>
      <c r="H846" s="12" t="s">
        <v>1885</v>
      </c>
      <c r="I846" s="3" t="s">
        <v>1886</v>
      </c>
      <c r="J846" s="3" t="s">
        <v>1887</v>
      </c>
      <c r="K846" s="1"/>
      <c r="L846" s="9"/>
      <c r="M846" s="3" t="s">
        <v>1888</v>
      </c>
      <c r="N846" s="3" t="s">
        <v>1889</v>
      </c>
      <c r="O846" s="4" t="s">
        <v>1861</v>
      </c>
      <c r="Q846" s="5" t="s">
        <v>18</v>
      </c>
      <c r="R846" s="10"/>
    </row>
    <row r="847">
      <c r="A847" s="11" t="s">
        <v>1890</v>
      </c>
      <c r="B847" s="8"/>
      <c r="C847" s="8"/>
      <c r="D847" s="8"/>
      <c r="E847" s="8"/>
      <c r="F847" s="12">
        <v>0.0</v>
      </c>
      <c r="G847" s="12">
        <v>0.0</v>
      </c>
      <c r="H847" s="12">
        <v>1.0</v>
      </c>
      <c r="I847" s="12">
        <v>1.0</v>
      </c>
      <c r="J847" s="12">
        <v>1.0</v>
      </c>
      <c r="K847" s="12">
        <v>0.0</v>
      </c>
      <c r="L847" s="9"/>
      <c r="M847" s="12">
        <v>0.5</v>
      </c>
      <c r="N847" s="12">
        <v>0.5</v>
      </c>
      <c r="O847" s="13">
        <v>1.0</v>
      </c>
      <c r="P847" s="13">
        <v>0.0</v>
      </c>
      <c r="Q847" s="5"/>
      <c r="R847" s="10">
        <f>sum(F847:K847,M847:P847)/(COUNTIF(B847:P847, 1) + (COUNTIF(B847:P847, 0)) + COUNTIF(B847:P847, 0.5))</f>
        <v>0.5</v>
      </c>
    </row>
    <row r="848">
      <c r="A848" s="7">
        <v>12.0</v>
      </c>
      <c r="B848" s="8">
        <v>53419.0</v>
      </c>
      <c r="C848" s="8">
        <v>22.0</v>
      </c>
      <c r="D848" s="8">
        <v>40.36167</v>
      </c>
      <c r="E848" s="8">
        <v>-124.341</v>
      </c>
      <c r="F848" s="1"/>
      <c r="G848" s="1"/>
      <c r="H848" s="12" t="s">
        <v>1891</v>
      </c>
      <c r="I848" s="3" t="s">
        <v>1892</v>
      </c>
      <c r="J848" s="3" t="s">
        <v>1887</v>
      </c>
      <c r="K848" s="1"/>
      <c r="L848" s="9"/>
      <c r="M848" s="3" t="s">
        <v>1888</v>
      </c>
      <c r="N848" s="3" t="s">
        <v>1889</v>
      </c>
      <c r="O848" s="4" t="s">
        <v>1861</v>
      </c>
      <c r="Q848" s="5" t="s">
        <v>18</v>
      </c>
      <c r="R848" s="10"/>
    </row>
    <row r="849">
      <c r="A849" s="11" t="s">
        <v>1893</v>
      </c>
      <c r="B849" s="8"/>
      <c r="C849" s="8"/>
      <c r="D849" s="8"/>
      <c r="E849" s="8"/>
      <c r="F849" s="12">
        <v>0.0</v>
      </c>
      <c r="G849" s="12">
        <v>0.0</v>
      </c>
      <c r="H849" s="12">
        <v>1.0</v>
      </c>
      <c r="I849" s="12">
        <v>1.0</v>
      </c>
      <c r="J849" s="12">
        <v>1.0</v>
      </c>
      <c r="K849" s="12">
        <v>0.0</v>
      </c>
      <c r="L849" s="9"/>
      <c r="M849" s="12">
        <v>0.5</v>
      </c>
      <c r="N849" s="12">
        <v>0.5</v>
      </c>
      <c r="O849" s="13">
        <v>1.0</v>
      </c>
      <c r="P849" s="13">
        <v>0.0</v>
      </c>
      <c r="Q849" s="5"/>
      <c r="R849" s="10">
        <f>sum(F849:K849,M849:P849)/(COUNTIF(B849:P849, 1) + (COUNTIF(B849:P849, 0)) + COUNTIF(B849:P849, 0.5))</f>
        <v>0.5</v>
      </c>
    </row>
    <row r="850">
      <c r="A850" s="7">
        <v>13.0</v>
      </c>
      <c r="B850" s="8">
        <v>53419.0</v>
      </c>
      <c r="C850" s="8">
        <v>22.0</v>
      </c>
      <c r="D850" s="8">
        <v>40.39</v>
      </c>
      <c r="E850" s="8">
        <v>-124.39</v>
      </c>
      <c r="F850" s="1"/>
      <c r="G850" s="1"/>
      <c r="H850" s="12" t="s">
        <v>1894</v>
      </c>
      <c r="I850" s="3" t="s">
        <v>1895</v>
      </c>
      <c r="J850" s="3" t="s">
        <v>1896</v>
      </c>
      <c r="K850" s="1"/>
      <c r="L850" s="9"/>
      <c r="M850" s="3" t="s">
        <v>1888</v>
      </c>
      <c r="N850" s="3" t="s">
        <v>1889</v>
      </c>
      <c r="O850" s="4" t="s">
        <v>1861</v>
      </c>
      <c r="Q850" s="5" t="s">
        <v>18</v>
      </c>
      <c r="R850" s="10"/>
    </row>
    <row r="851">
      <c r="A851" s="11" t="s">
        <v>1897</v>
      </c>
      <c r="B851" s="8"/>
      <c r="C851" s="8"/>
      <c r="D851" s="8"/>
      <c r="E851" s="8"/>
      <c r="F851" s="12">
        <v>0.0</v>
      </c>
      <c r="G851" s="12">
        <v>0.0</v>
      </c>
      <c r="H851" s="12">
        <v>0.5</v>
      </c>
      <c r="I851" s="12">
        <v>1.0</v>
      </c>
      <c r="J851" s="12">
        <v>0.5</v>
      </c>
      <c r="K851" s="12">
        <v>0.0</v>
      </c>
      <c r="L851" s="9"/>
      <c r="M851" s="12">
        <v>0.5</v>
      </c>
      <c r="N851" s="12">
        <v>0.5</v>
      </c>
      <c r="O851" s="13">
        <v>1.0</v>
      </c>
      <c r="P851" s="13">
        <v>0.0</v>
      </c>
      <c r="Q851" s="5"/>
      <c r="R851" s="10">
        <f>sum(F851:K851,M851:P851)/(COUNTIF(B851:P851, 1) + (COUNTIF(B851:P851, 0)) + COUNTIF(B851:P851, 0.5))</f>
        <v>0.4</v>
      </c>
    </row>
    <row r="852">
      <c r="A852" s="7">
        <v>14.0</v>
      </c>
      <c r="B852" s="8">
        <v>53419.0</v>
      </c>
      <c r="C852" s="8">
        <v>22.0</v>
      </c>
      <c r="D852" s="8">
        <v>-40.0</v>
      </c>
      <c r="E852" s="8">
        <v>123.8611</v>
      </c>
      <c r="F852" s="1"/>
      <c r="G852" s="1"/>
      <c r="H852" s="12" t="s">
        <v>1898</v>
      </c>
      <c r="I852" s="3" t="s">
        <v>1899</v>
      </c>
      <c r="J852" s="3" t="s">
        <v>1900</v>
      </c>
      <c r="K852" s="1"/>
      <c r="L852" s="9"/>
      <c r="M852" s="3" t="s">
        <v>1901</v>
      </c>
      <c r="N852" s="3" t="s">
        <v>1902</v>
      </c>
      <c r="O852" s="4" t="s">
        <v>1861</v>
      </c>
      <c r="Q852" s="5" t="s">
        <v>18</v>
      </c>
      <c r="R852" s="10"/>
    </row>
    <row r="853">
      <c r="A853" s="11" t="s">
        <v>1903</v>
      </c>
      <c r="B853" s="8"/>
      <c r="C853" s="8"/>
      <c r="D853" s="8"/>
      <c r="E853" s="8"/>
      <c r="F853" s="12">
        <v>0.0</v>
      </c>
      <c r="G853" s="12">
        <v>0.0</v>
      </c>
      <c r="H853" s="12">
        <v>0.5</v>
      </c>
      <c r="I853" s="12">
        <v>1.0</v>
      </c>
      <c r="J853" s="12">
        <v>0.5</v>
      </c>
      <c r="K853" s="12">
        <v>0.0</v>
      </c>
      <c r="L853" s="9"/>
      <c r="M853" s="12">
        <v>1.0</v>
      </c>
      <c r="N853" s="12">
        <v>1.0</v>
      </c>
      <c r="O853" s="13">
        <v>1.0</v>
      </c>
      <c r="P853" s="13">
        <v>0.0</v>
      </c>
      <c r="Q853" s="5"/>
      <c r="R853" s="10">
        <f>sum(F853:K853,M853:P853)/(COUNTIF(B853:P853, 1) + (COUNTIF(B853:P853, 0)) + COUNTIF(B853:P853, 0.5))</f>
        <v>0.5</v>
      </c>
    </row>
    <row r="854">
      <c r="A854" s="7">
        <v>354.0</v>
      </c>
      <c r="B854" s="8">
        <v>53419.0</v>
      </c>
      <c r="C854" s="8">
        <v>38.0</v>
      </c>
      <c r="D854" s="9"/>
      <c r="E854" s="9"/>
      <c r="F854" s="7">
        <v>40.26</v>
      </c>
      <c r="G854" s="7">
        <v>-123.04</v>
      </c>
      <c r="H854" s="12" t="s">
        <v>1904</v>
      </c>
      <c r="I854" s="3" t="s">
        <v>1905</v>
      </c>
      <c r="J854" s="3" t="s">
        <v>1906</v>
      </c>
      <c r="K854" s="3" t="s">
        <v>1907</v>
      </c>
      <c r="L854" s="9"/>
      <c r="M854" s="3" t="s">
        <v>1908</v>
      </c>
      <c r="N854" s="3" t="s">
        <v>1909</v>
      </c>
      <c r="O854" s="4" t="s">
        <v>1910</v>
      </c>
      <c r="P854" s="3" t="s">
        <v>1911</v>
      </c>
      <c r="Q854" s="5" t="s">
        <v>1912</v>
      </c>
      <c r="R854" s="10"/>
    </row>
    <row r="855">
      <c r="A855" s="11" t="s">
        <v>1913</v>
      </c>
      <c r="B855" s="8"/>
      <c r="C855" s="8"/>
      <c r="D855" s="9"/>
      <c r="E855" s="9"/>
      <c r="F855" s="11">
        <v>1.0</v>
      </c>
      <c r="G855" s="11">
        <v>1.0</v>
      </c>
      <c r="H855" s="12">
        <v>1.0</v>
      </c>
      <c r="I855" s="12">
        <v>1.0</v>
      </c>
      <c r="J855" s="12">
        <v>1.0</v>
      </c>
      <c r="K855" s="12">
        <v>1.0</v>
      </c>
      <c r="L855" s="9"/>
      <c r="M855" s="12">
        <v>1.0</v>
      </c>
      <c r="N855" s="12">
        <v>1.0</v>
      </c>
      <c r="O855" s="13">
        <v>1.0</v>
      </c>
      <c r="P855" s="12">
        <v>1.0</v>
      </c>
      <c r="Q855" s="5"/>
      <c r="R855" s="10">
        <f>sum(F855:K855,M855:P855)/(COUNTIF(B855:P855, 1) + (COUNTIF(B855:P855, 0)) + COUNTIF(B855:P855, 0.5))</f>
        <v>1</v>
      </c>
    </row>
    <row r="856">
      <c r="A856" s="7">
        <v>355.0</v>
      </c>
      <c r="B856" s="8">
        <v>53419.0</v>
      </c>
      <c r="C856" s="8">
        <v>38.0</v>
      </c>
      <c r="D856" s="9"/>
      <c r="E856" s="9"/>
      <c r="F856" s="7">
        <v>40.4728</v>
      </c>
      <c r="G856" s="7">
        <v>-122.929</v>
      </c>
      <c r="H856" s="12" t="s">
        <v>1914</v>
      </c>
      <c r="I856" s="3" t="s">
        <v>1915</v>
      </c>
      <c r="J856" s="3" t="s">
        <v>1916</v>
      </c>
      <c r="K856" s="3" t="s">
        <v>1907</v>
      </c>
      <c r="L856" s="9"/>
      <c r="M856" s="3" t="s">
        <v>1908</v>
      </c>
      <c r="N856" s="3" t="s">
        <v>1909</v>
      </c>
      <c r="O856" s="4" t="s">
        <v>1917</v>
      </c>
      <c r="P856" s="3" t="s">
        <v>1911</v>
      </c>
      <c r="Q856" s="5" t="s">
        <v>1918</v>
      </c>
      <c r="R856" s="10"/>
    </row>
    <row r="857">
      <c r="A857" s="11" t="s">
        <v>1919</v>
      </c>
      <c r="B857" s="8"/>
      <c r="C857" s="8"/>
      <c r="D857" s="9"/>
      <c r="E857" s="9"/>
      <c r="F857" s="11">
        <v>1.0</v>
      </c>
      <c r="G857" s="11">
        <v>1.0</v>
      </c>
      <c r="H857" s="12">
        <v>1.0</v>
      </c>
      <c r="I857" s="12">
        <v>1.0</v>
      </c>
      <c r="J857" s="12">
        <v>1.0</v>
      </c>
      <c r="K857" s="12">
        <v>1.0</v>
      </c>
      <c r="L857" s="9"/>
      <c r="M857" s="12">
        <v>1.0</v>
      </c>
      <c r="N857" s="12">
        <v>1.0</v>
      </c>
      <c r="O857" s="13">
        <v>1.0</v>
      </c>
      <c r="P857" s="12">
        <v>1.0</v>
      </c>
      <c r="Q857" s="5"/>
      <c r="R857" s="10">
        <f>sum(F857:K857,M857:P857)/(COUNTIF(B857:P857, 1) + (COUNTIF(B857:P857, 0)) + COUNTIF(B857:P857, 0.5))</f>
        <v>1</v>
      </c>
    </row>
    <row r="858">
      <c r="A858" s="7">
        <v>356.0</v>
      </c>
      <c r="B858" s="8">
        <v>53419.0</v>
      </c>
      <c r="C858" s="8">
        <v>38.0</v>
      </c>
      <c r="D858" s="9"/>
      <c r="E858" s="9"/>
      <c r="F858" s="7">
        <v>40.4786</v>
      </c>
      <c r="G858" s="7">
        <v>-122.931</v>
      </c>
      <c r="H858" s="12" t="s">
        <v>1920</v>
      </c>
      <c r="I858" s="3" t="s">
        <v>1921</v>
      </c>
      <c r="J858" s="3" t="s">
        <v>1922</v>
      </c>
      <c r="K858" s="3" t="s">
        <v>1907</v>
      </c>
      <c r="L858" s="9"/>
      <c r="M858" s="3" t="s">
        <v>1908</v>
      </c>
      <c r="N858" s="3" t="s">
        <v>1909</v>
      </c>
      <c r="O858" s="4" t="s">
        <v>1923</v>
      </c>
      <c r="P858" s="3" t="s">
        <v>1911</v>
      </c>
      <c r="Q858" s="5" t="s">
        <v>1924</v>
      </c>
      <c r="R858" s="10"/>
    </row>
    <row r="859">
      <c r="A859" s="11" t="s">
        <v>1925</v>
      </c>
      <c r="B859" s="8"/>
      <c r="C859" s="8"/>
      <c r="D859" s="9"/>
      <c r="E859" s="9"/>
      <c r="F859" s="11">
        <v>1.0</v>
      </c>
      <c r="G859" s="11">
        <v>1.0</v>
      </c>
      <c r="H859" s="12">
        <v>1.0</v>
      </c>
      <c r="I859" s="12">
        <v>1.0</v>
      </c>
      <c r="J859" s="12">
        <v>1.0</v>
      </c>
      <c r="K859" s="12">
        <v>1.0</v>
      </c>
      <c r="L859" s="9"/>
      <c r="M859" s="12">
        <v>1.0</v>
      </c>
      <c r="N859" s="12">
        <v>1.0</v>
      </c>
      <c r="O859" s="13">
        <v>1.0</v>
      </c>
      <c r="P859" s="12">
        <v>1.0</v>
      </c>
      <c r="Q859" s="5"/>
      <c r="R859" s="10">
        <f>sum(F859:K859,M859:P859)/(COUNTIF(B859:P859, 1) + (COUNTIF(B859:P859, 0)) + COUNTIF(B859:P859, 0.5))</f>
        <v>1</v>
      </c>
    </row>
    <row r="860">
      <c r="A860" s="7">
        <v>357.0</v>
      </c>
      <c r="B860" s="28">
        <v>53419.0</v>
      </c>
      <c r="C860" s="8">
        <v>38.0</v>
      </c>
      <c r="D860" s="9"/>
      <c r="E860" s="9"/>
      <c r="F860" s="7">
        <v>40.4056</v>
      </c>
      <c r="G860" s="7">
        <v>-123.088</v>
      </c>
      <c r="H860" s="12" t="s">
        <v>1926</v>
      </c>
      <c r="I860" s="3" t="s">
        <v>1927</v>
      </c>
      <c r="J860" s="3" t="s">
        <v>1928</v>
      </c>
      <c r="K860" s="3" t="s">
        <v>1907</v>
      </c>
      <c r="L860" s="9"/>
      <c r="M860" s="3" t="s">
        <v>1929</v>
      </c>
      <c r="N860" s="3" t="s">
        <v>1930</v>
      </c>
      <c r="O860" s="4" t="s">
        <v>1931</v>
      </c>
      <c r="P860" s="3" t="s">
        <v>1911</v>
      </c>
      <c r="Q860" s="5" t="s">
        <v>1912</v>
      </c>
      <c r="R860" s="10"/>
    </row>
    <row r="861">
      <c r="A861" s="11" t="s">
        <v>1932</v>
      </c>
      <c r="B861" s="8"/>
      <c r="C861" s="8"/>
      <c r="D861" s="9"/>
      <c r="E861" s="9"/>
      <c r="F861" s="11">
        <v>1.0</v>
      </c>
      <c r="G861" s="11">
        <v>1.0</v>
      </c>
      <c r="H861" s="12">
        <v>1.0</v>
      </c>
      <c r="I861" s="12">
        <v>1.0</v>
      </c>
      <c r="J861" s="12">
        <v>1.0</v>
      </c>
      <c r="K861" s="12">
        <v>1.0</v>
      </c>
      <c r="L861" s="9"/>
      <c r="M861" s="12">
        <v>1.0</v>
      </c>
      <c r="N861" s="12">
        <v>1.0</v>
      </c>
      <c r="O861" s="13">
        <v>1.0</v>
      </c>
      <c r="P861" s="12">
        <v>1.0</v>
      </c>
      <c r="Q861" s="5"/>
      <c r="R861" s="10">
        <f>sum(F861:K861,M861:P861)/(COUNTIF(B861:P861, 1) + (COUNTIF(B861:P861, 0)) + COUNTIF(B861:P861, 0.5))</f>
        <v>1</v>
      </c>
    </row>
    <row r="862">
      <c r="A862" s="7">
        <v>358.0</v>
      </c>
      <c r="B862" s="8">
        <v>53419.0</v>
      </c>
      <c r="C862" s="8">
        <v>38.0</v>
      </c>
      <c r="D862" s="9"/>
      <c r="E862" s="9"/>
      <c r="F862" s="7">
        <v>40.4411</v>
      </c>
      <c r="G862" s="7">
        <v>-123.262</v>
      </c>
      <c r="H862" s="12" t="s">
        <v>1933</v>
      </c>
      <c r="I862" s="3" t="s">
        <v>1934</v>
      </c>
      <c r="J862" s="3" t="s">
        <v>1935</v>
      </c>
      <c r="K862" s="3" t="s">
        <v>1907</v>
      </c>
      <c r="L862" s="9"/>
      <c r="M862" s="3" t="s">
        <v>1929</v>
      </c>
      <c r="N862" s="3" t="s">
        <v>1930</v>
      </c>
      <c r="O862" s="4" t="s">
        <v>1936</v>
      </c>
      <c r="P862" s="3" t="s">
        <v>1911</v>
      </c>
      <c r="Q862" s="5" t="s">
        <v>1937</v>
      </c>
      <c r="R862" s="10"/>
    </row>
    <row r="863">
      <c r="A863" s="11" t="s">
        <v>1938</v>
      </c>
      <c r="B863" s="8"/>
      <c r="C863" s="8"/>
      <c r="D863" s="9"/>
      <c r="E863" s="9"/>
      <c r="F863" s="11">
        <v>1.0</v>
      </c>
      <c r="G863" s="11">
        <v>1.0</v>
      </c>
      <c r="H863" s="12">
        <v>1.0</v>
      </c>
      <c r="I863" s="12">
        <v>1.0</v>
      </c>
      <c r="J863" s="12">
        <v>1.0</v>
      </c>
      <c r="K863" s="12">
        <v>1.0</v>
      </c>
      <c r="L863" s="9"/>
      <c r="M863" s="12">
        <v>1.0</v>
      </c>
      <c r="N863" s="12">
        <v>1.0</v>
      </c>
      <c r="O863" s="13">
        <v>1.0</v>
      </c>
      <c r="P863" s="12">
        <v>1.0</v>
      </c>
      <c r="Q863" s="5"/>
      <c r="R863" s="10">
        <f>sum(F863:K863,M863:P863)/(COUNTIF(B863:P863, 1) + (COUNTIF(B863:P863, 0)) + COUNTIF(B863:P863, 0.5))</f>
        <v>1</v>
      </c>
    </row>
    <row r="864">
      <c r="A864" s="7">
        <v>359.0</v>
      </c>
      <c r="B864" s="8">
        <v>53419.0</v>
      </c>
      <c r="C864" s="8">
        <v>38.0</v>
      </c>
      <c r="D864" s="9"/>
      <c r="E864" s="9"/>
      <c r="F864" s="7">
        <v>40.5164</v>
      </c>
      <c r="G864" s="7">
        <v>-122.936</v>
      </c>
      <c r="H864" s="12" t="s">
        <v>1939</v>
      </c>
      <c r="I864" s="3" t="s">
        <v>1940</v>
      </c>
      <c r="J864" s="3" t="s">
        <v>1928</v>
      </c>
      <c r="K864" s="3" t="s">
        <v>1907</v>
      </c>
      <c r="L864" s="9"/>
      <c r="M864" s="3" t="s">
        <v>1908</v>
      </c>
      <c r="N864" s="3" t="s">
        <v>1909</v>
      </c>
      <c r="O864" s="4" t="s">
        <v>1941</v>
      </c>
      <c r="P864" s="3" t="s">
        <v>1911</v>
      </c>
      <c r="Q864" s="5" t="s">
        <v>1924</v>
      </c>
      <c r="R864" s="10"/>
    </row>
    <row r="865">
      <c r="A865" s="11" t="s">
        <v>1942</v>
      </c>
      <c r="B865" s="8"/>
      <c r="C865" s="8"/>
      <c r="D865" s="9"/>
      <c r="E865" s="9"/>
      <c r="F865" s="11">
        <v>1.0</v>
      </c>
      <c r="G865" s="11">
        <v>1.0</v>
      </c>
      <c r="H865" s="12">
        <v>1.0</v>
      </c>
      <c r="I865" s="12">
        <v>1.0</v>
      </c>
      <c r="J865" s="12">
        <v>1.0</v>
      </c>
      <c r="K865" s="12">
        <v>1.0</v>
      </c>
      <c r="L865" s="9"/>
      <c r="M865" s="12">
        <v>1.0</v>
      </c>
      <c r="N865" s="12">
        <v>1.0</v>
      </c>
      <c r="O865" s="13">
        <v>1.0</v>
      </c>
      <c r="P865" s="12">
        <v>1.0</v>
      </c>
      <c r="Q865" s="5"/>
      <c r="R865" s="10">
        <f>sum(F865:K865,M865:P865)/(COUNTIF(B865:P865, 1) + (COUNTIF(B865:P865, 0)) + COUNTIF(B865:P865, 0.5))</f>
        <v>1</v>
      </c>
    </row>
    <row r="866">
      <c r="A866" s="7">
        <v>360.0</v>
      </c>
      <c r="B866" s="8">
        <v>53419.0</v>
      </c>
      <c r="C866" s="8">
        <v>38.0</v>
      </c>
      <c r="D866" s="9"/>
      <c r="E866" s="9"/>
      <c r="F866" s="1"/>
      <c r="G866" s="1"/>
      <c r="H866" s="1"/>
      <c r="I866" s="3" t="s">
        <v>1943</v>
      </c>
      <c r="J866" s="3" t="s">
        <v>1944</v>
      </c>
      <c r="K866" s="3" t="s">
        <v>1907</v>
      </c>
      <c r="L866" s="9"/>
      <c r="M866" s="3" t="s">
        <v>1908</v>
      </c>
      <c r="N866" s="3" t="s">
        <v>1909</v>
      </c>
      <c r="O866" s="4" t="s">
        <v>1945</v>
      </c>
      <c r="P866" s="3" t="s">
        <v>1911</v>
      </c>
      <c r="Q866" s="5" t="s">
        <v>18</v>
      </c>
      <c r="R866" s="10"/>
    </row>
    <row r="867">
      <c r="A867" s="11" t="s">
        <v>1946</v>
      </c>
      <c r="B867" s="8"/>
      <c r="C867" s="8"/>
      <c r="D867" s="9"/>
      <c r="E867" s="9"/>
      <c r="F867" s="12">
        <v>0.0</v>
      </c>
      <c r="G867" s="12">
        <v>0.0</v>
      </c>
      <c r="H867" s="12">
        <v>1.0</v>
      </c>
      <c r="I867" s="12">
        <v>1.0</v>
      </c>
      <c r="J867" s="12">
        <v>1.0</v>
      </c>
      <c r="K867" s="12">
        <v>1.0</v>
      </c>
      <c r="L867" s="9"/>
      <c r="M867" s="12">
        <v>1.0</v>
      </c>
      <c r="N867" s="12">
        <v>1.0</v>
      </c>
      <c r="O867" s="13">
        <v>1.0</v>
      </c>
      <c r="P867" s="12">
        <v>1.0</v>
      </c>
      <c r="Q867" s="5"/>
      <c r="R867" s="10">
        <f>sum(F867:K867,M867:P867)/(COUNTIF(B867:P867, 1) + (COUNTIF(B867:P867, 0)) + COUNTIF(B867:P867, 0.5))</f>
        <v>0.8</v>
      </c>
    </row>
    <row r="868">
      <c r="A868" s="7">
        <v>361.0</v>
      </c>
      <c r="B868" s="8">
        <v>53419.0</v>
      </c>
      <c r="C868" s="8">
        <v>38.0</v>
      </c>
      <c r="D868" s="9"/>
      <c r="E868" s="9"/>
      <c r="F868" s="7">
        <v>40.8083</v>
      </c>
      <c r="G868" s="7">
        <v>-123.195</v>
      </c>
      <c r="H868" s="12" t="s">
        <v>1947</v>
      </c>
      <c r="I868" s="3" t="s">
        <v>1948</v>
      </c>
      <c r="J868" s="3" t="s">
        <v>1949</v>
      </c>
      <c r="K868" s="3" t="s">
        <v>1907</v>
      </c>
      <c r="L868" s="9"/>
      <c r="M868" s="3" t="s">
        <v>1950</v>
      </c>
      <c r="N868" s="3" t="s">
        <v>1951</v>
      </c>
      <c r="O868" s="4" t="s">
        <v>1952</v>
      </c>
      <c r="P868" s="3" t="s">
        <v>1911</v>
      </c>
      <c r="Q868" s="5" t="s">
        <v>1953</v>
      </c>
      <c r="R868" s="10"/>
    </row>
    <row r="869">
      <c r="A869" s="11" t="s">
        <v>1954</v>
      </c>
      <c r="B869" s="8"/>
      <c r="C869" s="8"/>
      <c r="D869" s="9"/>
      <c r="E869" s="9"/>
      <c r="F869" s="11">
        <v>1.0</v>
      </c>
      <c r="G869" s="11">
        <v>1.0</v>
      </c>
      <c r="H869" s="12">
        <v>1.0</v>
      </c>
      <c r="I869" s="12">
        <v>1.0</v>
      </c>
      <c r="J869" s="12">
        <v>1.0</v>
      </c>
      <c r="K869" s="12">
        <v>1.0</v>
      </c>
      <c r="L869" s="9"/>
      <c r="M869" s="12">
        <v>1.0</v>
      </c>
      <c r="N869" s="12">
        <v>1.0</v>
      </c>
      <c r="O869" s="13">
        <v>1.0</v>
      </c>
      <c r="P869" s="12">
        <v>1.0</v>
      </c>
      <c r="Q869" s="5"/>
      <c r="R869" s="10">
        <f>sum(F869:K869,M869:P869)/(COUNTIF(B869:P869, 1) + (COUNTIF(B869:P869, 0)) + COUNTIF(B869:P869, 0.5))</f>
        <v>1</v>
      </c>
    </row>
    <row r="870">
      <c r="A870" s="7">
        <v>362.0</v>
      </c>
      <c r="B870" s="8">
        <v>53419.0</v>
      </c>
      <c r="C870" s="8">
        <v>38.0</v>
      </c>
      <c r="D870" s="9"/>
      <c r="E870" s="9"/>
      <c r="F870" s="7">
        <v>40.9156</v>
      </c>
      <c r="G870" s="7">
        <v>-122.611</v>
      </c>
      <c r="H870" s="12" t="s">
        <v>1955</v>
      </c>
      <c r="I870" s="3" t="s">
        <v>1956</v>
      </c>
      <c r="J870" s="3" t="s">
        <v>1957</v>
      </c>
      <c r="K870" s="3" t="s">
        <v>1907</v>
      </c>
      <c r="L870" s="9"/>
      <c r="M870" s="3" t="s">
        <v>1958</v>
      </c>
      <c r="N870" s="3" t="s">
        <v>1959</v>
      </c>
      <c r="O870" s="4" t="s">
        <v>1960</v>
      </c>
      <c r="P870" s="3" t="s">
        <v>1911</v>
      </c>
      <c r="Q870" s="5" t="s">
        <v>1961</v>
      </c>
      <c r="R870" s="10"/>
    </row>
    <row r="871">
      <c r="A871" s="11" t="s">
        <v>1962</v>
      </c>
      <c r="B871" s="8"/>
      <c r="C871" s="8"/>
      <c r="D871" s="9"/>
      <c r="E871" s="9"/>
      <c r="F871" s="11">
        <v>1.0</v>
      </c>
      <c r="G871" s="11">
        <v>1.0</v>
      </c>
      <c r="H871" s="12">
        <v>1.0</v>
      </c>
      <c r="I871" s="12">
        <v>1.0</v>
      </c>
      <c r="J871" s="12">
        <v>1.0</v>
      </c>
      <c r="K871" s="12">
        <v>1.0</v>
      </c>
      <c r="L871" s="9"/>
      <c r="M871" s="12">
        <v>1.0</v>
      </c>
      <c r="N871" s="12">
        <v>1.0</v>
      </c>
      <c r="O871" s="13">
        <v>1.0</v>
      </c>
      <c r="P871" s="12">
        <v>1.0</v>
      </c>
      <c r="Q871" s="5"/>
      <c r="R871" s="10">
        <f>sum(F871:K871,M871:P871)/(COUNTIF(B871:P871, 1) + (COUNTIF(B871:P871, 0)) + COUNTIF(B871:P871, 0.5))</f>
        <v>1</v>
      </c>
    </row>
    <row r="872">
      <c r="A872" s="7">
        <v>363.0</v>
      </c>
      <c r="B872" s="8">
        <v>53419.0</v>
      </c>
      <c r="C872" s="8">
        <v>38.0</v>
      </c>
      <c r="D872" s="9"/>
      <c r="E872" s="9"/>
      <c r="F872" s="7">
        <v>40.8427</v>
      </c>
      <c r="G872" s="7">
        <v>-122.665</v>
      </c>
      <c r="H872" s="12" t="s">
        <v>1963</v>
      </c>
      <c r="I872" s="3" t="s">
        <v>1964</v>
      </c>
      <c r="J872" s="3" t="s">
        <v>1965</v>
      </c>
      <c r="K872" s="3" t="s">
        <v>1907</v>
      </c>
      <c r="L872" s="9"/>
      <c r="M872" s="3" t="s">
        <v>1958</v>
      </c>
      <c r="N872" s="3" t="s">
        <v>1959</v>
      </c>
      <c r="O872" s="4" t="s">
        <v>1966</v>
      </c>
      <c r="P872" s="3" t="s">
        <v>1911</v>
      </c>
      <c r="Q872" s="5" t="s">
        <v>1967</v>
      </c>
      <c r="R872" s="10"/>
    </row>
    <row r="873">
      <c r="A873" s="11" t="s">
        <v>1968</v>
      </c>
      <c r="B873" s="8"/>
      <c r="C873" s="8"/>
      <c r="D873" s="9"/>
      <c r="E873" s="9"/>
      <c r="F873" s="11">
        <v>1.0</v>
      </c>
      <c r="G873" s="11">
        <v>1.0</v>
      </c>
      <c r="H873" s="12">
        <v>1.0</v>
      </c>
      <c r="I873" s="12">
        <v>1.0</v>
      </c>
      <c r="J873" s="12">
        <v>1.0</v>
      </c>
      <c r="K873" s="12">
        <v>1.0</v>
      </c>
      <c r="L873" s="9"/>
      <c r="M873" s="12">
        <v>1.0</v>
      </c>
      <c r="N873" s="12">
        <v>1.0</v>
      </c>
      <c r="O873" s="13">
        <v>1.0</v>
      </c>
      <c r="P873" s="12">
        <v>1.0</v>
      </c>
      <c r="Q873" s="5"/>
      <c r="R873" s="10">
        <f>sum(F873:K873,M873:P873)/(COUNTIF(B873:P873, 1) + (COUNTIF(B873:P873, 0)) + COUNTIF(B873:P873, 0.5))</f>
        <v>1</v>
      </c>
    </row>
    <row r="874">
      <c r="A874" s="7">
        <v>364.0</v>
      </c>
      <c r="B874" s="8">
        <v>53419.0</v>
      </c>
      <c r="C874" s="8">
        <v>38.0</v>
      </c>
      <c r="D874" s="9"/>
      <c r="E874" s="9"/>
      <c r="F874" s="7">
        <v>40.9621</v>
      </c>
      <c r="G874" s="7">
        <v>-122.659</v>
      </c>
      <c r="H874" s="12" t="s">
        <v>1969</v>
      </c>
      <c r="I874" s="3" t="s">
        <v>1970</v>
      </c>
      <c r="J874" s="3" t="s">
        <v>1971</v>
      </c>
      <c r="K874" s="3" t="s">
        <v>1907</v>
      </c>
      <c r="L874" s="9"/>
      <c r="M874" s="3" t="s">
        <v>1958</v>
      </c>
      <c r="N874" s="3" t="s">
        <v>1959</v>
      </c>
      <c r="O874" s="4" t="s">
        <v>1972</v>
      </c>
      <c r="P874" s="3" t="s">
        <v>1911</v>
      </c>
      <c r="Q874" s="5" t="s">
        <v>1924</v>
      </c>
      <c r="R874" s="10"/>
    </row>
    <row r="875">
      <c r="A875" s="11" t="s">
        <v>1973</v>
      </c>
      <c r="B875" s="8"/>
      <c r="C875" s="8"/>
      <c r="D875" s="9"/>
      <c r="E875" s="9"/>
      <c r="F875" s="11">
        <v>1.0</v>
      </c>
      <c r="G875" s="11">
        <v>1.0</v>
      </c>
      <c r="H875" s="12">
        <v>1.0</v>
      </c>
      <c r="I875" s="12">
        <v>1.0</v>
      </c>
      <c r="J875" s="12">
        <v>1.0</v>
      </c>
      <c r="K875" s="12">
        <v>1.0</v>
      </c>
      <c r="L875" s="9"/>
      <c r="M875" s="12">
        <v>1.0</v>
      </c>
      <c r="N875" s="12">
        <v>1.0</v>
      </c>
      <c r="O875" s="13">
        <v>1.0</v>
      </c>
      <c r="P875" s="12">
        <v>1.0</v>
      </c>
      <c r="Q875" s="5"/>
      <c r="R875" s="10">
        <f>sum(F875:K875,M875:P875)/(COUNTIF(B875:P875, 1) + (COUNTIF(B875:P875, 0)) + COUNTIF(B875:P875, 0.5))</f>
        <v>1</v>
      </c>
    </row>
    <row r="876">
      <c r="A876" s="7">
        <v>365.0</v>
      </c>
      <c r="B876" s="8">
        <v>53419.0</v>
      </c>
      <c r="C876" s="8">
        <v>38.0</v>
      </c>
      <c r="D876" s="9"/>
      <c r="E876" s="9"/>
      <c r="F876" s="7">
        <v>41.136</v>
      </c>
      <c r="G876" s="7">
        <v>-122.486</v>
      </c>
      <c r="H876" s="12" t="s">
        <v>1974</v>
      </c>
      <c r="I876" s="3" t="s">
        <v>1975</v>
      </c>
      <c r="J876" s="3" t="s">
        <v>1976</v>
      </c>
      <c r="K876" s="3" t="s">
        <v>1907</v>
      </c>
      <c r="L876" s="9"/>
      <c r="M876" s="3" t="s">
        <v>1977</v>
      </c>
      <c r="N876" s="3" t="s">
        <v>1978</v>
      </c>
      <c r="O876" s="4" t="s">
        <v>1979</v>
      </c>
      <c r="P876" s="3" t="s">
        <v>1911</v>
      </c>
      <c r="Q876" s="5" t="s">
        <v>1980</v>
      </c>
      <c r="R876" s="10"/>
    </row>
    <row r="877">
      <c r="A877" s="11" t="s">
        <v>1981</v>
      </c>
      <c r="B877" s="8"/>
      <c r="C877" s="8"/>
      <c r="D877" s="9"/>
      <c r="E877" s="9"/>
      <c r="F877" s="11">
        <v>1.0</v>
      </c>
      <c r="G877" s="11">
        <v>1.0</v>
      </c>
      <c r="H877" s="12">
        <v>1.0</v>
      </c>
      <c r="I877" s="12">
        <v>1.0</v>
      </c>
      <c r="J877" s="12">
        <v>1.0</v>
      </c>
      <c r="K877" s="12">
        <v>1.0</v>
      </c>
      <c r="L877" s="9"/>
      <c r="M877" s="12">
        <v>1.0</v>
      </c>
      <c r="N877" s="12">
        <v>1.0</v>
      </c>
      <c r="O877" s="13">
        <v>1.0</v>
      </c>
      <c r="P877" s="12">
        <v>1.0</v>
      </c>
      <c r="Q877" s="5"/>
      <c r="R877" s="10">
        <f>sum(F877:K877,M877:P877)/(COUNTIF(B877:P877, 1) + (COUNTIF(B877:P877, 0)) + COUNTIF(B877:P877, 0.5))</f>
        <v>1</v>
      </c>
    </row>
    <row r="878">
      <c r="A878" s="7">
        <v>47.0</v>
      </c>
      <c r="B878" s="8">
        <v>53419.0</v>
      </c>
      <c r="C878" s="8">
        <v>40.0</v>
      </c>
      <c r="D878" s="9"/>
      <c r="E878" s="9"/>
      <c r="F878" s="1"/>
      <c r="G878" s="1"/>
      <c r="H878" s="1"/>
      <c r="I878" s="12" t="s">
        <v>1982</v>
      </c>
      <c r="J878" s="3" t="s">
        <v>1983</v>
      </c>
      <c r="K878" s="3" t="s">
        <v>1984</v>
      </c>
      <c r="L878" s="9"/>
      <c r="M878" s="1"/>
      <c r="N878" s="1"/>
      <c r="O878" s="13" t="s">
        <v>1985</v>
      </c>
      <c r="P878" s="3" t="s">
        <v>669</v>
      </c>
      <c r="Q878" s="5" t="s">
        <v>1986</v>
      </c>
      <c r="R878" s="10"/>
    </row>
    <row r="879">
      <c r="A879" s="11" t="s">
        <v>1987</v>
      </c>
      <c r="B879" s="8"/>
      <c r="C879" s="8"/>
      <c r="D879" s="9"/>
      <c r="E879" s="9"/>
      <c r="F879" s="12">
        <v>1.0</v>
      </c>
      <c r="G879" s="12">
        <v>1.0</v>
      </c>
      <c r="H879" s="12">
        <v>1.0</v>
      </c>
      <c r="I879" s="12">
        <v>0.0</v>
      </c>
      <c r="J879" s="12">
        <v>1.0</v>
      </c>
      <c r="K879" s="12">
        <v>1.0</v>
      </c>
      <c r="L879" s="9"/>
      <c r="M879" s="12">
        <v>0.0</v>
      </c>
      <c r="N879" s="12">
        <v>0.0</v>
      </c>
      <c r="O879" s="13">
        <v>0.5</v>
      </c>
      <c r="P879" s="12">
        <v>1.0</v>
      </c>
      <c r="Q879" s="5"/>
      <c r="R879" s="10">
        <f>sum(F879:K879,M879:P879)/(COUNTIF(B879:P879, 1) + (COUNTIF(B879:P879, 0)) + COUNTIF(B879:P879, 0.5))</f>
        <v>0.65</v>
      </c>
    </row>
    <row r="880">
      <c r="A880" s="7">
        <v>129.0</v>
      </c>
      <c r="B880" s="8">
        <v>53419.0</v>
      </c>
      <c r="C880" s="8">
        <v>51.0</v>
      </c>
      <c r="D880" s="8">
        <v>38.2906</v>
      </c>
      <c r="E880" s="8">
        <v>-122.72</v>
      </c>
      <c r="F880" s="1"/>
      <c r="G880" s="1"/>
      <c r="H880" s="3" t="s">
        <v>1988</v>
      </c>
      <c r="I880" s="3" t="s">
        <v>1989</v>
      </c>
      <c r="J880" s="3" t="s">
        <v>1990</v>
      </c>
      <c r="K880" s="3" t="s">
        <v>1991</v>
      </c>
      <c r="L880" s="9"/>
      <c r="M880" s="1"/>
      <c r="N880" s="1"/>
      <c r="O880" s="22"/>
      <c r="P880" s="3" t="s">
        <v>251</v>
      </c>
      <c r="Q880" s="5" t="s">
        <v>1992</v>
      </c>
      <c r="R880" s="10"/>
    </row>
    <row r="881">
      <c r="A881" s="11" t="s">
        <v>1993</v>
      </c>
      <c r="B881" s="8"/>
      <c r="C881" s="8"/>
      <c r="D881" s="8"/>
      <c r="E881" s="8"/>
      <c r="F881" s="12">
        <v>1.0</v>
      </c>
      <c r="G881" s="12">
        <v>1.0</v>
      </c>
      <c r="H881" s="12">
        <v>0.0</v>
      </c>
      <c r="I881" s="12">
        <v>0.0</v>
      </c>
      <c r="J881" s="12">
        <v>0.0</v>
      </c>
      <c r="K881" s="12">
        <v>1.0</v>
      </c>
      <c r="L881" s="9"/>
      <c r="M881" s="12">
        <v>1.0</v>
      </c>
      <c r="N881" s="12">
        <v>1.0</v>
      </c>
      <c r="O881" s="13">
        <v>0.0</v>
      </c>
      <c r="P881" s="12">
        <v>1.0</v>
      </c>
      <c r="Q881" s="5"/>
      <c r="R881" s="10">
        <f>sum(F881:K881,M881:P881)/(COUNTIF(B881:P881, 1) + (COUNTIF(B881:P881, 0)) + COUNTIF(B881:P881, 0.5))</f>
        <v>0.6</v>
      </c>
    </row>
    <row r="882">
      <c r="A882" s="7">
        <v>130.0</v>
      </c>
      <c r="B882" s="8">
        <v>53419.0</v>
      </c>
      <c r="C882" s="8">
        <v>51.0</v>
      </c>
      <c r="D882" s="8">
        <v>39.74</v>
      </c>
      <c r="E882" s="8">
        <v>-122.26</v>
      </c>
      <c r="F882" s="1"/>
      <c r="G882" s="1"/>
      <c r="H882" s="3" t="s">
        <v>1994</v>
      </c>
      <c r="I882" s="3" t="s">
        <v>1995</v>
      </c>
      <c r="J882" s="1"/>
      <c r="K882" s="3" t="s">
        <v>1996</v>
      </c>
      <c r="L882" s="9"/>
      <c r="M882" s="1"/>
      <c r="N882" s="1"/>
      <c r="O882" s="13"/>
      <c r="P882" s="3" t="s">
        <v>251</v>
      </c>
      <c r="Q882" s="5" t="s">
        <v>1997</v>
      </c>
      <c r="R882" s="10"/>
    </row>
    <row r="883">
      <c r="A883" s="11" t="s">
        <v>1998</v>
      </c>
      <c r="B883" s="8"/>
      <c r="C883" s="8"/>
      <c r="D883" s="8"/>
      <c r="E883" s="8"/>
      <c r="F883" s="12">
        <v>1.0</v>
      </c>
      <c r="G883" s="12">
        <v>1.0</v>
      </c>
      <c r="H883" s="12">
        <v>0.0</v>
      </c>
      <c r="I883" s="12">
        <v>0.0</v>
      </c>
      <c r="J883" s="12">
        <v>1.0</v>
      </c>
      <c r="K883" s="12">
        <v>1.0</v>
      </c>
      <c r="L883" s="9"/>
      <c r="M883" s="12">
        <v>1.0</v>
      </c>
      <c r="N883" s="12">
        <v>1.0</v>
      </c>
      <c r="O883" s="13">
        <v>0.0</v>
      </c>
      <c r="P883" s="12">
        <v>1.0</v>
      </c>
      <c r="Q883" s="5"/>
      <c r="R883" s="10">
        <f>sum(F883:K883,M883:P883)/(COUNTIF(B883:P883, 1) + (COUNTIF(B883:P883, 0)) + COUNTIF(B883:P883, 0.5))</f>
        <v>0.7</v>
      </c>
    </row>
    <row r="884">
      <c r="A884" s="7">
        <v>131.0</v>
      </c>
      <c r="B884" s="8">
        <v>53419.0</v>
      </c>
      <c r="C884" s="8">
        <v>51.0</v>
      </c>
      <c r="D884" s="8">
        <v>41.0604</v>
      </c>
      <c r="E884" s="8">
        <v>-122.801</v>
      </c>
      <c r="F884" s="1"/>
      <c r="G884" s="1"/>
      <c r="H884" s="3" t="s">
        <v>1999</v>
      </c>
      <c r="I884" s="3" t="s">
        <v>2000</v>
      </c>
      <c r="J884" s="1"/>
      <c r="K884" s="3" t="s">
        <v>2001</v>
      </c>
      <c r="L884" s="9"/>
      <c r="M884" s="1"/>
      <c r="N884" s="1"/>
      <c r="O884" s="22"/>
      <c r="P884" s="3" t="s">
        <v>251</v>
      </c>
      <c r="Q884" s="5" t="s">
        <v>2002</v>
      </c>
      <c r="R884" s="10"/>
    </row>
    <row r="885">
      <c r="A885" s="11" t="s">
        <v>2003</v>
      </c>
      <c r="B885" s="8"/>
      <c r="C885" s="8"/>
      <c r="D885" s="8"/>
      <c r="E885" s="8"/>
      <c r="F885" s="12">
        <v>1.0</v>
      </c>
      <c r="G885" s="12">
        <v>1.0</v>
      </c>
      <c r="H885" s="12">
        <v>0.0</v>
      </c>
      <c r="I885" s="12">
        <v>0.0</v>
      </c>
      <c r="J885" s="12">
        <v>1.0</v>
      </c>
      <c r="K885" s="12">
        <v>1.0</v>
      </c>
      <c r="L885" s="9"/>
      <c r="M885" s="12">
        <v>1.0</v>
      </c>
      <c r="N885" s="12">
        <v>1.0</v>
      </c>
      <c r="O885" s="13">
        <v>0.0</v>
      </c>
      <c r="P885" s="12">
        <v>1.0</v>
      </c>
      <c r="Q885" s="5"/>
      <c r="R885" s="10">
        <f>sum(F885:K885,M885:P885)/(COUNTIF(B885:P885, 1) + (COUNTIF(B885:P885, 0)) + COUNTIF(B885:P885, 0.5))</f>
        <v>0.7</v>
      </c>
    </row>
    <row r="886">
      <c r="A886" s="7">
        <v>167.0</v>
      </c>
      <c r="B886" s="8">
        <v>53456.0</v>
      </c>
      <c r="C886" s="8">
        <v>42.0</v>
      </c>
      <c r="D886" s="8">
        <v>33.8325</v>
      </c>
      <c r="E886" s="8">
        <v>-117.226</v>
      </c>
      <c r="F886" s="1"/>
      <c r="G886" s="1"/>
      <c r="H886" s="3" t="s">
        <v>2004</v>
      </c>
      <c r="I886" s="3" t="s">
        <v>2005</v>
      </c>
      <c r="J886" s="3" t="s">
        <v>2006</v>
      </c>
      <c r="K886" s="1"/>
      <c r="L886" s="2" t="s">
        <v>2007</v>
      </c>
      <c r="M886" s="1"/>
      <c r="N886" s="1"/>
      <c r="O886" s="4" t="s">
        <v>2008</v>
      </c>
      <c r="P886" s="3" t="s">
        <v>251</v>
      </c>
      <c r="Q886" s="5" t="s">
        <v>2009</v>
      </c>
      <c r="R886" s="10"/>
    </row>
    <row r="887">
      <c r="A887" s="11" t="s">
        <v>2010</v>
      </c>
      <c r="B887" s="8"/>
      <c r="C887" s="8"/>
      <c r="D887" s="8"/>
      <c r="E887" s="8"/>
      <c r="F887" s="12">
        <v>1.0</v>
      </c>
      <c r="G887" s="12">
        <v>1.0</v>
      </c>
      <c r="H887" s="12">
        <v>1.0</v>
      </c>
      <c r="I887" s="12">
        <v>1.0</v>
      </c>
      <c r="J887" s="12">
        <v>1.0</v>
      </c>
      <c r="K887" s="12">
        <v>1.0</v>
      </c>
      <c r="L887" s="2"/>
      <c r="M887" s="12">
        <v>1.0</v>
      </c>
      <c r="N887" s="12">
        <v>1.0</v>
      </c>
      <c r="O887" s="13">
        <v>1.0</v>
      </c>
      <c r="P887" s="12">
        <v>1.0</v>
      </c>
      <c r="Q887" s="5"/>
      <c r="R887" s="10">
        <f>sum(F887:K887,M887:P887)/(COUNTIF(B887:P887, 1) + (COUNTIF(B887:P887, 0)) + COUNTIF(B887:P887, 0.5))</f>
        <v>1</v>
      </c>
    </row>
    <row r="888">
      <c r="A888" s="7">
        <v>305.0</v>
      </c>
      <c r="B888" s="8">
        <v>7.0210573E7</v>
      </c>
      <c r="C888" s="8">
        <v>36.0</v>
      </c>
      <c r="D888" s="8">
        <v>40.7354</v>
      </c>
      <c r="E888" s="8">
        <v>-123.125</v>
      </c>
      <c r="F888" s="1"/>
      <c r="G888" s="1"/>
      <c r="H888" s="3" t="s">
        <v>2011</v>
      </c>
      <c r="I888" s="3" t="s">
        <v>18</v>
      </c>
      <c r="J888" s="3" t="s">
        <v>2012</v>
      </c>
      <c r="K888" s="1"/>
      <c r="L888" s="2" t="s">
        <v>2013</v>
      </c>
      <c r="M888" s="3" t="s">
        <v>2014</v>
      </c>
      <c r="N888" s="3" t="s">
        <v>2015</v>
      </c>
      <c r="O888" s="4" t="s">
        <v>2016</v>
      </c>
      <c r="P888" s="3" t="s">
        <v>24</v>
      </c>
      <c r="Q888" s="5" t="s">
        <v>2017</v>
      </c>
      <c r="R888" s="10"/>
    </row>
    <row r="889">
      <c r="A889" s="11" t="s">
        <v>2018</v>
      </c>
      <c r="B889" s="8"/>
      <c r="C889" s="8"/>
      <c r="D889" s="8"/>
      <c r="E889" s="8"/>
      <c r="F889" s="12">
        <v>1.0</v>
      </c>
      <c r="G889" s="12">
        <v>1.0</v>
      </c>
      <c r="H889" s="12">
        <v>1.0</v>
      </c>
      <c r="I889" s="12">
        <v>1.0</v>
      </c>
      <c r="J889" s="12">
        <v>0.5</v>
      </c>
      <c r="K889" s="12">
        <v>1.0</v>
      </c>
      <c r="L889" s="2"/>
      <c r="M889" s="12">
        <v>1.0</v>
      </c>
      <c r="N889" s="12">
        <v>1.0</v>
      </c>
      <c r="O889" s="13">
        <v>1.0</v>
      </c>
      <c r="P889" s="12">
        <v>1.0</v>
      </c>
      <c r="Q889" s="5"/>
      <c r="R889" s="10">
        <f>sum(F889:K889,M889:P889)/(COUNTIF(B889:P889, 1) + (COUNTIF(B889:P889, 0)) + COUNTIF(B889:P889, 0.5))</f>
        <v>0.95</v>
      </c>
    </row>
    <row r="890">
      <c r="A890" s="7">
        <v>408.0</v>
      </c>
      <c r="B890" s="8">
        <v>7.0232242E7</v>
      </c>
      <c r="C890" s="8">
        <v>35.0</v>
      </c>
      <c r="D890" s="8">
        <v>60.5</v>
      </c>
      <c r="E890" s="8">
        <v>-149.2</v>
      </c>
      <c r="F890" s="1"/>
      <c r="G890" s="1"/>
      <c r="H890" s="3" t="s">
        <v>2019</v>
      </c>
      <c r="I890" s="3" t="s">
        <v>18</v>
      </c>
      <c r="J890" s="3" t="s">
        <v>2020</v>
      </c>
      <c r="K890" s="1"/>
      <c r="L890" s="2" t="s">
        <v>2021</v>
      </c>
      <c r="M890" s="23">
        <v>26876.0</v>
      </c>
      <c r="N890" s="1"/>
      <c r="O890" s="4" t="s">
        <v>2022</v>
      </c>
      <c r="P890" s="3" t="s">
        <v>24</v>
      </c>
      <c r="Q890" s="5" t="s">
        <v>2023</v>
      </c>
      <c r="R890" s="10"/>
    </row>
    <row r="891">
      <c r="A891" s="11" t="s">
        <v>2024</v>
      </c>
      <c r="B891" s="8"/>
      <c r="C891" s="8"/>
      <c r="D891" s="8"/>
      <c r="E891" s="8"/>
      <c r="F891" s="12">
        <v>1.0</v>
      </c>
      <c r="G891" s="12">
        <v>1.0</v>
      </c>
      <c r="H891" s="12">
        <v>1.0</v>
      </c>
      <c r="I891" s="12">
        <v>1.0</v>
      </c>
      <c r="J891" s="12">
        <v>1.0</v>
      </c>
      <c r="K891" s="12">
        <v>1.0</v>
      </c>
      <c r="L891" s="2"/>
      <c r="M891" s="11">
        <v>1.0</v>
      </c>
      <c r="N891" s="12">
        <v>1.0</v>
      </c>
      <c r="O891" s="13">
        <v>0.5</v>
      </c>
      <c r="P891" s="12">
        <v>1.0</v>
      </c>
      <c r="Q891" s="5"/>
      <c r="R891" s="31">
        <f>sum(F891:K891,M891:P891)/(COUNTIF(B891:P891, 1) + (COUNTIF(B891:P891, 0)) + COUNTIF(B891:P891, 0.5))</f>
        <v>0.95</v>
      </c>
    </row>
    <row r="892">
      <c r="A892" s="7"/>
      <c r="B892" s="8"/>
      <c r="C892" s="8"/>
      <c r="D892" s="9"/>
      <c r="E892" s="9"/>
      <c r="F892" s="7"/>
      <c r="G892" s="7"/>
      <c r="H892" s="7"/>
      <c r="I892" s="7"/>
      <c r="J892" s="7"/>
      <c r="K892" s="7"/>
      <c r="L892" s="9"/>
      <c r="M892" s="7"/>
      <c r="N892" s="7"/>
      <c r="O892" s="7"/>
      <c r="P892" s="7"/>
      <c r="Q892" s="5"/>
    </row>
    <row r="893">
      <c r="A893" s="32" t="s">
        <v>2025</v>
      </c>
      <c r="B893" s="33"/>
      <c r="C893" s="33"/>
      <c r="D893" s="34"/>
      <c r="E893" s="34"/>
      <c r="F893" s="35">
        <f>(countif(F2:F888, 1) + countif(F2:F888, 0.5)*0.5) / (countif(F2:F888, 1) + countif(F2:F888, 0) + countif(F2:F888, 0.5)) </f>
        <v>0.8608597285</v>
      </c>
      <c r="G893" s="35">
        <f t="shared" ref="G893:K893" si="1">(countif(G2:G890, 1) + countif(G2:G890, 0.5)*0.5) / (countif(G2:G890, 1) + countif(G2:G890, 0) + countif(G2:G890, 0.5)) </f>
        <v>0.8611738149</v>
      </c>
      <c r="H893" s="35">
        <f t="shared" si="1"/>
        <v>0.8812217195</v>
      </c>
      <c r="I893" s="35">
        <f t="shared" si="1"/>
        <v>0.8465011287</v>
      </c>
      <c r="J893" s="35">
        <f t="shared" si="1"/>
        <v>0.9401805869</v>
      </c>
      <c r="K893" s="35">
        <f t="shared" si="1"/>
        <v>0.7607223476</v>
      </c>
      <c r="L893" s="34"/>
      <c r="M893" s="35">
        <f t="shared" ref="M893:P893" si="2">(countif(M2:M890, 1) + countif(M2:M890, 0.5)*0.5) / (countif(M2:M890, 1) + countif(M2:M890, 0) + countif(M2:M890, 0.5)) </f>
        <v>0.8904109589</v>
      </c>
      <c r="N893" s="35">
        <f t="shared" si="2"/>
        <v>0.9206896552</v>
      </c>
      <c r="O893" s="35">
        <f t="shared" si="2"/>
        <v>0.8471264368</v>
      </c>
      <c r="P893" s="35">
        <f t="shared" si="2"/>
        <v>0.916091954</v>
      </c>
      <c r="Q893" s="36"/>
      <c r="S893" s="37"/>
    </row>
    <row r="894">
      <c r="B894" s="38"/>
      <c r="C894" s="38"/>
      <c r="D894" s="38"/>
      <c r="E894" s="38"/>
      <c r="L894" s="38"/>
      <c r="Q894" s="39"/>
    </row>
    <row r="895">
      <c r="B895" s="38"/>
      <c r="C895" s="38"/>
      <c r="D895" s="38"/>
      <c r="E895" s="38"/>
      <c r="L895" s="38"/>
      <c r="Q895" s="39"/>
    </row>
    <row r="896">
      <c r="B896" s="38"/>
      <c r="C896" s="38"/>
      <c r="D896" s="38"/>
      <c r="E896" s="38"/>
      <c r="L896" s="38"/>
      <c r="Q896" s="39"/>
    </row>
    <row r="897">
      <c r="B897" s="38"/>
      <c r="C897" s="38"/>
      <c r="D897" s="38"/>
      <c r="E897" s="38"/>
      <c r="L897" s="38"/>
      <c r="Q897" s="39"/>
    </row>
    <row r="898">
      <c r="B898" s="38"/>
      <c r="C898" s="38"/>
      <c r="D898" s="38"/>
      <c r="E898" s="38"/>
      <c r="L898" s="38"/>
      <c r="Q898" s="39"/>
    </row>
    <row r="899">
      <c r="B899" s="38"/>
      <c r="C899" s="38"/>
      <c r="D899" s="38"/>
      <c r="E899" s="38"/>
      <c r="L899" s="38"/>
      <c r="Q899" s="39"/>
    </row>
    <row r="900">
      <c r="B900" s="38"/>
      <c r="C900" s="38"/>
      <c r="D900" s="38"/>
      <c r="E900" s="38"/>
      <c r="L900" s="38"/>
      <c r="Q900" s="39"/>
    </row>
    <row r="901">
      <c r="B901" s="38"/>
      <c r="C901" s="38"/>
      <c r="D901" s="38"/>
      <c r="E901" s="38"/>
      <c r="L901" s="38"/>
      <c r="Q901" s="39"/>
    </row>
    <row r="902">
      <c r="B902" s="38"/>
      <c r="C902" s="38"/>
      <c r="D902" s="38"/>
      <c r="E902" s="38"/>
      <c r="L902" s="38"/>
      <c r="Q902" s="39"/>
    </row>
    <row r="903">
      <c r="B903" s="38"/>
      <c r="C903" s="38"/>
      <c r="D903" s="38"/>
      <c r="E903" s="38"/>
      <c r="L903" s="38"/>
      <c r="Q903" s="39"/>
    </row>
    <row r="904">
      <c r="B904" s="38"/>
      <c r="C904" s="38"/>
      <c r="D904" s="38"/>
      <c r="E904" s="38"/>
      <c r="L904" s="38"/>
      <c r="Q904" s="39"/>
    </row>
    <row r="905">
      <c r="B905" s="38"/>
      <c r="C905" s="38"/>
      <c r="D905" s="38"/>
      <c r="E905" s="38"/>
      <c r="L905" s="38"/>
      <c r="Q905" s="39"/>
    </row>
    <row r="906">
      <c r="B906" s="38"/>
      <c r="C906" s="38"/>
      <c r="D906" s="38"/>
      <c r="E906" s="38"/>
      <c r="L906" s="38"/>
      <c r="Q906" s="39"/>
    </row>
    <row r="907">
      <c r="B907" s="38"/>
      <c r="C907" s="38"/>
      <c r="D907" s="38"/>
      <c r="E907" s="38"/>
      <c r="L907" s="38"/>
      <c r="Q907" s="39"/>
    </row>
    <row r="908">
      <c r="B908" s="38"/>
      <c r="C908" s="38"/>
      <c r="D908" s="38"/>
      <c r="E908" s="38"/>
      <c r="L908" s="38"/>
      <c r="Q908" s="39"/>
    </row>
    <row r="909">
      <c r="B909" s="38"/>
      <c r="C909" s="38"/>
      <c r="D909" s="38"/>
      <c r="E909" s="38"/>
      <c r="L909" s="38"/>
      <c r="Q909" s="39"/>
    </row>
    <row r="910">
      <c r="B910" s="38"/>
      <c r="C910" s="38"/>
      <c r="D910" s="38"/>
      <c r="E910" s="38"/>
      <c r="L910" s="38"/>
      <c r="Q910" s="39"/>
    </row>
    <row r="911">
      <c r="B911" s="38"/>
      <c r="C911" s="38"/>
      <c r="D911" s="38"/>
      <c r="E911" s="38"/>
      <c r="L911" s="38"/>
      <c r="Q911" s="39"/>
    </row>
    <row r="912">
      <c r="B912" s="38"/>
      <c r="C912" s="38"/>
      <c r="D912" s="38"/>
      <c r="E912" s="38"/>
      <c r="L912" s="38"/>
      <c r="Q912" s="39"/>
    </row>
    <row r="913">
      <c r="B913" s="38"/>
      <c r="C913" s="38"/>
      <c r="D913" s="38"/>
      <c r="E913" s="38"/>
      <c r="L913" s="38"/>
      <c r="Q913" s="39"/>
    </row>
    <row r="914">
      <c r="B914" s="38"/>
      <c r="C914" s="38"/>
      <c r="D914" s="38"/>
      <c r="E914" s="38"/>
      <c r="L914" s="38"/>
      <c r="Q914" s="39"/>
    </row>
    <row r="915">
      <c r="B915" s="38"/>
      <c r="C915" s="38"/>
      <c r="D915" s="38"/>
      <c r="E915" s="38"/>
      <c r="L915" s="38"/>
      <c r="Q915" s="39"/>
    </row>
    <row r="916">
      <c r="B916" s="38"/>
      <c r="C916" s="38"/>
      <c r="D916" s="38"/>
      <c r="E916" s="38"/>
      <c r="L916" s="38"/>
      <c r="Q916" s="39"/>
    </row>
    <row r="917">
      <c r="B917" s="38"/>
      <c r="C917" s="38"/>
      <c r="D917" s="38"/>
      <c r="E917" s="38"/>
      <c r="L917" s="38"/>
      <c r="Q917" s="39"/>
    </row>
    <row r="918">
      <c r="B918" s="38"/>
      <c r="C918" s="38"/>
      <c r="D918" s="38"/>
      <c r="E918" s="38"/>
      <c r="L918" s="38"/>
      <c r="Q918" s="39"/>
    </row>
    <row r="919">
      <c r="B919" s="38"/>
      <c r="C919" s="38"/>
      <c r="D919" s="38"/>
      <c r="E919" s="38"/>
      <c r="L919" s="38"/>
      <c r="Q919" s="39"/>
    </row>
    <row r="920">
      <c r="B920" s="38"/>
      <c r="C920" s="38"/>
      <c r="D920" s="38"/>
      <c r="E920" s="38"/>
      <c r="L920" s="38"/>
      <c r="Q920" s="39"/>
    </row>
    <row r="921">
      <c r="B921" s="38"/>
      <c r="C921" s="38"/>
      <c r="D921" s="38"/>
      <c r="E921" s="38"/>
      <c r="L921" s="38"/>
      <c r="Q921" s="39"/>
    </row>
    <row r="922">
      <c r="B922" s="38"/>
      <c r="C922" s="38"/>
      <c r="D922" s="38"/>
      <c r="E922" s="38"/>
      <c r="L922" s="38"/>
      <c r="Q922" s="39"/>
    </row>
    <row r="923">
      <c r="B923" s="38"/>
      <c r="C923" s="38"/>
      <c r="D923" s="38"/>
      <c r="E923" s="38"/>
      <c r="L923" s="38"/>
      <c r="Q923" s="39"/>
    </row>
    <row r="924">
      <c r="B924" s="38"/>
      <c r="C924" s="38"/>
      <c r="D924" s="38"/>
      <c r="E924" s="38"/>
      <c r="L924" s="38"/>
      <c r="Q924" s="39"/>
    </row>
    <row r="925">
      <c r="B925" s="38"/>
      <c r="C925" s="38"/>
      <c r="D925" s="38"/>
      <c r="E925" s="38"/>
      <c r="L925" s="38"/>
      <c r="Q925" s="39"/>
    </row>
    <row r="926">
      <c r="B926" s="38"/>
      <c r="C926" s="38"/>
      <c r="D926" s="38"/>
      <c r="E926" s="38"/>
      <c r="L926" s="38"/>
      <c r="Q926" s="39"/>
    </row>
    <row r="927">
      <c r="B927" s="38"/>
      <c r="C927" s="38"/>
      <c r="D927" s="38"/>
      <c r="E927" s="38"/>
      <c r="L927" s="38"/>
      <c r="Q927" s="39"/>
    </row>
    <row r="928">
      <c r="B928" s="38"/>
      <c r="C928" s="38"/>
      <c r="D928" s="38"/>
      <c r="E928" s="38"/>
      <c r="L928" s="38"/>
      <c r="Q928" s="39"/>
    </row>
    <row r="929">
      <c r="B929" s="38"/>
      <c r="C929" s="38"/>
      <c r="D929" s="38"/>
      <c r="E929" s="38"/>
      <c r="L929" s="38"/>
      <c r="Q929" s="39"/>
    </row>
    <row r="930">
      <c r="B930" s="38"/>
      <c r="C930" s="38"/>
      <c r="D930" s="38"/>
      <c r="E930" s="38"/>
      <c r="L930" s="38"/>
      <c r="Q930" s="39"/>
    </row>
    <row r="931">
      <c r="B931" s="38"/>
      <c r="C931" s="38"/>
      <c r="D931" s="38"/>
      <c r="E931" s="38"/>
      <c r="L931" s="38"/>
      <c r="Q931" s="39"/>
    </row>
    <row r="932">
      <c r="B932" s="38"/>
      <c r="C932" s="38"/>
      <c r="D932" s="38"/>
      <c r="E932" s="38"/>
      <c r="L932" s="38"/>
      <c r="Q932" s="39"/>
    </row>
    <row r="933">
      <c r="B933" s="38"/>
      <c r="C933" s="38"/>
      <c r="D933" s="38"/>
      <c r="E933" s="38"/>
      <c r="L933" s="38"/>
      <c r="Q933" s="39"/>
    </row>
    <row r="934">
      <c r="B934" s="38"/>
      <c r="C934" s="38"/>
      <c r="D934" s="38"/>
      <c r="E934" s="38"/>
      <c r="L934" s="38"/>
      <c r="Q934" s="39"/>
    </row>
    <row r="935">
      <c r="B935" s="38"/>
      <c r="C935" s="38"/>
      <c r="D935" s="38"/>
      <c r="E935" s="38"/>
      <c r="L935" s="38"/>
      <c r="Q935" s="39"/>
    </row>
    <row r="936">
      <c r="B936" s="38"/>
      <c r="C936" s="38"/>
      <c r="D936" s="38"/>
      <c r="E936" s="38"/>
      <c r="L936" s="38"/>
      <c r="Q936" s="39"/>
    </row>
    <row r="937">
      <c r="B937" s="38"/>
      <c r="C937" s="38"/>
      <c r="D937" s="38"/>
      <c r="E937" s="38"/>
      <c r="L937" s="38"/>
      <c r="Q937" s="39"/>
    </row>
    <row r="938">
      <c r="B938" s="38"/>
      <c r="C938" s="38"/>
      <c r="D938" s="38"/>
      <c r="E938" s="38"/>
      <c r="L938" s="38"/>
      <c r="Q938" s="39"/>
    </row>
    <row r="939">
      <c r="B939" s="38"/>
      <c r="C939" s="38"/>
      <c r="D939" s="38"/>
      <c r="E939" s="38"/>
      <c r="L939" s="38"/>
      <c r="Q939" s="39"/>
    </row>
    <row r="940">
      <c r="B940" s="38"/>
      <c r="C940" s="38"/>
      <c r="D940" s="38"/>
      <c r="E940" s="38"/>
      <c r="L940" s="38"/>
      <c r="Q940" s="39"/>
    </row>
    <row r="941">
      <c r="B941" s="38"/>
      <c r="C941" s="38"/>
      <c r="D941" s="38"/>
      <c r="E941" s="38"/>
      <c r="L941" s="38"/>
      <c r="Q941" s="39"/>
    </row>
    <row r="942">
      <c r="B942" s="38"/>
      <c r="C942" s="38"/>
      <c r="D942" s="38"/>
      <c r="E942" s="38"/>
      <c r="L942" s="38"/>
      <c r="Q942" s="39"/>
    </row>
    <row r="943">
      <c r="B943" s="38"/>
      <c r="C943" s="38"/>
      <c r="D943" s="38"/>
      <c r="E943" s="38"/>
      <c r="L943" s="38"/>
      <c r="Q943" s="39"/>
    </row>
    <row r="944">
      <c r="B944" s="38"/>
      <c r="C944" s="38"/>
      <c r="D944" s="38"/>
      <c r="E944" s="38"/>
      <c r="L944" s="38"/>
      <c r="Q944" s="39"/>
    </row>
    <row r="945">
      <c r="B945" s="38"/>
      <c r="C945" s="38"/>
      <c r="D945" s="38"/>
      <c r="E945" s="38"/>
      <c r="L945" s="38"/>
      <c r="Q945" s="39"/>
    </row>
    <row r="946">
      <c r="B946" s="38"/>
      <c r="C946" s="38"/>
      <c r="D946" s="38"/>
      <c r="E946" s="38"/>
      <c r="L946" s="38"/>
      <c r="Q946" s="39"/>
    </row>
    <row r="947">
      <c r="B947" s="38"/>
      <c r="C947" s="38"/>
      <c r="D947" s="38"/>
      <c r="E947" s="38"/>
      <c r="L947" s="38"/>
      <c r="Q947" s="39"/>
    </row>
    <row r="948">
      <c r="B948" s="38"/>
      <c r="C948" s="38"/>
      <c r="D948" s="38"/>
      <c r="E948" s="38"/>
      <c r="L948" s="38"/>
      <c r="Q948" s="39"/>
    </row>
    <row r="949">
      <c r="B949" s="38"/>
      <c r="C949" s="38"/>
      <c r="D949" s="38"/>
      <c r="E949" s="38"/>
      <c r="L949" s="38"/>
      <c r="Q949" s="39"/>
    </row>
    <row r="950">
      <c r="B950" s="38"/>
      <c r="C950" s="38"/>
      <c r="D950" s="38"/>
      <c r="E950" s="38"/>
      <c r="L950" s="38"/>
      <c r="Q950" s="39"/>
    </row>
    <row r="951">
      <c r="B951" s="38"/>
      <c r="C951" s="38"/>
      <c r="D951" s="38"/>
      <c r="E951" s="38"/>
      <c r="L951" s="38"/>
      <c r="Q951" s="39"/>
    </row>
    <row r="952">
      <c r="B952" s="38"/>
      <c r="C952" s="38"/>
      <c r="D952" s="38"/>
      <c r="E952" s="38"/>
      <c r="L952" s="38"/>
      <c r="Q952" s="39"/>
    </row>
    <row r="953">
      <c r="B953" s="38"/>
      <c r="C953" s="38"/>
      <c r="D953" s="38"/>
      <c r="E953" s="38"/>
      <c r="L953" s="38"/>
      <c r="Q953" s="39"/>
    </row>
    <row r="954">
      <c r="B954" s="38"/>
      <c r="C954" s="38"/>
      <c r="D954" s="38"/>
      <c r="E954" s="38"/>
      <c r="L954" s="38"/>
      <c r="Q954" s="39"/>
    </row>
    <row r="955">
      <c r="B955" s="38"/>
      <c r="C955" s="38"/>
      <c r="D955" s="38"/>
      <c r="E955" s="38"/>
      <c r="L955" s="38"/>
      <c r="Q955" s="39"/>
    </row>
    <row r="956">
      <c r="B956" s="38"/>
      <c r="C956" s="38"/>
      <c r="D956" s="38"/>
      <c r="E956" s="38"/>
      <c r="L956" s="38"/>
      <c r="Q956" s="39"/>
    </row>
    <row r="957">
      <c r="B957" s="38"/>
      <c r="C957" s="38"/>
      <c r="D957" s="38"/>
      <c r="E957" s="38"/>
      <c r="L957" s="38"/>
      <c r="Q957" s="39"/>
    </row>
    <row r="958">
      <c r="B958" s="38"/>
      <c r="C958" s="38"/>
      <c r="D958" s="38"/>
      <c r="E958" s="38"/>
      <c r="L958" s="38"/>
      <c r="Q958" s="39"/>
    </row>
    <row r="959">
      <c r="B959" s="38"/>
      <c r="C959" s="38"/>
      <c r="D959" s="38"/>
      <c r="E959" s="38"/>
      <c r="L959" s="38"/>
      <c r="Q959" s="39"/>
    </row>
    <row r="960">
      <c r="B960" s="38"/>
      <c r="C960" s="38"/>
      <c r="D960" s="38"/>
      <c r="E960" s="38"/>
      <c r="L960" s="38"/>
      <c r="Q960" s="39"/>
    </row>
    <row r="961">
      <c r="B961" s="38"/>
      <c r="C961" s="38"/>
      <c r="D961" s="38"/>
      <c r="E961" s="38"/>
      <c r="L961" s="38"/>
      <c r="Q961" s="39"/>
    </row>
    <row r="962">
      <c r="B962" s="38"/>
      <c r="C962" s="38"/>
      <c r="D962" s="38"/>
      <c r="E962" s="38"/>
      <c r="L962" s="38"/>
      <c r="Q962" s="39"/>
    </row>
    <row r="963">
      <c r="B963" s="38"/>
      <c r="C963" s="38"/>
      <c r="D963" s="38"/>
      <c r="E963" s="38"/>
      <c r="L963" s="38"/>
      <c r="Q963" s="39"/>
    </row>
    <row r="964">
      <c r="B964" s="38"/>
      <c r="C964" s="38"/>
      <c r="D964" s="38"/>
      <c r="E964" s="38"/>
      <c r="L964" s="38"/>
      <c r="Q964" s="39"/>
    </row>
    <row r="965">
      <c r="B965" s="38"/>
      <c r="C965" s="38"/>
      <c r="D965" s="38"/>
      <c r="E965" s="38"/>
      <c r="L965" s="38"/>
      <c r="Q965" s="39"/>
    </row>
    <row r="966">
      <c r="B966" s="38"/>
      <c r="C966" s="38"/>
      <c r="D966" s="38"/>
      <c r="E966" s="38"/>
      <c r="L966" s="38"/>
      <c r="Q966" s="39"/>
    </row>
    <row r="967">
      <c r="B967" s="38"/>
      <c r="C967" s="38"/>
      <c r="D967" s="38"/>
      <c r="E967" s="38"/>
      <c r="L967" s="38"/>
      <c r="Q967" s="39"/>
    </row>
    <row r="968">
      <c r="B968" s="38"/>
      <c r="C968" s="38"/>
      <c r="D968" s="38"/>
      <c r="E968" s="38"/>
      <c r="L968" s="38"/>
      <c r="Q968" s="39"/>
    </row>
    <row r="969">
      <c r="B969" s="38"/>
      <c r="C969" s="38"/>
      <c r="D969" s="38"/>
      <c r="E969" s="38"/>
      <c r="L969" s="38"/>
      <c r="Q969" s="39"/>
    </row>
    <row r="970">
      <c r="B970" s="38"/>
      <c r="C970" s="38"/>
      <c r="D970" s="38"/>
      <c r="E970" s="38"/>
      <c r="L970" s="38"/>
      <c r="Q970" s="39"/>
    </row>
    <row r="971">
      <c r="B971" s="38"/>
      <c r="C971" s="38"/>
      <c r="D971" s="38"/>
      <c r="E971" s="38"/>
      <c r="L971" s="38"/>
      <c r="Q971" s="39"/>
    </row>
    <row r="972">
      <c r="B972" s="38"/>
      <c r="C972" s="38"/>
      <c r="D972" s="38"/>
      <c r="E972" s="38"/>
      <c r="L972" s="38"/>
      <c r="Q972" s="39"/>
    </row>
    <row r="973">
      <c r="B973" s="38"/>
      <c r="C973" s="38"/>
      <c r="D973" s="38"/>
      <c r="E973" s="38"/>
      <c r="L973" s="38"/>
      <c r="Q973" s="39"/>
    </row>
    <row r="974">
      <c r="B974" s="38"/>
      <c r="C974" s="38"/>
      <c r="D974" s="38"/>
      <c r="E974" s="38"/>
      <c r="L974" s="38"/>
      <c r="Q974" s="39"/>
    </row>
    <row r="975">
      <c r="B975" s="38"/>
      <c r="C975" s="38"/>
      <c r="D975" s="38"/>
      <c r="E975" s="38"/>
      <c r="L975" s="38"/>
      <c r="Q975" s="39"/>
    </row>
    <row r="976">
      <c r="B976" s="38"/>
      <c r="C976" s="38"/>
      <c r="D976" s="38"/>
      <c r="E976" s="38"/>
      <c r="L976" s="38"/>
      <c r="Q976" s="39"/>
    </row>
    <row r="977">
      <c r="B977" s="38"/>
      <c r="C977" s="38"/>
      <c r="D977" s="38"/>
      <c r="E977" s="38"/>
      <c r="L977" s="38"/>
      <c r="Q977" s="39"/>
    </row>
    <row r="978">
      <c r="B978" s="38"/>
      <c r="C978" s="38"/>
      <c r="D978" s="38"/>
      <c r="E978" s="38"/>
      <c r="L978" s="38"/>
      <c r="Q978" s="39"/>
    </row>
    <row r="979">
      <c r="B979" s="38"/>
      <c r="C979" s="38"/>
      <c r="D979" s="38"/>
      <c r="E979" s="38"/>
      <c r="L979" s="38"/>
      <c r="Q979" s="39"/>
    </row>
    <row r="980">
      <c r="B980" s="38"/>
      <c r="C980" s="38"/>
      <c r="D980" s="38"/>
      <c r="E980" s="38"/>
      <c r="L980" s="38"/>
      <c r="Q980" s="39"/>
    </row>
    <row r="981">
      <c r="B981" s="38"/>
      <c r="C981" s="38"/>
      <c r="D981" s="38"/>
      <c r="E981" s="38"/>
      <c r="L981" s="38"/>
      <c r="Q981" s="39"/>
    </row>
    <row r="982">
      <c r="B982" s="38"/>
      <c r="C982" s="38"/>
      <c r="D982" s="38"/>
      <c r="E982" s="38"/>
      <c r="L982" s="38"/>
      <c r="Q982" s="39"/>
    </row>
    <row r="983">
      <c r="B983" s="38"/>
      <c r="C983" s="38"/>
      <c r="D983" s="38"/>
      <c r="E983" s="38"/>
      <c r="L983" s="38"/>
      <c r="Q983" s="39"/>
    </row>
    <row r="984">
      <c r="B984" s="38"/>
      <c r="C984" s="38"/>
      <c r="D984" s="38"/>
      <c r="E984" s="38"/>
      <c r="L984" s="38"/>
      <c r="Q984" s="39"/>
    </row>
    <row r="985">
      <c r="B985" s="38"/>
      <c r="C985" s="38"/>
      <c r="D985" s="38"/>
      <c r="E985" s="38"/>
      <c r="L985" s="38"/>
      <c r="Q985" s="39"/>
    </row>
    <row r="986">
      <c r="B986" s="38"/>
      <c r="C986" s="38"/>
      <c r="D986" s="38"/>
      <c r="E986" s="38"/>
      <c r="L986" s="38"/>
      <c r="Q986" s="39"/>
    </row>
    <row r="987">
      <c r="B987" s="38"/>
      <c r="C987" s="38"/>
      <c r="D987" s="38"/>
      <c r="E987" s="38"/>
      <c r="L987" s="38"/>
      <c r="Q987" s="39"/>
    </row>
    <row r="988">
      <c r="B988" s="38"/>
      <c r="C988" s="38"/>
      <c r="D988" s="38"/>
      <c r="E988" s="38"/>
      <c r="L988" s="38"/>
      <c r="Q988" s="39"/>
    </row>
    <row r="989">
      <c r="B989" s="38"/>
      <c r="C989" s="38"/>
      <c r="D989" s="38"/>
      <c r="E989" s="38"/>
      <c r="L989" s="38"/>
      <c r="Q989" s="39"/>
    </row>
    <row r="990">
      <c r="B990" s="38"/>
      <c r="C990" s="38"/>
      <c r="D990" s="38"/>
      <c r="E990" s="38"/>
      <c r="L990" s="38"/>
      <c r="Q990" s="39"/>
    </row>
    <row r="991">
      <c r="B991" s="38"/>
      <c r="C991" s="38"/>
      <c r="D991" s="38"/>
      <c r="E991" s="38"/>
      <c r="L991" s="38"/>
      <c r="Q991" s="39"/>
    </row>
    <row r="992">
      <c r="B992" s="38"/>
      <c r="C992" s="38"/>
      <c r="D992" s="38"/>
      <c r="E992" s="38"/>
      <c r="L992" s="38"/>
      <c r="Q992" s="39"/>
    </row>
    <row r="993">
      <c r="B993" s="38"/>
      <c r="C993" s="38"/>
      <c r="D993" s="38"/>
      <c r="E993" s="38"/>
      <c r="L993" s="38"/>
      <c r="Q993" s="39"/>
    </row>
    <row r="994">
      <c r="B994" s="38"/>
      <c r="C994" s="38"/>
      <c r="D994" s="38"/>
      <c r="E994" s="38"/>
      <c r="L994" s="38"/>
      <c r="Q994" s="39"/>
    </row>
    <row r="995">
      <c r="B995" s="38"/>
      <c r="C995" s="38"/>
      <c r="D995" s="38"/>
      <c r="E995" s="38"/>
      <c r="L995" s="38"/>
      <c r="Q995" s="39"/>
    </row>
    <row r="996">
      <c r="B996" s="38"/>
      <c r="C996" s="38"/>
      <c r="D996" s="38"/>
      <c r="E996" s="38"/>
      <c r="L996" s="38"/>
      <c r="Q996" s="39"/>
    </row>
    <row r="997">
      <c r="B997" s="38"/>
      <c r="C997" s="38"/>
      <c r="D997" s="38"/>
      <c r="E997" s="38"/>
      <c r="L997" s="38"/>
      <c r="Q997" s="39"/>
    </row>
    <row r="998">
      <c r="B998" s="38"/>
      <c r="C998" s="38"/>
      <c r="D998" s="38"/>
      <c r="E998" s="38"/>
      <c r="L998" s="38"/>
      <c r="Q998" s="39"/>
    </row>
    <row r="999">
      <c r="B999" s="38"/>
      <c r="C999" s="38"/>
      <c r="D999" s="38"/>
      <c r="E999" s="38"/>
      <c r="L999" s="38"/>
      <c r="Q999" s="39"/>
    </row>
    <row r="1000">
      <c r="B1000" s="38"/>
      <c r="C1000" s="38"/>
      <c r="D1000" s="38"/>
      <c r="E1000" s="38"/>
      <c r="L1000" s="38"/>
      <c r="Q1000" s="39"/>
    </row>
    <row r="1001">
      <c r="B1001" s="38"/>
      <c r="C1001" s="38"/>
      <c r="D1001" s="38"/>
      <c r="E1001" s="38"/>
      <c r="L1001" s="38"/>
      <c r="Q1001" s="39"/>
    </row>
    <row r="1002">
      <c r="B1002" s="38"/>
      <c r="C1002" s="38"/>
      <c r="D1002" s="38"/>
      <c r="E1002" s="38"/>
      <c r="L1002" s="38"/>
      <c r="Q1002" s="39"/>
    </row>
    <row r="1003">
      <c r="B1003" s="38"/>
      <c r="C1003" s="38"/>
      <c r="D1003" s="38"/>
      <c r="E1003" s="38"/>
      <c r="L1003" s="38"/>
      <c r="Q1003" s="39"/>
    </row>
    <row r="1004">
      <c r="B1004" s="38"/>
      <c r="C1004" s="38"/>
      <c r="D1004" s="38"/>
      <c r="E1004" s="38"/>
      <c r="L1004" s="38"/>
      <c r="Q1004" s="39"/>
    </row>
    <row r="1005">
      <c r="B1005" s="38"/>
      <c r="C1005" s="38"/>
      <c r="D1005" s="38"/>
      <c r="E1005" s="38"/>
      <c r="L1005" s="38"/>
      <c r="Q1005" s="39"/>
    </row>
    <row r="1006">
      <c r="B1006" s="38"/>
      <c r="C1006" s="38"/>
      <c r="D1006" s="38"/>
      <c r="E1006" s="38"/>
      <c r="L1006" s="38"/>
      <c r="Q1006" s="39"/>
    </row>
    <row r="1007">
      <c r="B1007" s="38"/>
      <c r="C1007" s="38"/>
      <c r="D1007" s="38"/>
      <c r="E1007" s="38"/>
      <c r="L1007" s="38"/>
      <c r="Q1007" s="39"/>
    </row>
    <row r="1008">
      <c r="B1008" s="38"/>
      <c r="C1008" s="38"/>
      <c r="D1008" s="38"/>
      <c r="E1008" s="38"/>
      <c r="L1008" s="38"/>
      <c r="Q1008" s="39"/>
    </row>
    <row r="1009">
      <c r="B1009" s="38"/>
      <c r="C1009" s="38"/>
      <c r="D1009" s="38"/>
      <c r="E1009" s="38"/>
      <c r="L1009" s="38"/>
      <c r="Q1009" s="39"/>
    </row>
    <row r="1010">
      <c r="B1010" s="38"/>
      <c r="C1010" s="38"/>
      <c r="D1010" s="38"/>
      <c r="E1010" s="38"/>
      <c r="L1010" s="38"/>
      <c r="Q1010" s="39"/>
    </row>
    <row r="1011">
      <c r="B1011" s="38"/>
      <c r="C1011" s="38"/>
      <c r="D1011" s="38"/>
      <c r="E1011" s="38"/>
      <c r="L1011" s="38"/>
      <c r="Q1011" s="39"/>
    </row>
    <row r="1012">
      <c r="B1012" s="38"/>
      <c r="C1012" s="38"/>
      <c r="D1012" s="38"/>
      <c r="E1012" s="38"/>
      <c r="L1012" s="38"/>
      <c r="Q1012" s="39"/>
    </row>
    <row r="1013">
      <c r="B1013" s="38"/>
      <c r="C1013" s="38"/>
      <c r="D1013" s="38"/>
      <c r="E1013" s="38"/>
      <c r="L1013" s="38"/>
      <c r="Q1013" s="39"/>
    </row>
    <row r="1014">
      <c r="B1014" s="38"/>
      <c r="C1014" s="38"/>
      <c r="D1014" s="38"/>
      <c r="E1014" s="38"/>
      <c r="L1014" s="38"/>
      <c r="Q1014" s="39"/>
    </row>
    <row r="1015">
      <c r="B1015" s="38"/>
      <c r="C1015" s="38"/>
      <c r="D1015" s="38"/>
      <c r="E1015" s="38"/>
      <c r="L1015" s="38"/>
      <c r="Q1015" s="39"/>
    </row>
    <row r="1016">
      <c r="B1016" s="38"/>
      <c r="C1016" s="38"/>
      <c r="D1016" s="38"/>
      <c r="E1016" s="38"/>
      <c r="L1016" s="38"/>
      <c r="Q1016" s="39"/>
    </row>
    <row r="1017">
      <c r="B1017" s="38"/>
      <c r="C1017" s="38"/>
      <c r="D1017" s="38"/>
      <c r="E1017" s="38"/>
      <c r="L1017" s="38"/>
      <c r="Q1017" s="39"/>
    </row>
    <row r="1018">
      <c r="B1018" s="38"/>
      <c r="C1018" s="38"/>
      <c r="D1018" s="38"/>
      <c r="E1018" s="38"/>
      <c r="L1018" s="38"/>
      <c r="Q1018" s="39"/>
    </row>
    <row r="1019">
      <c r="B1019" s="38"/>
      <c r="C1019" s="38"/>
      <c r="D1019" s="38"/>
      <c r="E1019" s="38"/>
      <c r="L1019" s="38"/>
      <c r="Q1019" s="39"/>
    </row>
    <row r="1020">
      <c r="B1020" s="38"/>
      <c r="C1020" s="38"/>
      <c r="D1020" s="38"/>
      <c r="E1020" s="38"/>
      <c r="L1020" s="38"/>
      <c r="Q1020" s="39"/>
    </row>
    <row r="1021">
      <c r="B1021" s="38"/>
      <c r="C1021" s="38"/>
      <c r="D1021" s="38"/>
      <c r="E1021" s="38"/>
      <c r="L1021" s="38"/>
      <c r="Q1021" s="39"/>
    </row>
    <row r="1022">
      <c r="B1022" s="38"/>
      <c r="C1022" s="38"/>
      <c r="D1022" s="38"/>
      <c r="E1022" s="38"/>
      <c r="L1022" s="38"/>
      <c r="Q1022" s="39"/>
    </row>
    <row r="1023">
      <c r="B1023" s="38"/>
      <c r="C1023" s="38"/>
      <c r="D1023" s="38"/>
      <c r="E1023" s="38"/>
      <c r="L1023" s="38"/>
      <c r="Q1023" s="39"/>
    </row>
    <row r="1024">
      <c r="B1024" s="38"/>
      <c r="C1024" s="38"/>
      <c r="D1024" s="38"/>
      <c r="E1024" s="38"/>
      <c r="L1024" s="38"/>
      <c r="Q1024" s="39"/>
    </row>
    <row r="1025">
      <c r="B1025" s="38"/>
      <c r="C1025" s="38"/>
      <c r="D1025" s="38"/>
      <c r="E1025" s="38"/>
      <c r="L1025" s="38"/>
      <c r="Q1025" s="39"/>
    </row>
    <row r="1026">
      <c r="B1026" s="38"/>
      <c r="C1026" s="38"/>
      <c r="D1026" s="38"/>
      <c r="E1026" s="38"/>
      <c r="L1026" s="38"/>
      <c r="Q1026" s="39"/>
    </row>
    <row r="1027">
      <c r="B1027" s="38"/>
      <c r="C1027" s="38"/>
      <c r="D1027" s="38"/>
      <c r="E1027" s="38"/>
      <c r="L1027" s="38"/>
      <c r="Q1027" s="39"/>
    </row>
    <row r="1028">
      <c r="B1028" s="38"/>
      <c r="C1028" s="38"/>
      <c r="D1028" s="38"/>
      <c r="E1028" s="38"/>
      <c r="L1028" s="38"/>
      <c r="Q1028" s="39"/>
    </row>
    <row r="1029">
      <c r="B1029" s="38"/>
      <c r="C1029" s="38"/>
      <c r="D1029" s="38"/>
      <c r="E1029" s="38"/>
      <c r="L1029" s="38"/>
      <c r="Q1029" s="39"/>
    </row>
    <row r="1030">
      <c r="B1030" s="38"/>
      <c r="C1030" s="38"/>
      <c r="D1030" s="38"/>
      <c r="E1030" s="38"/>
      <c r="L1030" s="38"/>
      <c r="Q1030" s="39"/>
    </row>
    <row r="1031">
      <c r="B1031" s="38"/>
      <c r="C1031" s="38"/>
      <c r="D1031" s="38"/>
      <c r="E1031" s="38"/>
      <c r="L1031" s="38"/>
      <c r="Q1031" s="39"/>
    </row>
    <row r="1032">
      <c r="B1032" s="38"/>
      <c r="C1032" s="38"/>
      <c r="D1032" s="38"/>
      <c r="E1032" s="38"/>
      <c r="L1032" s="38"/>
      <c r="Q1032" s="39"/>
    </row>
    <row r="1033">
      <c r="B1033" s="38"/>
      <c r="C1033" s="38"/>
      <c r="D1033" s="38"/>
      <c r="E1033" s="38"/>
      <c r="L1033" s="38"/>
      <c r="Q1033" s="39"/>
    </row>
    <row r="1034">
      <c r="B1034" s="38"/>
      <c r="C1034" s="38"/>
      <c r="D1034" s="38"/>
      <c r="E1034" s="38"/>
      <c r="L1034" s="38"/>
      <c r="Q1034" s="39"/>
    </row>
    <row r="1035">
      <c r="B1035" s="38"/>
      <c r="C1035" s="38"/>
      <c r="D1035" s="38"/>
      <c r="E1035" s="38"/>
      <c r="L1035" s="38"/>
      <c r="Q1035" s="39"/>
    </row>
    <row r="1036">
      <c r="B1036" s="38"/>
      <c r="C1036" s="38"/>
      <c r="D1036" s="38"/>
      <c r="E1036" s="38"/>
      <c r="L1036" s="38"/>
      <c r="Q1036" s="39"/>
    </row>
    <row r="1037">
      <c r="B1037" s="38"/>
      <c r="C1037" s="38"/>
      <c r="D1037" s="38"/>
      <c r="E1037" s="38"/>
      <c r="L1037" s="38"/>
      <c r="Q1037" s="39"/>
    </row>
    <row r="1038">
      <c r="B1038" s="38"/>
      <c r="C1038" s="38"/>
      <c r="D1038" s="38"/>
      <c r="E1038" s="38"/>
      <c r="L1038" s="38"/>
      <c r="Q1038" s="39"/>
    </row>
    <row r="1039">
      <c r="B1039" s="38"/>
      <c r="C1039" s="38"/>
      <c r="D1039" s="38"/>
      <c r="E1039" s="38"/>
      <c r="L1039" s="38"/>
      <c r="Q1039" s="39"/>
    </row>
    <row r="1040">
      <c r="B1040" s="38"/>
      <c r="C1040" s="38"/>
      <c r="D1040" s="38"/>
      <c r="E1040" s="38"/>
      <c r="L1040" s="38"/>
      <c r="Q1040" s="39"/>
    </row>
    <row r="1041">
      <c r="B1041" s="38"/>
      <c r="C1041" s="38"/>
      <c r="D1041" s="38"/>
      <c r="E1041" s="38"/>
      <c r="L1041" s="38"/>
      <c r="Q1041" s="39"/>
    </row>
    <row r="1042">
      <c r="B1042" s="38"/>
      <c r="C1042" s="38"/>
      <c r="D1042" s="38"/>
      <c r="E1042" s="38"/>
      <c r="L1042" s="38"/>
      <c r="Q1042" s="39"/>
    </row>
    <row r="1043">
      <c r="B1043" s="38"/>
      <c r="C1043" s="38"/>
      <c r="D1043" s="38"/>
      <c r="E1043" s="38"/>
      <c r="L1043" s="38"/>
      <c r="Q1043" s="39"/>
    </row>
    <row r="1044">
      <c r="B1044" s="38"/>
      <c r="C1044" s="38"/>
      <c r="D1044" s="38"/>
      <c r="E1044" s="38"/>
      <c r="L1044" s="38"/>
      <c r="Q1044" s="39"/>
    </row>
    <row r="1045">
      <c r="B1045" s="38"/>
      <c r="C1045" s="38"/>
      <c r="D1045" s="38"/>
      <c r="E1045" s="38"/>
      <c r="L1045" s="38"/>
      <c r="Q1045" s="39"/>
    </row>
    <row r="1046">
      <c r="B1046" s="38"/>
      <c r="C1046" s="38"/>
      <c r="D1046" s="38"/>
      <c r="E1046" s="38"/>
      <c r="L1046" s="38"/>
      <c r="Q1046" s="39"/>
    </row>
    <row r="1047">
      <c r="B1047" s="38"/>
      <c r="C1047" s="38"/>
      <c r="D1047" s="38"/>
      <c r="E1047" s="38"/>
      <c r="L1047" s="38"/>
      <c r="Q1047" s="39"/>
    </row>
    <row r="1048">
      <c r="B1048" s="38"/>
      <c r="C1048" s="38"/>
      <c r="D1048" s="38"/>
      <c r="E1048" s="38"/>
      <c r="L1048" s="38"/>
      <c r="Q1048" s="39"/>
    </row>
    <row r="1049">
      <c r="B1049" s="38"/>
      <c r="C1049" s="38"/>
      <c r="D1049" s="38"/>
      <c r="E1049" s="38"/>
      <c r="L1049" s="38"/>
      <c r="Q1049" s="39"/>
    </row>
    <row r="1050">
      <c r="B1050" s="38"/>
      <c r="C1050" s="38"/>
      <c r="D1050" s="38"/>
      <c r="E1050" s="38"/>
      <c r="L1050" s="38"/>
      <c r="Q1050" s="39"/>
    </row>
    <row r="1051">
      <c r="B1051" s="38"/>
      <c r="C1051" s="38"/>
      <c r="D1051" s="38"/>
      <c r="E1051" s="38"/>
      <c r="L1051" s="38"/>
      <c r="Q1051" s="39"/>
    </row>
    <row r="1052">
      <c r="B1052" s="38"/>
      <c r="C1052" s="38"/>
      <c r="D1052" s="38"/>
      <c r="E1052" s="38"/>
      <c r="L1052" s="38"/>
      <c r="Q1052" s="39"/>
    </row>
    <row r="1053">
      <c r="B1053" s="38"/>
      <c r="C1053" s="38"/>
      <c r="D1053" s="38"/>
      <c r="E1053" s="38"/>
      <c r="L1053" s="38"/>
      <c r="Q1053" s="39"/>
    </row>
    <row r="1054">
      <c r="B1054" s="38"/>
      <c r="C1054" s="38"/>
      <c r="D1054" s="38"/>
      <c r="E1054" s="38"/>
      <c r="L1054" s="38"/>
      <c r="Q1054" s="39"/>
    </row>
    <row r="1055">
      <c r="B1055" s="38"/>
      <c r="C1055" s="38"/>
      <c r="D1055" s="38"/>
      <c r="E1055" s="38"/>
      <c r="L1055" s="38"/>
      <c r="Q1055" s="39"/>
    </row>
    <row r="1056">
      <c r="B1056" s="38"/>
      <c r="C1056" s="38"/>
      <c r="D1056" s="38"/>
      <c r="E1056" s="38"/>
      <c r="L1056" s="38"/>
      <c r="Q1056" s="39"/>
    </row>
    <row r="1057">
      <c r="B1057" s="38"/>
      <c r="C1057" s="38"/>
      <c r="D1057" s="38"/>
      <c r="E1057" s="38"/>
      <c r="L1057" s="38"/>
      <c r="Q1057" s="39"/>
    </row>
    <row r="1058">
      <c r="B1058" s="38"/>
      <c r="C1058" s="38"/>
      <c r="D1058" s="38"/>
      <c r="E1058" s="38"/>
      <c r="L1058" s="38"/>
      <c r="Q1058" s="39"/>
    </row>
    <row r="1059">
      <c r="B1059" s="38"/>
      <c r="C1059" s="38"/>
      <c r="D1059" s="38"/>
      <c r="E1059" s="38"/>
      <c r="L1059" s="38"/>
      <c r="Q1059" s="39"/>
    </row>
    <row r="1060">
      <c r="B1060" s="38"/>
      <c r="C1060" s="38"/>
      <c r="D1060" s="38"/>
      <c r="E1060" s="38"/>
      <c r="L1060" s="38"/>
      <c r="Q1060" s="39"/>
    </row>
    <row r="1061">
      <c r="B1061" s="38"/>
      <c r="C1061" s="38"/>
      <c r="D1061" s="38"/>
      <c r="E1061" s="38"/>
      <c r="L1061" s="38"/>
      <c r="Q1061" s="39"/>
    </row>
    <row r="1062">
      <c r="B1062" s="38"/>
      <c r="C1062" s="38"/>
      <c r="D1062" s="38"/>
      <c r="E1062" s="38"/>
      <c r="L1062" s="38"/>
      <c r="Q1062" s="39"/>
    </row>
    <row r="1063">
      <c r="B1063" s="38"/>
      <c r="C1063" s="38"/>
      <c r="D1063" s="38"/>
      <c r="E1063" s="38"/>
      <c r="L1063" s="38"/>
      <c r="Q1063" s="39"/>
    </row>
    <row r="1064">
      <c r="B1064" s="38"/>
      <c r="C1064" s="38"/>
      <c r="D1064" s="38"/>
      <c r="E1064" s="38"/>
      <c r="L1064" s="38"/>
      <c r="Q1064" s="39"/>
    </row>
    <row r="1065">
      <c r="B1065" s="38"/>
      <c r="C1065" s="38"/>
      <c r="D1065" s="38"/>
      <c r="E1065" s="38"/>
      <c r="L1065" s="38"/>
      <c r="Q1065" s="39"/>
    </row>
    <row r="1066">
      <c r="B1066" s="38"/>
      <c r="C1066" s="38"/>
      <c r="D1066" s="38"/>
      <c r="E1066" s="38"/>
      <c r="L1066" s="38"/>
      <c r="Q1066" s="39"/>
    </row>
    <row r="1067">
      <c r="B1067" s="38"/>
      <c r="C1067" s="38"/>
      <c r="D1067" s="38"/>
      <c r="E1067" s="38"/>
      <c r="L1067" s="38"/>
      <c r="Q1067" s="39"/>
    </row>
    <row r="1068">
      <c r="B1068" s="38"/>
      <c r="C1068" s="38"/>
      <c r="D1068" s="38"/>
      <c r="E1068" s="38"/>
      <c r="L1068" s="38"/>
      <c r="Q1068" s="39"/>
    </row>
    <row r="1069">
      <c r="B1069" s="38"/>
      <c r="C1069" s="38"/>
      <c r="D1069" s="38"/>
      <c r="E1069" s="38"/>
      <c r="L1069" s="38"/>
      <c r="Q1069" s="39"/>
    </row>
    <row r="1070">
      <c r="B1070" s="38"/>
      <c r="C1070" s="38"/>
      <c r="D1070" s="38"/>
      <c r="E1070" s="38"/>
      <c r="L1070" s="38"/>
      <c r="Q1070" s="39"/>
    </row>
    <row r="1071">
      <c r="B1071" s="38"/>
      <c r="C1071" s="38"/>
      <c r="D1071" s="38"/>
      <c r="E1071" s="38"/>
      <c r="L1071" s="38"/>
      <c r="Q1071" s="39"/>
    </row>
    <row r="1072">
      <c r="B1072" s="38"/>
      <c r="C1072" s="38"/>
      <c r="D1072" s="38"/>
      <c r="E1072" s="38"/>
      <c r="L1072" s="38"/>
      <c r="Q1072" s="39"/>
    </row>
    <row r="1073">
      <c r="B1073" s="38"/>
      <c r="C1073" s="38"/>
      <c r="D1073" s="38"/>
      <c r="E1073" s="38"/>
      <c r="L1073" s="38"/>
      <c r="Q1073" s="39"/>
    </row>
    <row r="1074">
      <c r="B1074" s="38"/>
      <c r="C1074" s="38"/>
      <c r="D1074" s="38"/>
      <c r="E1074" s="38"/>
      <c r="L1074" s="38"/>
      <c r="Q1074" s="39"/>
    </row>
    <row r="1075">
      <c r="B1075" s="38"/>
      <c r="C1075" s="38"/>
      <c r="D1075" s="38"/>
      <c r="E1075" s="38"/>
      <c r="L1075" s="38"/>
      <c r="Q1075" s="39"/>
    </row>
    <row r="1076">
      <c r="B1076" s="38"/>
      <c r="C1076" s="38"/>
      <c r="D1076" s="38"/>
      <c r="E1076" s="38"/>
      <c r="L1076" s="38"/>
      <c r="Q1076" s="39"/>
    </row>
    <row r="1077">
      <c r="B1077" s="38"/>
      <c r="C1077" s="38"/>
      <c r="D1077" s="38"/>
      <c r="E1077" s="38"/>
      <c r="L1077" s="38"/>
      <c r="Q1077" s="39"/>
    </row>
    <row r="1078">
      <c r="B1078" s="38"/>
      <c r="C1078" s="38"/>
      <c r="D1078" s="38"/>
      <c r="E1078" s="38"/>
      <c r="L1078" s="38"/>
      <c r="Q1078" s="39"/>
    </row>
    <row r="1079">
      <c r="B1079" s="38"/>
      <c r="C1079" s="38"/>
      <c r="D1079" s="38"/>
      <c r="E1079" s="38"/>
      <c r="L1079" s="38"/>
      <c r="Q1079" s="39"/>
    </row>
    <row r="1080">
      <c r="B1080" s="38"/>
      <c r="C1080" s="38"/>
      <c r="D1080" s="38"/>
      <c r="E1080" s="38"/>
      <c r="L1080" s="38"/>
      <c r="Q1080" s="39"/>
    </row>
    <row r="1081">
      <c r="B1081" s="38"/>
      <c r="C1081" s="38"/>
      <c r="D1081" s="38"/>
      <c r="E1081" s="38"/>
      <c r="L1081" s="38"/>
      <c r="Q1081" s="39"/>
    </row>
    <row r="1082">
      <c r="B1082" s="38"/>
      <c r="C1082" s="38"/>
      <c r="D1082" s="38"/>
      <c r="E1082" s="38"/>
      <c r="L1082" s="38"/>
      <c r="Q1082" s="39"/>
    </row>
    <row r="1083">
      <c r="B1083" s="38"/>
      <c r="C1083" s="38"/>
      <c r="D1083" s="38"/>
      <c r="E1083" s="38"/>
      <c r="L1083" s="38"/>
      <c r="Q1083" s="39"/>
    </row>
    <row r="1084">
      <c r="B1084" s="38"/>
      <c r="C1084" s="38"/>
      <c r="D1084" s="38"/>
      <c r="E1084" s="38"/>
      <c r="L1084" s="38"/>
      <c r="Q1084" s="39"/>
    </row>
    <row r="1085">
      <c r="B1085" s="38"/>
      <c r="C1085" s="38"/>
      <c r="D1085" s="38"/>
      <c r="E1085" s="38"/>
      <c r="L1085" s="38"/>
      <c r="Q1085" s="39"/>
    </row>
    <row r="1086">
      <c r="B1086" s="38"/>
      <c r="C1086" s="38"/>
      <c r="D1086" s="38"/>
      <c r="E1086" s="38"/>
      <c r="L1086" s="38"/>
      <c r="Q1086" s="39"/>
    </row>
    <row r="1087">
      <c r="B1087" s="38"/>
      <c r="C1087" s="38"/>
      <c r="D1087" s="38"/>
      <c r="E1087" s="38"/>
      <c r="L1087" s="38"/>
      <c r="Q1087" s="39"/>
    </row>
    <row r="1088">
      <c r="B1088" s="38"/>
      <c r="C1088" s="38"/>
      <c r="D1088" s="38"/>
      <c r="E1088" s="38"/>
      <c r="L1088" s="38"/>
      <c r="Q1088" s="39"/>
    </row>
    <row r="1089">
      <c r="B1089" s="38"/>
      <c r="C1089" s="38"/>
      <c r="D1089" s="38"/>
      <c r="E1089" s="38"/>
      <c r="L1089" s="38"/>
      <c r="Q1089" s="39"/>
    </row>
    <row r="1090">
      <c r="B1090" s="38"/>
      <c r="C1090" s="38"/>
      <c r="D1090" s="38"/>
      <c r="E1090" s="38"/>
      <c r="L1090" s="38"/>
      <c r="Q1090" s="39"/>
    </row>
    <row r="1091">
      <c r="B1091" s="38"/>
      <c r="C1091" s="38"/>
      <c r="D1091" s="38"/>
      <c r="E1091" s="38"/>
      <c r="L1091" s="38"/>
      <c r="Q1091" s="39"/>
    </row>
    <row r="1092">
      <c r="B1092" s="38"/>
      <c r="C1092" s="38"/>
      <c r="D1092" s="38"/>
      <c r="E1092" s="38"/>
      <c r="L1092" s="38"/>
      <c r="Q1092" s="39"/>
    </row>
    <row r="1093">
      <c r="B1093" s="38"/>
      <c r="C1093" s="38"/>
      <c r="D1093" s="38"/>
      <c r="E1093" s="38"/>
      <c r="L1093" s="38"/>
      <c r="Q1093" s="39"/>
    </row>
    <row r="1094">
      <c r="B1094" s="38"/>
      <c r="C1094" s="38"/>
      <c r="D1094" s="38"/>
      <c r="E1094" s="38"/>
      <c r="L1094" s="38"/>
      <c r="Q1094" s="39"/>
    </row>
    <row r="1095">
      <c r="B1095" s="38"/>
      <c r="C1095" s="38"/>
      <c r="D1095" s="38"/>
      <c r="E1095" s="38"/>
      <c r="L1095" s="38"/>
      <c r="Q1095" s="39"/>
    </row>
    <row r="1096">
      <c r="B1096" s="38"/>
      <c r="C1096" s="38"/>
      <c r="D1096" s="38"/>
      <c r="E1096" s="38"/>
      <c r="L1096" s="38"/>
      <c r="Q1096" s="39"/>
    </row>
    <row r="1097">
      <c r="B1097" s="38"/>
      <c r="C1097" s="38"/>
      <c r="D1097" s="38"/>
      <c r="E1097" s="38"/>
      <c r="L1097" s="38"/>
      <c r="Q1097" s="39"/>
    </row>
    <row r="1098">
      <c r="B1098" s="38"/>
      <c r="C1098" s="38"/>
      <c r="D1098" s="38"/>
      <c r="E1098" s="38"/>
      <c r="L1098" s="38"/>
      <c r="Q1098" s="39"/>
    </row>
    <row r="1099">
      <c r="B1099" s="38"/>
      <c r="C1099" s="38"/>
      <c r="D1099" s="38"/>
      <c r="E1099" s="38"/>
      <c r="L1099" s="38"/>
      <c r="Q1099" s="39"/>
    </row>
    <row r="1100">
      <c r="B1100" s="38"/>
      <c r="C1100" s="38"/>
      <c r="D1100" s="38"/>
      <c r="E1100" s="38"/>
      <c r="L1100" s="38"/>
      <c r="Q1100" s="39"/>
    </row>
    <row r="1101">
      <c r="B1101" s="38"/>
      <c r="C1101" s="38"/>
      <c r="D1101" s="38"/>
      <c r="E1101" s="38"/>
      <c r="L1101" s="38"/>
      <c r="Q1101" s="39"/>
    </row>
    <row r="1102">
      <c r="B1102" s="38"/>
      <c r="C1102" s="38"/>
      <c r="D1102" s="38"/>
      <c r="E1102" s="38"/>
      <c r="L1102" s="38"/>
      <c r="Q1102" s="39"/>
    </row>
    <row r="1103">
      <c r="B1103" s="38"/>
      <c r="C1103" s="38"/>
      <c r="D1103" s="38"/>
      <c r="E1103" s="38"/>
      <c r="L1103" s="38"/>
      <c r="Q1103" s="39"/>
    </row>
    <row r="1104">
      <c r="B1104" s="38"/>
      <c r="C1104" s="38"/>
      <c r="D1104" s="38"/>
      <c r="E1104" s="38"/>
      <c r="L1104" s="38"/>
      <c r="Q1104" s="39"/>
    </row>
    <row r="1105">
      <c r="B1105" s="38"/>
      <c r="C1105" s="38"/>
      <c r="D1105" s="38"/>
      <c r="E1105" s="38"/>
      <c r="L1105" s="38"/>
      <c r="Q1105" s="39"/>
    </row>
    <row r="1106">
      <c r="B1106" s="38"/>
      <c r="C1106" s="38"/>
      <c r="D1106" s="38"/>
      <c r="E1106" s="38"/>
      <c r="L1106" s="38"/>
      <c r="Q1106" s="39"/>
    </row>
    <row r="1107">
      <c r="B1107" s="38"/>
      <c r="C1107" s="38"/>
      <c r="D1107" s="38"/>
      <c r="E1107" s="38"/>
      <c r="L1107" s="38"/>
      <c r="Q1107" s="39"/>
    </row>
    <row r="1108">
      <c r="B1108" s="38"/>
      <c r="C1108" s="38"/>
      <c r="D1108" s="38"/>
      <c r="E1108" s="38"/>
      <c r="L1108" s="38"/>
      <c r="Q1108" s="39"/>
    </row>
    <row r="1109">
      <c r="B1109" s="38"/>
      <c r="C1109" s="38"/>
      <c r="D1109" s="38"/>
      <c r="E1109" s="38"/>
      <c r="L1109" s="38"/>
      <c r="Q1109" s="39"/>
    </row>
    <row r="1110">
      <c r="B1110" s="38"/>
      <c r="C1110" s="38"/>
      <c r="D1110" s="38"/>
      <c r="E1110" s="38"/>
      <c r="L1110" s="38"/>
      <c r="Q1110" s="39"/>
    </row>
    <row r="1111">
      <c r="B1111" s="38"/>
      <c r="C1111" s="38"/>
      <c r="D1111" s="38"/>
      <c r="E1111" s="38"/>
      <c r="L1111" s="38"/>
      <c r="Q1111" s="39"/>
    </row>
    <row r="1112">
      <c r="B1112" s="38"/>
      <c r="C1112" s="38"/>
      <c r="D1112" s="38"/>
      <c r="E1112" s="38"/>
      <c r="L1112" s="38"/>
      <c r="Q1112" s="39"/>
    </row>
    <row r="1113">
      <c r="B1113" s="38"/>
      <c r="C1113" s="38"/>
      <c r="D1113" s="38"/>
      <c r="E1113" s="38"/>
      <c r="L1113" s="38"/>
      <c r="Q1113" s="39"/>
    </row>
    <row r="1114">
      <c r="B1114" s="38"/>
      <c r="C1114" s="38"/>
      <c r="D1114" s="38"/>
      <c r="E1114" s="38"/>
      <c r="L1114" s="38"/>
      <c r="Q1114" s="39"/>
    </row>
    <row r="1115">
      <c r="B1115" s="38"/>
      <c r="C1115" s="38"/>
      <c r="D1115" s="38"/>
      <c r="E1115" s="38"/>
      <c r="L1115" s="38"/>
      <c r="Q1115" s="39"/>
    </row>
    <row r="1116">
      <c r="B1116" s="38"/>
      <c r="C1116" s="38"/>
      <c r="D1116" s="38"/>
      <c r="E1116" s="38"/>
      <c r="L1116" s="38"/>
      <c r="Q1116" s="39"/>
    </row>
    <row r="1117">
      <c r="B1117" s="38"/>
      <c r="C1117" s="38"/>
      <c r="D1117" s="38"/>
      <c r="E1117" s="38"/>
      <c r="L1117" s="38"/>
      <c r="Q1117" s="39"/>
    </row>
    <row r="1118">
      <c r="B1118" s="38"/>
      <c r="C1118" s="38"/>
      <c r="D1118" s="38"/>
      <c r="E1118" s="38"/>
      <c r="L1118" s="38"/>
      <c r="Q1118" s="39"/>
    </row>
    <row r="1119">
      <c r="B1119" s="38"/>
      <c r="C1119" s="38"/>
      <c r="D1119" s="38"/>
      <c r="E1119" s="38"/>
      <c r="L1119" s="38"/>
      <c r="Q1119" s="39"/>
    </row>
    <row r="1120">
      <c r="B1120" s="38"/>
      <c r="C1120" s="38"/>
      <c r="D1120" s="38"/>
      <c r="E1120" s="38"/>
      <c r="L1120" s="38"/>
      <c r="Q1120" s="39"/>
    </row>
    <row r="1121">
      <c r="B1121" s="38"/>
      <c r="C1121" s="38"/>
      <c r="D1121" s="38"/>
      <c r="E1121" s="38"/>
      <c r="L1121" s="38"/>
      <c r="Q1121" s="39"/>
    </row>
    <row r="1122">
      <c r="B1122" s="38"/>
      <c r="C1122" s="38"/>
      <c r="D1122" s="38"/>
      <c r="E1122" s="38"/>
      <c r="L1122" s="38"/>
      <c r="Q1122" s="39"/>
    </row>
    <row r="1123">
      <c r="B1123" s="38"/>
      <c r="C1123" s="38"/>
      <c r="D1123" s="38"/>
      <c r="E1123" s="38"/>
      <c r="L1123" s="38"/>
      <c r="Q1123" s="39"/>
    </row>
    <row r="1124">
      <c r="B1124" s="38"/>
      <c r="C1124" s="38"/>
      <c r="D1124" s="38"/>
      <c r="E1124" s="38"/>
      <c r="L1124" s="38"/>
      <c r="Q1124" s="39"/>
    </row>
    <row r="1125">
      <c r="B1125" s="38"/>
      <c r="C1125" s="38"/>
      <c r="D1125" s="38"/>
      <c r="E1125" s="38"/>
      <c r="L1125" s="38"/>
      <c r="Q1125" s="39"/>
    </row>
    <row r="1126">
      <c r="B1126" s="38"/>
      <c r="C1126" s="38"/>
      <c r="D1126" s="38"/>
      <c r="E1126" s="38"/>
      <c r="L1126" s="38"/>
      <c r="Q1126" s="39"/>
    </row>
    <row r="1127">
      <c r="B1127" s="38"/>
      <c r="C1127" s="38"/>
      <c r="D1127" s="38"/>
      <c r="E1127" s="38"/>
      <c r="L1127" s="38"/>
      <c r="Q1127" s="39"/>
    </row>
    <row r="1128">
      <c r="B1128" s="38"/>
      <c r="C1128" s="38"/>
      <c r="D1128" s="38"/>
      <c r="E1128" s="38"/>
      <c r="L1128" s="38"/>
      <c r="Q1128" s="39"/>
    </row>
    <row r="1129">
      <c r="B1129" s="38"/>
      <c r="C1129" s="38"/>
      <c r="D1129" s="38"/>
      <c r="E1129" s="38"/>
      <c r="L1129" s="38"/>
      <c r="Q1129" s="39"/>
    </row>
    <row r="1130">
      <c r="B1130" s="38"/>
      <c r="C1130" s="38"/>
      <c r="D1130" s="38"/>
      <c r="E1130" s="38"/>
      <c r="L1130" s="38"/>
      <c r="Q1130" s="39"/>
    </row>
    <row r="1131">
      <c r="B1131" s="38"/>
      <c r="C1131" s="38"/>
      <c r="D1131" s="38"/>
      <c r="E1131" s="38"/>
      <c r="L1131" s="38"/>
      <c r="Q1131" s="39"/>
    </row>
    <row r="1132">
      <c r="B1132" s="38"/>
      <c r="C1132" s="38"/>
      <c r="D1132" s="38"/>
      <c r="E1132" s="38"/>
      <c r="L1132" s="38"/>
      <c r="Q1132" s="39"/>
    </row>
    <row r="1133">
      <c r="B1133" s="38"/>
      <c r="C1133" s="38"/>
      <c r="D1133" s="38"/>
      <c r="E1133" s="38"/>
      <c r="L1133" s="38"/>
      <c r="Q1133" s="39"/>
    </row>
    <row r="1134">
      <c r="B1134" s="38"/>
      <c r="C1134" s="38"/>
      <c r="D1134" s="38"/>
      <c r="E1134" s="38"/>
      <c r="L1134" s="38"/>
      <c r="Q1134" s="39"/>
    </row>
    <row r="1135">
      <c r="B1135" s="38"/>
      <c r="C1135" s="38"/>
      <c r="D1135" s="38"/>
      <c r="E1135" s="38"/>
      <c r="L1135" s="38"/>
      <c r="Q1135" s="39"/>
    </row>
    <row r="1136">
      <c r="B1136" s="38"/>
      <c r="C1136" s="38"/>
      <c r="D1136" s="38"/>
      <c r="E1136" s="38"/>
      <c r="L1136" s="38"/>
      <c r="Q1136" s="39"/>
    </row>
    <row r="1137">
      <c r="B1137" s="38"/>
      <c r="C1137" s="38"/>
      <c r="D1137" s="38"/>
      <c r="E1137" s="38"/>
      <c r="L1137" s="38"/>
      <c r="Q1137" s="39"/>
    </row>
    <row r="1138">
      <c r="B1138" s="38"/>
      <c r="C1138" s="38"/>
      <c r="D1138" s="38"/>
      <c r="E1138" s="38"/>
      <c r="L1138" s="38"/>
      <c r="Q1138" s="39"/>
    </row>
    <row r="1139">
      <c r="B1139" s="38"/>
      <c r="C1139" s="38"/>
      <c r="D1139" s="38"/>
      <c r="E1139" s="38"/>
      <c r="L1139" s="38"/>
      <c r="Q1139" s="39"/>
    </row>
    <row r="1140">
      <c r="B1140" s="38"/>
      <c r="C1140" s="38"/>
      <c r="D1140" s="38"/>
      <c r="E1140" s="38"/>
      <c r="L1140" s="38"/>
      <c r="Q1140" s="39"/>
    </row>
    <row r="1141">
      <c r="B1141" s="38"/>
      <c r="C1141" s="38"/>
      <c r="D1141" s="38"/>
      <c r="E1141" s="38"/>
      <c r="L1141" s="38"/>
      <c r="Q1141" s="39"/>
    </row>
    <row r="1142">
      <c r="B1142" s="38"/>
      <c r="C1142" s="38"/>
      <c r="D1142" s="38"/>
      <c r="E1142" s="38"/>
      <c r="L1142" s="38"/>
      <c r="Q1142" s="39"/>
    </row>
    <row r="1143">
      <c r="B1143" s="38"/>
      <c r="C1143" s="38"/>
      <c r="D1143" s="38"/>
      <c r="E1143" s="38"/>
      <c r="L1143" s="38"/>
      <c r="Q1143" s="39"/>
    </row>
    <row r="1144">
      <c r="B1144" s="38"/>
      <c r="C1144" s="38"/>
      <c r="D1144" s="38"/>
      <c r="E1144" s="38"/>
      <c r="L1144" s="38"/>
      <c r="Q1144" s="39"/>
    </row>
    <row r="1145">
      <c r="B1145" s="38"/>
      <c r="C1145" s="38"/>
      <c r="D1145" s="38"/>
      <c r="E1145" s="38"/>
      <c r="L1145" s="38"/>
      <c r="Q1145" s="39"/>
    </row>
    <row r="1146">
      <c r="B1146" s="38"/>
      <c r="C1146" s="38"/>
      <c r="D1146" s="38"/>
      <c r="E1146" s="38"/>
      <c r="L1146" s="38"/>
      <c r="Q1146" s="39"/>
    </row>
    <row r="1147">
      <c r="B1147" s="38"/>
      <c r="C1147" s="38"/>
      <c r="D1147" s="38"/>
      <c r="E1147" s="38"/>
      <c r="L1147" s="38"/>
      <c r="Q1147" s="39"/>
    </row>
    <row r="1148">
      <c r="B1148" s="38"/>
      <c r="C1148" s="38"/>
      <c r="D1148" s="38"/>
      <c r="E1148" s="38"/>
      <c r="L1148" s="38"/>
      <c r="Q1148" s="39"/>
    </row>
    <row r="1149">
      <c r="B1149" s="38"/>
      <c r="C1149" s="38"/>
      <c r="D1149" s="38"/>
      <c r="E1149" s="38"/>
      <c r="L1149" s="38"/>
      <c r="Q1149" s="39"/>
    </row>
    <row r="1150">
      <c r="B1150" s="38"/>
      <c r="C1150" s="38"/>
      <c r="D1150" s="38"/>
      <c r="E1150" s="38"/>
      <c r="L1150" s="38"/>
      <c r="Q1150" s="39"/>
    </row>
    <row r="1151">
      <c r="B1151" s="38"/>
      <c r="C1151" s="38"/>
      <c r="D1151" s="38"/>
      <c r="E1151" s="38"/>
      <c r="L1151" s="38"/>
      <c r="Q1151" s="39"/>
    </row>
    <row r="1152">
      <c r="B1152" s="38"/>
      <c r="C1152" s="38"/>
      <c r="D1152" s="38"/>
      <c r="E1152" s="38"/>
      <c r="L1152" s="38"/>
      <c r="Q1152" s="39"/>
    </row>
    <row r="1153">
      <c r="B1153" s="38"/>
      <c r="C1153" s="38"/>
      <c r="D1153" s="38"/>
      <c r="E1153" s="38"/>
      <c r="L1153" s="38"/>
      <c r="Q1153" s="39"/>
    </row>
    <row r="1154">
      <c r="B1154" s="38"/>
      <c r="C1154" s="38"/>
      <c r="D1154" s="38"/>
      <c r="E1154" s="38"/>
      <c r="L1154" s="38"/>
      <c r="Q1154" s="39"/>
    </row>
    <row r="1155">
      <c r="B1155" s="38"/>
      <c r="C1155" s="38"/>
      <c r="D1155" s="38"/>
      <c r="E1155" s="38"/>
      <c r="L1155" s="38"/>
      <c r="Q1155" s="39"/>
    </row>
    <row r="1156">
      <c r="B1156" s="38"/>
      <c r="C1156" s="38"/>
      <c r="D1156" s="38"/>
      <c r="E1156" s="38"/>
      <c r="L1156" s="38"/>
      <c r="Q1156" s="39"/>
    </row>
    <row r="1157">
      <c r="B1157" s="38"/>
      <c r="C1157" s="38"/>
      <c r="D1157" s="38"/>
      <c r="E1157" s="38"/>
      <c r="L1157" s="38"/>
      <c r="Q1157" s="39"/>
    </row>
    <row r="1158">
      <c r="B1158" s="38"/>
      <c r="C1158" s="38"/>
      <c r="D1158" s="38"/>
      <c r="E1158" s="38"/>
      <c r="L1158" s="38"/>
      <c r="Q1158" s="39"/>
    </row>
    <row r="1159">
      <c r="B1159" s="38"/>
      <c r="C1159" s="38"/>
      <c r="D1159" s="38"/>
      <c r="E1159" s="38"/>
      <c r="L1159" s="38"/>
      <c r="Q1159" s="39"/>
    </row>
    <row r="1160">
      <c r="B1160" s="38"/>
      <c r="C1160" s="38"/>
      <c r="D1160" s="38"/>
      <c r="E1160" s="38"/>
      <c r="L1160" s="38"/>
      <c r="Q1160" s="39"/>
    </row>
    <row r="1161">
      <c r="B1161" s="38"/>
      <c r="C1161" s="38"/>
      <c r="D1161" s="38"/>
      <c r="E1161" s="38"/>
      <c r="L1161" s="38"/>
      <c r="Q1161" s="39"/>
    </row>
    <row r="1162">
      <c r="B1162" s="38"/>
      <c r="C1162" s="38"/>
      <c r="D1162" s="38"/>
      <c r="E1162" s="38"/>
      <c r="L1162" s="38"/>
      <c r="Q1162" s="39"/>
    </row>
    <row r="1163">
      <c r="B1163" s="38"/>
      <c r="C1163" s="38"/>
      <c r="D1163" s="38"/>
      <c r="E1163" s="38"/>
      <c r="L1163" s="38"/>
      <c r="Q1163" s="39"/>
    </row>
    <row r="1164">
      <c r="B1164" s="38"/>
      <c r="C1164" s="38"/>
      <c r="D1164" s="38"/>
      <c r="E1164" s="38"/>
      <c r="L1164" s="38"/>
      <c r="Q1164" s="39"/>
    </row>
    <row r="1165">
      <c r="B1165" s="38"/>
      <c r="C1165" s="38"/>
      <c r="D1165" s="38"/>
      <c r="E1165" s="38"/>
      <c r="L1165" s="38"/>
      <c r="Q1165" s="39"/>
    </row>
    <row r="1166">
      <c r="B1166" s="38"/>
      <c r="C1166" s="38"/>
      <c r="D1166" s="38"/>
      <c r="E1166" s="38"/>
      <c r="L1166" s="38"/>
      <c r="Q1166" s="39"/>
    </row>
    <row r="1167">
      <c r="B1167" s="38"/>
      <c r="C1167" s="38"/>
      <c r="D1167" s="38"/>
      <c r="E1167" s="38"/>
      <c r="L1167" s="38"/>
      <c r="Q1167" s="39"/>
    </row>
    <row r="1168">
      <c r="B1168" s="38"/>
      <c r="C1168" s="38"/>
      <c r="D1168" s="38"/>
      <c r="E1168" s="38"/>
      <c r="L1168" s="38"/>
      <c r="Q1168" s="39"/>
    </row>
    <row r="1169">
      <c r="B1169" s="38"/>
      <c r="C1169" s="38"/>
      <c r="D1169" s="38"/>
      <c r="E1169" s="38"/>
      <c r="L1169" s="38"/>
      <c r="Q1169" s="39"/>
    </row>
    <row r="1170">
      <c r="B1170" s="38"/>
      <c r="C1170" s="38"/>
      <c r="D1170" s="38"/>
      <c r="E1170" s="38"/>
      <c r="L1170" s="38"/>
      <c r="Q1170" s="39"/>
    </row>
    <row r="1171">
      <c r="B1171" s="38"/>
      <c r="C1171" s="38"/>
      <c r="D1171" s="38"/>
      <c r="E1171" s="38"/>
      <c r="L1171" s="38"/>
      <c r="Q1171" s="39"/>
    </row>
    <row r="1172">
      <c r="B1172" s="38"/>
      <c r="C1172" s="38"/>
      <c r="D1172" s="38"/>
      <c r="E1172" s="38"/>
      <c r="L1172" s="38"/>
      <c r="Q1172" s="39"/>
    </row>
    <row r="1173">
      <c r="B1173" s="38"/>
      <c r="C1173" s="38"/>
      <c r="D1173" s="38"/>
      <c r="E1173" s="38"/>
      <c r="L1173" s="38"/>
      <c r="Q1173" s="39"/>
    </row>
    <row r="1174">
      <c r="B1174" s="38"/>
      <c r="C1174" s="38"/>
      <c r="D1174" s="38"/>
      <c r="E1174" s="38"/>
      <c r="L1174" s="38"/>
      <c r="Q1174" s="39"/>
    </row>
    <row r="1175">
      <c r="B1175" s="38"/>
      <c r="C1175" s="38"/>
      <c r="D1175" s="38"/>
      <c r="E1175" s="38"/>
      <c r="L1175" s="38"/>
      <c r="Q1175" s="39"/>
    </row>
    <row r="1176">
      <c r="B1176" s="38"/>
      <c r="C1176" s="38"/>
      <c r="D1176" s="38"/>
      <c r="E1176" s="38"/>
      <c r="L1176" s="38"/>
      <c r="Q1176" s="39"/>
    </row>
    <row r="1177">
      <c r="B1177" s="38"/>
      <c r="C1177" s="38"/>
      <c r="D1177" s="38"/>
      <c r="E1177" s="38"/>
      <c r="L1177" s="38"/>
      <c r="Q1177" s="39"/>
    </row>
    <row r="1178">
      <c r="B1178" s="38"/>
      <c r="C1178" s="38"/>
      <c r="D1178" s="38"/>
      <c r="E1178" s="38"/>
      <c r="L1178" s="38"/>
      <c r="Q1178" s="39"/>
    </row>
    <row r="1179">
      <c r="B1179" s="38"/>
      <c r="C1179" s="38"/>
      <c r="D1179" s="38"/>
      <c r="E1179" s="38"/>
      <c r="L1179" s="38"/>
      <c r="Q1179" s="39"/>
    </row>
    <row r="1180">
      <c r="B1180" s="38"/>
      <c r="C1180" s="38"/>
      <c r="D1180" s="38"/>
      <c r="E1180" s="38"/>
      <c r="L1180" s="38"/>
      <c r="Q1180" s="39"/>
    </row>
    <row r="1181">
      <c r="B1181" s="38"/>
      <c r="C1181" s="38"/>
      <c r="D1181" s="38"/>
      <c r="E1181" s="38"/>
      <c r="L1181" s="38"/>
      <c r="Q1181" s="39"/>
    </row>
    <row r="1182">
      <c r="B1182" s="38"/>
      <c r="C1182" s="38"/>
      <c r="D1182" s="38"/>
      <c r="E1182" s="38"/>
      <c r="L1182" s="38"/>
      <c r="Q1182" s="39"/>
    </row>
    <row r="1183">
      <c r="B1183" s="38"/>
      <c r="C1183" s="38"/>
      <c r="D1183" s="38"/>
      <c r="E1183" s="38"/>
      <c r="L1183" s="38"/>
      <c r="Q1183" s="39"/>
    </row>
    <row r="1184">
      <c r="B1184" s="38"/>
      <c r="C1184" s="38"/>
      <c r="D1184" s="38"/>
      <c r="E1184" s="38"/>
      <c r="L1184" s="38"/>
      <c r="Q1184" s="39"/>
    </row>
    <row r="1185">
      <c r="B1185" s="38"/>
      <c r="C1185" s="38"/>
      <c r="D1185" s="38"/>
      <c r="E1185" s="38"/>
      <c r="L1185" s="38"/>
      <c r="Q1185" s="39"/>
    </row>
    <row r="1186">
      <c r="B1186" s="38"/>
      <c r="C1186" s="38"/>
      <c r="D1186" s="38"/>
      <c r="E1186" s="38"/>
      <c r="L1186" s="38"/>
      <c r="Q1186" s="39"/>
    </row>
    <row r="1187">
      <c r="B1187" s="38"/>
      <c r="C1187" s="38"/>
      <c r="D1187" s="38"/>
      <c r="E1187" s="38"/>
      <c r="L1187" s="38"/>
      <c r="Q1187" s="39"/>
    </row>
    <row r="1188">
      <c r="B1188" s="38"/>
      <c r="C1188" s="38"/>
      <c r="D1188" s="38"/>
      <c r="E1188" s="38"/>
      <c r="L1188" s="38"/>
      <c r="Q1188" s="39"/>
    </row>
    <row r="1189">
      <c r="B1189" s="38"/>
      <c r="C1189" s="38"/>
      <c r="D1189" s="38"/>
      <c r="E1189" s="38"/>
      <c r="L1189" s="38"/>
      <c r="Q1189" s="39"/>
    </row>
    <row r="1190">
      <c r="B1190" s="38"/>
      <c r="C1190" s="38"/>
      <c r="D1190" s="38"/>
      <c r="E1190" s="38"/>
      <c r="L1190" s="38"/>
      <c r="Q1190" s="39"/>
    </row>
    <row r="1191">
      <c r="B1191" s="38"/>
      <c r="C1191" s="38"/>
      <c r="D1191" s="38"/>
      <c r="E1191" s="38"/>
      <c r="L1191" s="38"/>
      <c r="Q1191" s="39"/>
    </row>
    <row r="1192">
      <c r="B1192" s="38"/>
      <c r="C1192" s="38"/>
      <c r="D1192" s="38"/>
      <c r="E1192" s="38"/>
      <c r="L1192" s="38"/>
      <c r="Q1192" s="39"/>
    </row>
    <row r="1193">
      <c r="B1193" s="38"/>
      <c r="C1193" s="38"/>
      <c r="D1193" s="38"/>
      <c r="E1193" s="38"/>
      <c r="L1193" s="38"/>
      <c r="Q1193" s="39"/>
    </row>
    <row r="1194">
      <c r="B1194" s="38"/>
      <c r="C1194" s="38"/>
      <c r="D1194" s="38"/>
      <c r="E1194" s="38"/>
      <c r="L1194" s="38"/>
      <c r="Q1194" s="39"/>
    </row>
    <row r="1195">
      <c r="B1195" s="38"/>
      <c r="C1195" s="38"/>
      <c r="D1195" s="38"/>
      <c r="E1195" s="38"/>
      <c r="L1195" s="38"/>
      <c r="Q1195" s="39"/>
    </row>
    <row r="1196">
      <c r="B1196" s="38"/>
      <c r="C1196" s="38"/>
      <c r="D1196" s="38"/>
      <c r="E1196" s="38"/>
      <c r="L1196" s="38"/>
      <c r="Q1196" s="39"/>
    </row>
    <row r="1197">
      <c r="B1197" s="38"/>
      <c r="C1197" s="38"/>
      <c r="D1197" s="38"/>
      <c r="E1197" s="38"/>
      <c r="L1197" s="38"/>
      <c r="Q1197" s="39"/>
    </row>
    <row r="1198">
      <c r="B1198" s="38"/>
      <c r="C1198" s="38"/>
      <c r="D1198" s="38"/>
      <c r="E1198" s="38"/>
      <c r="L1198" s="38"/>
      <c r="Q1198" s="39"/>
    </row>
    <row r="1199">
      <c r="B1199" s="38"/>
      <c r="C1199" s="38"/>
      <c r="D1199" s="38"/>
      <c r="E1199" s="38"/>
      <c r="L1199" s="38"/>
      <c r="Q1199" s="39"/>
    </row>
    <row r="1200">
      <c r="B1200" s="38"/>
      <c r="C1200" s="38"/>
      <c r="D1200" s="38"/>
      <c r="E1200" s="38"/>
      <c r="L1200" s="38"/>
      <c r="Q1200" s="39"/>
    </row>
    <row r="1201">
      <c r="B1201" s="38"/>
      <c r="C1201" s="38"/>
      <c r="D1201" s="38"/>
      <c r="E1201" s="38"/>
      <c r="L1201" s="38"/>
      <c r="Q1201" s="39"/>
    </row>
    <row r="1202">
      <c r="B1202" s="38"/>
      <c r="C1202" s="38"/>
      <c r="D1202" s="38"/>
      <c r="E1202" s="38"/>
      <c r="L1202" s="38"/>
      <c r="Q1202" s="39"/>
    </row>
    <row r="1203">
      <c r="B1203" s="38"/>
      <c r="C1203" s="38"/>
      <c r="D1203" s="38"/>
      <c r="E1203" s="38"/>
      <c r="L1203" s="38"/>
      <c r="Q1203" s="39"/>
    </row>
    <row r="1204">
      <c r="B1204" s="38"/>
      <c r="C1204" s="38"/>
      <c r="D1204" s="38"/>
      <c r="E1204" s="38"/>
      <c r="L1204" s="38"/>
      <c r="Q1204" s="39"/>
    </row>
    <row r="1205">
      <c r="B1205" s="38"/>
      <c r="C1205" s="38"/>
      <c r="D1205" s="38"/>
      <c r="E1205" s="38"/>
      <c r="L1205" s="38"/>
      <c r="Q1205" s="39"/>
    </row>
    <row r="1206">
      <c r="B1206" s="38"/>
      <c r="C1206" s="38"/>
      <c r="D1206" s="38"/>
      <c r="E1206" s="38"/>
      <c r="L1206" s="38"/>
      <c r="Q1206" s="39"/>
    </row>
    <row r="1207">
      <c r="B1207" s="38"/>
      <c r="C1207" s="38"/>
      <c r="D1207" s="38"/>
      <c r="E1207" s="38"/>
      <c r="L1207" s="38"/>
      <c r="Q1207" s="39"/>
    </row>
    <row r="1208">
      <c r="B1208" s="38"/>
      <c r="C1208" s="38"/>
      <c r="D1208" s="38"/>
      <c r="E1208" s="38"/>
      <c r="L1208" s="38"/>
      <c r="Q1208" s="39"/>
    </row>
    <row r="1209">
      <c r="B1209" s="38"/>
      <c r="C1209" s="38"/>
      <c r="D1209" s="38"/>
      <c r="E1209" s="38"/>
      <c r="L1209" s="38"/>
      <c r="Q1209" s="39"/>
    </row>
    <row r="1210">
      <c r="B1210" s="38"/>
      <c r="C1210" s="38"/>
      <c r="D1210" s="38"/>
      <c r="E1210" s="38"/>
      <c r="L1210" s="38"/>
      <c r="Q1210" s="39"/>
    </row>
    <row r="1211">
      <c r="B1211" s="38"/>
      <c r="C1211" s="38"/>
      <c r="D1211" s="38"/>
      <c r="E1211" s="38"/>
      <c r="L1211" s="38"/>
      <c r="Q1211" s="39"/>
    </row>
    <row r="1212">
      <c r="B1212" s="38"/>
      <c r="C1212" s="38"/>
      <c r="D1212" s="38"/>
      <c r="E1212" s="38"/>
      <c r="L1212" s="38"/>
      <c r="Q1212" s="39"/>
    </row>
    <row r="1213">
      <c r="B1213" s="38"/>
      <c r="C1213" s="38"/>
      <c r="D1213" s="38"/>
      <c r="E1213" s="38"/>
      <c r="L1213" s="38"/>
      <c r="Q1213" s="39"/>
    </row>
    <row r="1214">
      <c r="B1214" s="38"/>
      <c r="C1214" s="38"/>
      <c r="D1214" s="38"/>
      <c r="E1214" s="38"/>
      <c r="L1214" s="38"/>
      <c r="Q1214" s="39"/>
    </row>
    <row r="1215">
      <c r="B1215" s="38"/>
      <c r="C1215" s="38"/>
      <c r="D1215" s="38"/>
      <c r="E1215" s="38"/>
      <c r="L1215" s="38"/>
      <c r="Q1215" s="39"/>
    </row>
    <row r="1216">
      <c r="B1216" s="38"/>
      <c r="C1216" s="38"/>
      <c r="D1216" s="38"/>
      <c r="E1216" s="38"/>
      <c r="L1216" s="38"/>
      <c r="Q1216" s="39"/>
    </row>
    <row r="1217">
      <c r="B1217" s="38"/>
      <c r="C1217" s="38"/>
      <c r="D1217" s="38"/>
      <c r="E1217" s="38"/>
      <c r="L1217" s="38"/>
      <c r="Q1217" s="39"/>
    </row>
    <row r="1218">
      <c r="B1218" s="38"/>
      <c r="C1218" s="38"/>
      <c r="D1218" s="38"/>
      <c r="E1218" s="38"/>
      <c r="L1218" s="38"/>
      <c r="Q1218" s="39"/>
    </row>
    <row r="1219">
      <c r="B1219" s="38"/>
      <c r="C1219" s="38"/>
      <c r="D1219" s="38"/>
      <c r="E1219" s="38"/>
      <c r="L1219" s="38"/>
      <c r="Q1219" s="39"/>
    </row>
    <row r="1220">
      <c r="B1220" s="38"/>
      <c r="C1220" s="38"/>
      <c r="D1220" s="38"/>
      <c r="E1220" s="38"/>
      <c r="L1220" s="38"/>
      <c r="Q1220" s="39"/>
    </row>
    <row r="1221">
      <c r="B1221" s="38"/>
      <c r="C1221" s="38"/>
      <c r="D1221" s="38"/>
      <c r="E1221" s="38"/>
      <c r="L1221" s="38"/>
      <c r="Q1221" s="39"/>
    </row>
    <row r="1222">
      <c r="B1222" s="38"/>
      <c r="C1222" s="38"/>
      <c r="D1222" s="38"/>
      <c r="E1222" s="38"/>
      <c r="L1222" s="38"/>
      <c r="Q1222" s="39"/>
    </row>
    <row r="1223">
      <c r="B1223" s="38"/>
      <c r="C1223" s="38"/>
      <c r="D1223" s="38"/>
      <c r="E1223" s="38"/>
      <c r="L1223" s="38"/>
      <c r="Q1223" s="39"/>
    </row>
    <row r="1224">
      <c r="B1224" s="38"/>
      <c r="C1224" s="38"/>
      <c r="D1224" s="38"/>
      <c r="E1224" s="38"/>
      <c r="L1224" s="38"/>
      <c r="Q1224" s="39"/>
    </row>
    <row r="1225">
      <c r="B1225" s="38"/>
      <c r="C1225" s="38"/>
      <c r="D1225" s="38"/>
      <c r="E1225" s="38"/>
      <c r="L1225" s="38"/>
      <c r="Q1225" s="39"/>
    </row>
    <row r="1226">
      <c r="B1226" s="38"/>
      <c r="C1226" s="38"/>
      <c r="D1226" s="38"/>
      <c r="E1226" s="38"/>
      <c r="L1226" s="38"/>
      <c r="Q1226" s="39"/>
    </row>
    <row r="1227">
      <c r="B1227" s="38"/>
      <c r="C1227" s="38"/>
      <c r="D1227" s="38"/>
      <c r="E1227" s="38"/>
      <c r="L1227" s="38"/>
      <c r="Q1227" s="39"/>
    </row>
    <row r="1228">
      <c r="B1228" s="38"/>
      <c r="C1228" s="38"/>
      <c r="D1228" s="38"/>
      <c r="E1228" s="38"/>
      <c r="L1228" s="38"/>
      <c r="Q1228" s="39"/>
    </row>
    <row r="1229">
      <c r="B1229" s="38"/>
      <c r="C1229" s="38"/>
      <c r="D1229" s="38"/>
      <c r="E1229" s="38"/>
      <c r="L1229" s="38"/>
      <c r="Q1229" s="39"/>
    </row>
    <row r="1230">
      <c r="B1230" s="38"/>
      <c r="C1230" s="38"/>
      <c r="D1230" s="38"/>
      <c r="E1230" s="38"/>
      <c r="L1230" s="38"/>
      <c r="Q1230" s="39"/>
    </row>
    <row r="1231">
      <c r="B1231" s="38"/>
      <c r="C1231" s="38"/>
      <c r="D1231" s="38"/>
      <c r="E1231" s="38"/>
      <c r="L1231" s="38"/>
      <c r="Q1231" s="39"/>
    </row>
    <row r="1232">
      <c r="B1232" s="38"/>
      <c r="C1232" s="38"/>
      <c r="D1232" s="38"/>
      <c r="E1232" s="38"/>
      <c r="L1232" s="38"/>
      <c r="Q1232" s="39"/>
    </row>
    <row r="1233">
      <c r="B1233" s="38"/>
      <c r="C1233" s="38"/>
      <c r="D1233" s="38"/>
      <c r="E1233" s="38"/>
      <c r="L1233" s="38"/>
      <c r="Q1233" s="39"/>
    </row>
    <row r="1234">
      <c r="B1234" s="38"/>
      <c r="C1234" s="38"/>
      <c r="D1234" s="38"/>
      <c r="E1234" s="38"/>
      <c r="L1234" s="38"/>
      <c r="Q1234" s="39"/>
    </row>
    <row r="1235">
      <c r="B1235" s="38"/>
      <c r="C1235" s="38"/>
      <c r="D1235" s="38"/>
      <c r="E1235" s="38"/>
      <c r="L1235" s="38"/>
      <c r="Q1235" s="39"/>
    </row>
    <row r="1236">
      <c r="B1236" s="38"/>
      <c r="C1236" s="38"/>
      <c r="D1236" s="38"/>
      <c r="E1236" s="38"/>
      <c r="L1236" s="38"/>
      <c r="Q1236" s="39"/>
    </row>
    <row r="1237">
      <c r="B1237" s="38"/>
      <c r="C1237" s="38"/>
      <c r="D1237" s="38"/>
      <c r="E1237" s="38"/>
      <c r="L1237" s="38"/>
      <c r="Q1237" s="39"/>
    </row>
    <row r="1238">
      <c r="B1238" s="38"/>
      <c r="C1238" s="38"/>
      <c r="D1238" s="38"/>
      <c r="E1238" s="38"/>
      <c r="L1238" s="38"/>
      <c r="Q1238" s="39"/>
    </row>
    <row r="1239">
      <c r="B1239" s="38"/>
      <c r="C1239" s="38"/>
      <c r="D1239" s="38"/>
      <c r="E1239" s="38"/>
      <c r="L1239" s="38"/>
      <c r="Q1239" s="39"/>
    </row>
    <row r="1240">
      <c r="B1240" s="38"/>
      <c r="C1240" s="38"/>
      <c r="D1240" s="38"/>
      <c r="E1240" s="38"/>
      <c r="L1240" s="38"/>
      <c r="Q1240" s="39"/>
    </row>
    <row r="1241">
      <c r="B1241" s="38"/>
      <c r="C1241" s="38"/>
      <c r="D1241" s="38"/>
      <c r="E1241" s="38"/>
      <c r="L1241" s="38"/>
      <c r="Q1241" s="39"/>
    </row>
    <row r="1242">
      <c r="B1242" s="38"/>
      <c r="C1242" s="38"/>
      <c r="D1242" s="38"/>
      <c r="E1242" s="38"/>
      <c r="L1242" s="38"/>
      <c r="Q1242" s="39"/>
    </row>
    <row r="1243">
      <c r="B1243" s="38"/>
      <c r="C1243" s="38"/>
      <c r="D1243" s="38"/>
      <c r="E1243" s="38"/>
      <c r="L1243" s="38"/>
      <c r="Q1243" s="39"/>
    </row>
    <row r="1244">
      <c r="B1244" s="38"/>
      <c r="C1244" s="38"/>
      <c r="D1244" s="38"/>
      <c r="E1244" s="38"/>
      <c r="L1244" s="38"/>
      <c r="Q1244" s="39"/>
    </row>
    <row r="1245">
      <c r="B1245" s="38"/>
      <c r="C1245" s="38"/>
      <c r="D1245" s="38"/>
      <c r="E1245" s="38"/>
      <c r="L1245" s="38"/>
      <c r="Q1245" s="39"/>
    </row>
    <row r="1246">
      <c r="B1246" s="38"/>
      <c r="C1246" s="38"/>
      <c r="D1246" s="38"/>
      <c r="E1246" s="38"/>
      <c r="L1246" s="38"/>
      <c r="Q1246" s="39"/>
    </row>
    <row r="1247">
      <c r="B1247" s="38"/>
      <c r="C1247" s="38"/>
      <c r="D1247" s="38"/>
      <c r="E1247" s="38"/>
      <c r="L1247" s="38"/>
      <c r="Q1247" s="39"/>
    </row>
    <row r="1248">
      <c r="B1248" s="38"/>
      <c r="C1248" s="38"/>
      <c r="D1248" s="38"/>
      <c r="E1248" s="38"/>
      <c r="L1248" s="38"/>
      <c r="Q1248" s="39"/>
    </row>
    <row r="1249">
      <c r="B1249" s="38"/>
      <c r="C1249" s="38"/>
      <c r="D1249" s="38"/>
      <c r="E1249" s="38"/>
      <c r="L1249" s="38"/>
      <c r="Q1249" s="39"/>
    </row>
    <row r="1250">
      <c r="B1250" s="38"/>
      <c r="C1250" s="38"/>
      <c r="D1250" s="38"/>
      <c r="E1250" s="38"/>
      <c r="L1250" s="38"/>
      <c r="Q1250" s="39"/>
    </row>
    <row r="1251">
      <c r="B1251" s="38"/>
      <c r="C1251" s="38"/>
      <c r="D1251" s="38"/>
      <c r="E1251" s="38"/>
      <c r="L1251" s="38"/>
      <c r="Q1251" s="39"/>
    </row>
    <row r="1252">
      <c r="B1252" s="38"/>
      <c r="C1252" s="38"/>
      <c r="D1252" s="38"/>
      <c r="E1252" s="38"/>
      <c r="L1252" s="38"/>
      <c r="Q1252" s="39"/>
    </row>
    <row r="1253">
      <c r="B1253" s="38"/>
      <c r="C1253" s="38"/>
      <c r="D1253" s="38"/>
      <c r="E1253" s="38"/>
      <c r="L1253" s="38"/>
      <c r="Q1253" s="39"/>
    </row>
    <row r="1254">
      <c r="B1254" s="38"/>
      <c r="C1254" s="38"/>
      <c r="D1254" s="38"/>
      <c r="E1254" s="38"/>
      <c r="L1254" s="38"/>
      <c r="Q1254" s="39"/>
    </row>
    <row r="1255">
      <c r="B1255" s="38"/>
      <c r="C1255" s="38"/>
      <c r="D1255" s="38"/>
      <c r="E1255" s="38"/>
      <c r="L1255" s="38"/>
      <c r="Q1255" s="39"/>
    </row>
    <row r="1256">
      <c r="B1256" s="38"/>
      <c r="C1256" s="38"/>
      <c r="D1256" s="38"/>
      <c r="E1256" s="38"/>
      <c r="L1256" s="38"/>
      <c r="Q1256" s="39"/>
    </row>
    <row r="1257">
      <c r="B1257" s="38"/>
      <c r="C1257" s="38"/>
      <c r="D1257" s="38"/>
      <c r="E1257" s="38"/>
      <c r="L1257" s="38"/>
      <c r="Q1257" s="39"/>
    </row>
    <row r="1258">
      <c r="B1258" s="38"/>
      <c r="C1258" s="38"/>
      <c r="D1258" s="38"/>
      <c r="E1258" s="38"/>
      <c r="L1258" s="38"/>
      <c r="Q1258" s="39"/>
    </row>
    <row r="1259">
      <c r="B1259" s="38"/>
      <c r="C1259" s="38"/>
      <c r="D1259" s="38"/>
      <c r="E1259" s="38"/>
      <c r="L1259" s="38"/>
      <c r="Q1259" s="39"/>
    </row>
    <row r="1260">
      <c r="B1260" s="38"/>
      <c r="C1260" s="38"/>
      <c r="D1260" s="38"/>
      <c r="E1260" s="38"/>
      <c r="L1260" s="38"/>
      <c r="Q1260" s="39"/>
    </row>
    <row r="1261">
      <c r="B1261" s="38"/>
      <c r="C1261" s="38"/>
      <c r="D1261" s="38"/>
      <c r="E1261" s="38"/>
      <c r="L1261" s="38"/>
      <c r="Q1261" s="39"/>
    </row>
    <row r="1262">
      <c r="B1262" s="38"/>
      <c r="C1262" s="38"/>
      <c r="D1262" s="38"/>
      <c r="E1262" s="38"/>
      <c r="L1262" s="38"/>
      <c r="Q1262" s="39"/>
    </row>
    <row r="1263">
      <c r="B1263" s="38"/>
      <c r="C1263" s="38"/>
      <c r="D1263" s="38"/>
      <c r="E1263" s="38"/>
      <c r="L1263" s="38"/>
      <c r="Q1263" s="39"/>
    </row>
    <row r="1264">
      <c r="B1264" s="38"/>
      <c r="C1264" s="38"/>
      <c r="D1264" s="38"/>
      <c r="E1264" s="38"/>
      <c r="L1264" s="38"/>
      <c r="Q1264" s="39"/>
    </row>
    <row r="1265">
      <c r="B1265" s="38"/>
      <c r="C1265" s="38"/>
      <c r="D1265" s="38"/>
      <c r="E1265" s="38"/>
      <c r="L1265" s="38"/>
      <c r="Q1265" s="39"/>
    </row>
    <row r="1266">
      <c r="B1266" s="38"/>
      <c r="C1266" s="38"/>
      <c r="D1266" s="38"/>
      <c r="E1266" s="38"/>
      <c r="L1266" s="38"/>
      <c r="Q1266" s="39"/>
    </row>
    <row r="1267">
      <c r="B1267" s="38"/>
      <c r="C1267" s="38"/>
      <c r="D1267" s="38"/>
      <c r="E1267" s="38"/>
      <c r="L1267" s="38"/>
      <c r="Q1267" s="39"/>
    </row>
    <row r="1268">
      <c r="B1268" s="38"/>
      <c r="C1268" s="38"/>
      <c r="D1268" s="38"/>
      <c r="E1268" s="38"/>
      <c r="L1268" s="38"/>
      <c r="Q1268" s="39"/>
    </row>
    <row r="1269">
      <c r="B1269" s="38"/>
      <c r="C1269" s="38"/>
      <c r="D1269" s="38"/>
      <c r="E1269" s="38"/>
      <c r="L1269" s="38"/>
      <c r="Q1269" s="39"/>
    </row>
    <row r="1270">
      <c r="B1270" s="38"/>
      <c r="C1270" s="38"/>
      <c r="D1270" s="38"/>
      <c r="E1270" s="38"/>
      <c r="L1270" s="38"/>
      <c r="Q1270" s="39"/>
    </row>
    <row r="1271">
      <c r="B1271" s="38"/>
      <c r="C1271" s="38"/>
      <c r="D1271" s="38"/>
      <c r="E1271" s="38"/>
      <c r="L1271" s="38"/>
      <c r="Q1271" s="39"/>
    </row>
    <row r="1272">
      <c r="B1272" s="38"/>
      <c r="C1272" s="38"/>
      <c r="D1272" s="38"/>
      <c r="E1272" s="38"/>
      <c r="L1272" s="38"/>
      <c r="Q1272" s="39"/>
    </row>
    <row r="1273">
      <c r="B1273" s="38"/>
      <c r="C1273" s="38"/>
      <c r="D1273" s="38"/>
      <c r="E1273" s="38"/>
      <c r="L1273" s="38"/>
      <c r="Q1273" s="39"/>
    </row>
    <row r="1274">
      <c r="B1274" s="38"/>
      <c r="C1274" s="38"/>
      <c r="D1274" s="38"/>
      <c r="E1274" s="38"/>
      <c r="L1274" s="38"/>
      <c r="Q1274" s="39"/>
    </row>
    <row r="1275">
      <c r="B1275" s="38"/>
      <c r="C1275" s="38"/>
      <c r="D1275" s="38"/>
      <c r="E1275" s="38"/>
      <c r="L1275" s="38"/>
      <c r="Q1275" s="39"/>
    </row>
    <row r="1276">
      <c r="B1276" s="38"/>
      <c r="C1276" s="38"/>
      <c r="D1276" s="38"/>
      <c r="E1276" s="38"/>
      <c r="L1276" s="38"/>
      <c r="Q1276" s="39"/>
    </row>
    <row r="1277">
      <c r="B1277" s="38"/>
      <c r="C1277" s="38"/>
      <c r="D1277" s="38"/>
      <c r="E1277" s="38"/>
      <c r="L1277" s="38"/>
      <c r="Q1277" s="39"/>
    </row>
    <row r="1278">
      <c r="B1278" s="38"/>
      <c r="C1278" s="38"/>
      <c r="D1278" s="38"/>
      <c r="E1278" s="38"/>
      <c r="L1278" s="38"/>
      <c r="Q1278" s="39"/>
    </row>
    <row r="1279">
      <c r="B1279" s="38"/>
      <c r="C1279" s="38"/>
      <c r="D1279" s="38"/>
      <c r="E1279" s="38"/>
      <c r="L1279" s="38"/>
      <c r="Q1279" s="39"/>
    </row>
    <row r="1280">
      <c r="B1280" s="38"/>
      <c r="C1280" s="38"/>
      <c r="D1280" s="38"/>
      <c r="E1280" s="38"/>
      <c r="L1280" s="38"/>
      <c r="Q1280" s="39"/>
    </row>
    <row r="1281">
      <c r="B1281" s="38"/>
      <c r="C1281" s="38"/>
      <c r="D1281" s="38"/>
      <c r="E1281" s="38"/>
      <c r="L1281" s="38"/>
      <c r="Q1281" s="39"/>
    </row>
    <row r="1282">
      <c r="B1282" s="38"/>
      <c r="C1282" s="38"/>
      <c r="D1282" s="38"/>
      <c r="E1282" s="38"/>
      <c r="L1282" s="38"/>
      <c r="Q1282" s="39"/>
    </row>
    <row r="1283">
      <c r="B1283" s="38"/>
      <c r="C1283" s="38"/>
      <c r="D1283" s="38"/>
      <c r="E1283" s="38"/>
      <c r="L1283" s="38"/>
      <c r="Q1283" s="39"/>
    </row>
    <row r="1284">
      <c r="B1284" s="38"/>
      <c r="C1284" s="38"/>
      <c r="D1284" s="38"/>
      <c r="E1284" s="38"/>
      <c r="L1284" s="38"/>
      <c r="Q1284" s="39"/>
    </row>
    <row r="1285">
      <c r="B1285" s="38"/>
      <c r="C1285" s="38"/>
      <c r="D1285" s="38"/>
      <c r="E1285" s="38"/>
      <c r="L1285" s="38"/>
      <c r="Q1285" s="39"/>
    </row>
    <row r="1286">
      <c r="B1286" s="38"/>
      <c r="C1286" s="38"/>
      <c r="D1286" s="38"/>
      <c r="E1286" s="38"/>
      <c r="L1286" s="38"/>
      <c r="Q1286" s="39"/>
    </row>
    <row r="1287">
      <c r="B1287" s="38"/>
      <c r="C1287" s="38"/>
      <c r="D1287" s="38"/>
      <c r="E1287" s="38"/>
      <c r="L1287" s="38"/>
      <c r="Q1287" s="39"/>
    </row>
    <row r="1288">
      <c r="B1288" s="38"/>
      <c r="C1288" s="38"/>
      <c r="D1288" s="38"/>
      <c r="E1288" s="38"/>
      <c r="L1288" s="38"/>
      <c r="Q1288" s="39"/>
    </row>
    <row r="1289">
      <c r="B1289" s="38"/>
      <c r="C1289" s="38"/>
      <c r="D1289" s="38"/>
      <c r="E1289" s="38"/>
      <c r="L1289" s="38"/>
      <c r="Q1289" s="39"/>
    </row>
    <row r="1290">
      <c r="B1290" s="38"/>
      <c r="C1290" s="38"/>
      <c r="D1290" s="38"/>
      <c r="E1290" s="38"/>
      <c r="L1290" s="38"/>
      <c r="Q1290" s="39"/>
    </row>
    <row r="1291">
      <c r="B1291" s="38"/>
      <c r="C1291" s="38"/>
      <c r="D1291" s="38"/>
      <c r="E1291" s="38"/>
      <c r="L1291" s="38"/>
      <c r="Q1291" s="39"/>
    </row>
    <row r="1292">
      <c r="B1292" s="38"/>
      <c r="C1292" s="38"/>
      <c r="D1292" s="38"/>
      <c r="E1292" s="38"/>
      <c r="L1292" s="38"/>
      <c r="Q1292" s="39"/>
    </row>
    <row r="1293">
      <c r="B1293" s="38"/>
      <c r="C1293" s="38"/>
      <c r="D1293" s="38"/>
      <c r="E1293" s="38"/>
      <c r="L1293" s="38"/>
      <c r="Q1293" s="39"/>
    </row>
    <row r="1294">
      <c r="B1294" s="38"/>
      <c r="C1294" s="38"/>
      <c r="D1294" s="38"/>
      <c r="E1294" s="38"/>
      <c r="L1294" s="38"/>
      <c r="Q1294" s="39"/>
    </row>
    <row r="1295">
      <c r="B1295" s="38"/>
      <c r="C1295" s="38"/>
      <c r="D1295" s="38"/>
      <c r="E1295" s="38"/>
      <c r="L1295" s="38"/>
      <c r="Q1295" s="39"/>
    </row>
    <row r="1296">
      <c r="B1296" s="38"/>
      <c r="C1296" s="38"/>
      <c r="D1296" s="38"/>
      <c r="E1296" s="38"/>
      <c r="L1296" s="38"/>
      <c r="Q1296" s="39"/>
    </row>
    <row r="1297">
      <c r="B1297" s="38"/>
      <c r="C1297" s="38"/>
      <c r="D1297" s="38"/>
      <c r="E1297" s="38"/>
      <c r="L1297" s="38"/>
      <c r="Q1297" s="39"/>
    </row>
    <row r="1298">
      <c r="B1298" s="38"/>
      <c r="C1298" s="38"/>
      <c r="D1298" s="38"/>
      <c r="E1298" s="38"/>
      <c r="L1298" s="38"/>
      <c r="Q1298" s="39"/>
    </row>
    <row r="1299">
      <c r="B1299" s="38"/>
      <c r="C1299" s="38"/>
      <c r="D1299" s="38"/>
      <c r="E1299" s="38"/>
      <c r="L1299" s="38"/>
      <c r="Q1299" s="39"/>
    </row>
    <row r="1300">
      <c r="B1300" s="38"/>
      <c r="C1300" s="38"/>
      <c r="D1300" s="38"/>
      <c r="E1300" s="38"/>
      <c r="L1300" s="38"/>
      <c r="Q1300" s="39"/>
    </row>
    <row r="1301">
      <c r="B1301" s="38"/>
      <c r="C1301" s="38"/>
      <c r="D1301" s="38"/>
      <c r="E1301" s="38"/>
      <c r="L1301" s="38"/>
      <c r="Q1301" s="39"/>
    </row>
    <row r="1302">
      <c r="B1302" s="38"/>
      <c r="C1302" s="38"/>
      <c r="D1302" s="38"/>
      <c r="E1302" s="38"/>
      <c r="L1302" s="38"/>
      <c r="Q1302" s="39"/>
    </row>
    <row r="1303">
      <c r="B1303" s="38"/>
      <c r="C1303" s="38"/>
      <c r="D1303" s="38"/>
      <c r="E1303" s="38"/>
      <c r="L1303" s="38"/>
      <c r="Q1303" s="39"/>
    </row>
    <row r="1304">
      <c r="B1304" s="38"/>
      <c r="C1304" s="38"/>
      <c r="D1304" s="38"/>
      <c r="E1304" s="38"/>
      <c r="L1304" s="38"/>
      <c r="Q1304" s="39"/>
    </row>
    <row r="1305">
      <c r="B1305" s="38"/>
      <c r="C1305" s="38"/>
      <c r="D1305" s="38"/>
      <c r="E1305" s="38"/>
      <c r="L1305" s="38"/>
      <c r="Q1305" s="39"/>
    </row>
    <row r="1306">
      <c r="B1306" s="38"/>
      <c r="C1306" s="38"/>
      <c r="D1306" s="38"/>
      <c r="E1306" s="38"/>
      <c r="L1306" s="38"/>
      <c r="Q1306" s="39"/>
    </row>
    <row r="1307">
      <c r="B1307" s="38"/>
      <c r="C1307" s="38"/>
      <c r="D1307" s="38"/>
      <c r="E1307" s="38"/>
      <c r="L1307" s="38"/>
      <c r="Q1307" s="39"/>
    </row>
    <row r="1308">
      <c r="B1308" s="38"/>
      <c r="C1308" s="38"/>
      <c r="D1308" s="38"/>
      <c r="E1308" s="38"/>
      <c r="L1308" s="38"/>
      <c r="Q1308" s="39"/>
    </row>
    <row r="1309">
      <c r="B1309" s="38"/>
      <c r="C1309" s="38"/>
      <c r="D1309" s="38"/>
      <c r="E1309" s="38"/>
      <c r="L1309" s="38"/>
      <c r="Q1309" s="39"/>
    </row>
    <row r="1310">
      <c r="B1310" s="38"/>
      <c r="C1310" s="38"/>
      <c r="D1310" s="38"/>
      <c r="E1310" s="38"/>
      <c r="L1310" s="38"/>
      <c r="Q1310" s="39"/>
    </row>
    <row r="1311">
      <c r="B1311" s="38"/>
      <c r="C1311" s="38"/>
      <c r="D1311" s="38"/>
      <c r="E1311" s="38"/>
      <c r="L1311" s="38"/>
      <c r="Q1311" s="39"/>
    </row>
    <row r="1312">
      <c r="B1312" s="38"/>
      <c r="C1312" s="38"/>
      <c r="D1312" s="38"/>
      <c r="E1312" s="38"/>
      <c r="L1312" s="38"/>
      <c r="Q1312" s="39"/>
    </row>
    <row r="1313">
      <c r="B1313" s="38"/>
      <c r="C1313" s="38"/>
      <c r="D1313" s="38"/>
      <c r="E1313" s="38"/>
      <c r="L1313" s="38"/>
      <c r="Q1313" s="39"/>
    </row>
    <row r="1314">
      <c r="B1314" s="38"/>
      <c r="C1314" s="38"/>
      <c r="D1314" s="38"/>
      <c r="E1314" s="38"/>
      <c r="L1314" s="38"/>
      <c r="Q1314" s="39"/>
    </row>
    <row r="1315">
      <c r="B1315" s="38"/>
      <c r="C1315" s="38"/>
      <c r="D1315" s="38"/>
      <c r="E1315" s="38"/>
      <c r="L1315" s="38"/>
      <c r="Q1315" s="39"/>
    </row>
    <row r="1316">
      <c r="B1316" s="38"/>
      <c r="C1316" s="38"/>
      <c r="D1316" s="38"/>
      <c r="E1316" s="38"/>
      <c r="L1316" s="38"/>
      <c r="Q1316" s="39"/>
    </row>
    <row r="1317">
      <c r="B1317" s="38"/>
      <c r="C1317" s="38"/>
      <c r="D1317" s="38"/>
      <c r="E1317" s="38"/>
      <c r="L1317" s="38"/>
      <c r="Q1317" s="39"/>
    </row>
    <row r="1318">
      <c r="B1318" s="38"/>
      <c r="C1318" s="38"/>
      <c r="D1318" s="38"/>
      <c r="E1318" s="38"/>
      <c r="L1318" s="38"/>
      <c r="Q1318" s="39"/>
    </row>
    <row r="1319">
      <c r="B1319" s="38"/>
      <c r="C1319" s="38"/>
      <c r="D1319" s="38"/>
      <c r="E1319" s="38"/>
      <c r="L1319" s="38"/>
      <c r="Q1319" s="39"/>
    </row>
    <row r="1320">
      <c r="B1320" s="38"/>
      <c r="C1320" s="38"/>
      <c r="D1320" s="38"/>
      <c r="E1320" s="38"/>
      <c r="L1320" s="38"/>
      <c r="Q1320" s="39"/>
    </row>
    <row r="1321">
      <c r="B1321" s="38"/>
      <c r="C1321" s="38"/>
      <c r="D1321" s="38"/>
      <c r="E1321" s="38"/>
      <c r="L1321" s="38"/>
      <c r="Q1321" s="39"/>
    </row>
    <row r="1322">
      <c r="B1322" s="38"/>
      <c r="C1322" s="38"/>
      <c r="D1322" s="38"/>
      <c r="E1322" s="38"/>
      <c r="L1322" s="38"/>
      <c r="Q1322" s="39"/>
    </row>
    <row r="1323">
      <c r="B1323" s="38"/>
      <c r="C1323" s="38"/>
      <c r="D1323" s="38"/>
      <c r="E1323" s="38"/>
      <c r="L1323" s="38"/>
      <c r="Q1323" s="39"/>
    </row>
    <row r="1324">
      <c r="B1324" s="38"/>
      <c r="C1324" s="38"/>
      <c r="D1324" s="38"/>
      <c r="E1324" s="38"/>
      <c r="L1324" s="38"/>
      <c r="Q1324" s="39"/>
    </row>
    <row r="1325">
      <c r="B1325" s="38"/>
      <c r="C1325" s="38"/>
      <c r="D1325" s="38"/>
      <c r="E1325" s="38"/>
      <c r="L1325" s="38"/>
      <c r="Q1325" s="39"/>
    </row>
    <row r="1326">
      <c r="B1326" s="38"/>
      <c r="C1326" s="38"/>
      <c r="D1326" s="38"/>
      <c r="E1326" s="38"/>
      <c r="L1326" s="38"/>
      <c r="Q1326" s="39"/>
    </row>
    <row r="1327">
      <c r="B1327" s="38"/>
      <c r="C1327" s="38"/>
      <c r="D1327" s="38"/>
      <c r="E1327" s="38"/>
      <c r="L1327" s="38"/>
      <c r="Q1327" s="39"/>
    </row>
    <row r="1328">
      <c r="B1328" s="38"/>
      <c r="C1328" s="38"/>
      <c r="D1328" s="38"/>
      <c r="E1328" s="38"/>
      <c r="L1328" s="38"/>
      <c r="Q1328" s="39"/>
    </row>
    <row r="1329">
      <c r="B1329" s="38"/>
      <c r="C1329" s="38"/>
      <c r="D1329" s="38"/>
      <c r="E1329" s="38"/>
      <c r="L1329" s="38"/>
      <c r="Q1329" s="39"/>
    </row>
    <row r="1330">
      <c r="B1330" s="38"/>
      <c r="C1330" s="38"/>
      <c r="D1330" s="38"/>
      <c r="E1330" s="38"/>
      <c r="L1330" s="38"/>
      <c r="Q1330" s="39"/>
    </row>
    <row r="1331">
      <c r="B1331" s="38"/>
      <c r="C1331" s="38"/>
      <c r="D1331" s="38"/>
      <c r="E1331" s="38"/>
      <c r="L1331" s="38"/>
      <c r="Q1331" s="39"/>
    </row>
    <row r="1332">
      <c r="B1332" s="38"/>
      <c r="C1332" s="38"/>
      <c r="D1332" s="38"/>
      <c r="E1332" s="38"/>
      <c r="L1332" s="38"/>
      <c r="Q1332" s="39"/>
    </row>
    <row r="1333">
      <c r="B1333" s="38"/>
      <c r="C1333" s="38"/>
      <c r="D1333" s="38"/>
      <c r="E1333" s="38"/>
      <c r="L1333" s="38"/>
      <c r="Q1333" s="39"/>
    </row>
    <row r="1334">
      <c r="B1334" s="38"/>
      <c r="C1334" s="38"/>
      <c r="D1334" s="38"/>
      <c r="E1334" s="38"/>
      <c r="L1334" s="38"/>
      <c r="Q1334" s="39"/>
    </row>
    <row r="1335">
      <c r="B1335" s="38"/>
      <c r="C1335" s="38"/>
      <c r="D1335" s="38"/>
      <c r="E1335" s="38"/>
      <c r="L1335" s="38"/>
      <c r="Q1335" s="39"/>
    </row>
    <row r="1336">
      <c r="B1336" s="38"/>
      <c r="C1336" s="38"/>
      <c r="D1336" s="38"/>
      <c r="E1336" s="38"/>
      <c r="L1336" s="38"/>
      <c r="Q1336" s="39"/>
    </row>
    <row r="1337">
      <c r="B1337" s="38"/>
      <c r="C1337" s="38"/>
      <c r="D1337" s="38"/>
      <c r="E1337" s="38"/>
      <c r="L1337" s="38"/>
      <c r="Q1337" s="39"/>
    </row>
    <row r="1338">
      <c r="B1338" s="38"/>
      <c r="C1338" s="38"/>
      <c r="D1338" s="38"/>
      <c r="E1338" s="38"/>
      <c r="L1338" s="38"/>
      <c r="Q1338" s="39"/>
    </row>
    <row r="1339">
      <c r="B1339" s="38"/>
      <c r="C1339" s="38"/>
      <c r="D1339" s="38"/>
      <c r="E1339" s="38"/>
      <c r="L1339" s="38"/>
      <c r="Q1339" s="39"/>
    </row>
    <row r="1340">
      <c r="B1340" s="38"/>
      <c r="C1340" s="38"/>
      <c r="D1340" s="38"/>
      <c r="E1340" s="38"/>
      <c r="L1340" s="38"/>
      <c r="Q1340" s="39"/>
    </row>
    <row r="1341">
      <c r="B1341" s="38"/>
      <c r="C1341" s="38"/>
      <c r="D1341" s="38"/>
      <c r="E1341" s="38"/>
      <c r="L1341" s="38"/>
      <c r="Q1341" s="39"/>
    </row>
    <row r="1342">
      <c r="B1342" s="38"/>
      <c r="C1342" s="38"/>
      <c r="D1342" s="38"/>
      <c r="E1342" s="38"/>
      <c r="L1342" s="38"/>
      <c r="Q1342" s="39"/>
    </row>
    <row r="1343">
      <c r="B1343" s="38"/>
      <c r="C1343" s="38"/>
      <c r="D1343" s="38"/>
      <c r="E1343" s="38"/>
      <c r="L1343" s="38"/>
      <c r="Q1343" s="39"/>
    </row>
    <row r="1344">
      <c r="B1344" s="38"/>
      <c r="C1344" s="38"/>
      <c r="D1344" s="38"/>
      <c r="E1344" s="38"/>
      <c r="L1344" s="38"/>
      <c r="Q1344" s="39"/>
    </row>
    <row r="1345">
      <c r="B1345" s="38"/>
      <c r="C1345" s="38"/>
      <c r="D1345" s="38"/>
      <c r="E1345" s="38"/>
      <c r="L1345" s="38"/>
      <c r="Q1345" s="39"/>
    </row>
    <row r="1346">
      <c r="B1346" s="38"/>
      <c r="C1346" s="38"/>
      <c r="D1346" s="38"/>
      <c r="E1346" s="38"/>
      <c r="L1346" s="38"/>
      <c r="Q1346" s="39"/>
    </row>
    <row r="1347">
      <c r="B1347" s="38"/>
      <c r="C1347" s="38"/>
      <c r="D1347" s="38"/>
      <c r="E1347" s="38"/>
      <c r="L1347" s="38"/>
      <c r="Q1347" s="39"/>
    </row>
    <row r="1348">
      <c r="B1348" s="38"/>
      <c r="C1348" s="38"/>
      <c r="D1348" s="38"/>
      <c r="E1348" s="38"/>
      <c r="L1348" s="38"/>
      <c r="Q1348" s="39"/>
    </row>
    <row r="1349">
      <c r="B1349" s="38"/>
      <c r="C1349" s="38"/>
      <c r="D1349" s="38"/>
      <c r="E1349" s="38"/>
      <c r="L1349" s="38"/>
      <c r="Q1349" s="39"/>
    </row>
    <row r="1350">
      <c r="B1350" s="38"/>
      <c r="C1350" s="38"/>
      <c r="D1350" s="38"/>
      <c r="E1350" s="38"/>
      <c r="L1350" s="38"/>
      <c r="Q1350" s="39"/>
    </row>
    <row r="1351">
      <c r="B1351" s="38"/>
      <c r="C1351" s="38"/>
      <c r="D1351" s="38"/>
      <c r="E1351" s="38"/>
      <c r="L1351" s="38"/>
      <c r="Q1351" s="39"/>
    </row>
    <row r="1352">
      <c r="B1352" s="38"/>
      <c r="C1352" s="38"/>
      <c r="D1352" s="38"/>
      <c r="E1352" s="38"/>
      <c r="L1352" s="38"/>
      <c r="Q1352" s="39"/>
    </row>
    <row r="1353">
      <c r="B1353" s="38"/>
      <c r="C1353" s="38"/>
      <c r="D1353" s="38"/>
      <c r="E1353" s="38"/>
      <c r="L1353" s="38"/>
      <c r="Q1353" s="39"/>
    </row>
    <row r="1354">
      <c r="B1354" s="38"/>
      <c r="C1354" s="38"/>
      <c r="D1354" s="38"/>
      <c r="E1354" s="38"/>
      <c r="L1354" s="38"/>
      <c r="Q1354" s="39"/>
    </row>
    <row r="1355">
      <c r="B1355" s="38"/>
      <c r="C1355" s="38"/>
      <c r="D1355" s="38"/>
      <c r="E1355" s="38"/>
      <c r="L1355" s="38"/>
      <c r="Q1355" s="39"/>
    </row>
    <row r="1356">
      <c r="B1356" s="38"/>
      <c r="C1356" s="38"/>
      <c r="D1356" s="38"/>
      <c r="E1356" s="38"/>
      <c r="L1356" s="38"/>
      <c r="Q1356" s="39"/>
    </row>
    <row r="1357">
      <c r="B1357" s="38"/>
      <c r="C1357" s="38"/>
      <c r="D1357" s="38"/>
      <c r="E1357" s="38"/>
      <c r="L1357" s="38"/>
      <c r="Q1357" s="39"/>
    </row>
    <row r="1358">
      <c r="B1358" s="38"/>
      <c r="C1358" s="38"/>
      <c r="D1358" s="38"/>
      <c r="E1358" s="38"/>
      <c r="L1358" s="38"/>
      <c r="Q1358" s="39"/>
    </row>
    <row r="1359">
      <c r="B1359" s="38"/>
      <c r="C1359" s="38"/>
      <c r="D1359" s="38"/>
      <c r="E1359" s="38"/>
      <c r="L1359" s="38"/>
      <c r="Q1359" s="39"/>
    </row>
    <row r="1360">
      <c r="B1360" s="38"/>
      <c r="C1360" s="38"/>
      <c r="D1360" s="38"/>
      <c r="E1360" s="38"/>
      <c r="L1360" s="38"/>
      <c r="Q1360" s="39"/>
    </row>
    <row r="1361">
      <c r="B1361" s="38"/>
      <c r="C1361" s="38"/>
      <c r="D1361" s="38"/>
      <c r="E1361" s="38"/>
      <c r="L1361" s="38"/>
      <c r="Q1361" s="39"/>
    </row>
    <row r="1362">
      <c r="B1362" s="38"/>
      <c r="C1362" s="38"/>
      <c r="D1362" s="38"/>
      <c r="E1362" s="38"/>
      <c r="L1362" s="38"/>
      <c r="Q1362" s="39"/>
    </row>
    <row r="1363">
      <c r="B1363" s="38"/>
      <c r="C1363" s="38"/>
      <c r="D1363" s="38"/>
      <c r="E1363" s="38"/>
      <c r="L1363" s="38"/>
      <c r="Q1363" s="39"/>
    </row>
    <row r="1364">
      <c r="B1364" s="38"/>
      <c r="C1364" s="38"/>
      <c r="D1364" s="38"/>
      <c r="E1364" s="38"/>
      <c r="L1364" s="38"/>
      <c r="Q1364" s="39"/>
    </row>
    <row r="1365">
      <c r="B1365" s="38"/>
      <c r="C1365" s="38"/>
      <c r="D1365" s="38"/>
      <c r="E1365" s="38"/>
      <c r="L1365" s="38"/>
      <c r="Q1365" s="39"/>
    </row>
    <row r="1366">
      <c r="B1366" s="38"/>
      <c r="C1366" s="38"/>
      <c r="D1366" s="38"/>
      <c r="E1366" s="38"/>
      <c r="L1366" s="38"/>
      <c r="Q1366" s="39"/>
    </row>
    <row r="1367">
      <c r="B1367" s="38"/>
      <c r="C1367" s="38"/>
      <c r="D1367" s="38"/>
      <c r="E1367" s="38"/>
      <c r="L1367" s="38"/>
      <c r="Q1367" s="39"/>
    </row>
    <row r="1368">
      <c r="B1368" s="38"/>
      <c r="C1368" s="38"/>
      <c r="D1368" s="38"/>
      <c r="E1368" s="38"/>
      <c r="L1368" s="38"/>
      <c r="Q1368" s="39"/>
    </row>
    <row r="1369">
      <c r="B1369" s="38"/>
      <c r="C1369" s="38"/>
      <c r="D1369" s="38"/>
      <c r="E1369" s="38"/>
      <c r="L1369" s="38"/>
      <c r="Q1369" s="39"/>
    </row>
    <row r="1370">
      <c r="B1370" s="38"/>
      <c r="C1370" s="38"/>
      <c r="D1370" s="38"/>
      <c r="E1370" s="38"/>
      <c r="L1370" s="38"/>
      <c r="Q1370" s="39"/>
    </row>
    <row r="1371">
      <c r="B1371" s="38"/>
      <c r="C1371" s="38"/>
      <c r="D1371" s="38"/>
      <c r="E1371" s="38"/>
      <c r="L1371" s="38"/>
      <c r="Q1371" s="39"/>
    </row>
    <row r="1372">
      <c r="B1372" s="38"/>
      <c r="C1372" s="38"/>
      <c r="D1372" s="38"/>
      <c r="E1372" s="38"/>
      <c r="L1372" s="38"/>
      <c r="Q1372" s="39"/>
    </row>
    <row r="1373">
      <c r="B1373" s="38"/>
      <c r="C1373" s="38"/>
      <c r="D1373" s="38"/>
      <c r="E1373" s="38"/>
      <c r="L1373" s="38"/>
      <c r="Q1373" s="39"/>
    </row>
    <row r="1374">
      <c r="B1374" s="38"/>
      <c r="C1374" s="38"/>
      <c r="D1374" s="38"/>
      <c r="E1374" s="38"/>
      <c r="L1374" s="38"/>
      <c r="Q1374" s="39"/>
    </row>
    <row r="1375">
      <c r="B1375" s="38"/>
      <c r="C1375" s="38"/>
      <c r="D1375" s="38"/>
      <c r="E1375" s="38"/>
      <c r="L1375" s="38"/>
      <c r="Q1375" s="39"/>
    </row>
    <row r="1376">
      <c r="B1376" s="38"/>
      <c r="C1376" s="38"/>
      <c r="D1376" s="38"/>
      <c r="E1376" s="38"/>
      <c r="L1376" s="38"/>
      <c r="Q1376" s="39"/>
    </row>
    <row r="1377">
      <c r="B1377" s="38"/>
      <c r="C1377" s="38"/>
      <c r="D1377" s="38"/>
      <c r="E1377" s="38"/>
      <c r="L1377" s="38"/>
      <c r="Q1377" s="39"/>
    </row>
    <row r="1378">
      <c r="B1378" s="38"/>
      <c r="C1378" s="38"/>
      <c r="D1378" s="38"/>
      <c r="E1378" s="38"/>
      <c r="L1378" s="38"/>
      <c r="Q1378" s="39"/>
    </row>
    <row r="1379">
      <c r="B1379" s="38"/>
      <c r="C1379" s="38"/>
      <c r="D1379" s="38"/>
      <c r="E1379" s="38"/>
      <c r="L1379" s="38"/>
      <c r="Q1379" s="39"/>
    </row>
    <row r="1380">
      <c r="B1380" s="38"/>
      <c r="C1380" s="38"/>
      <c r="D1380" s="38"/>
      <c r="E1380" s="38"/>
      <c r="L1380" s="38"/>
      <c r="Q1380" s="39"/>
    </row>
    <row r="1381">
      <c r="B1381" s="38"/>
      <c r="C1381" s="38"/>
      <c r="D1381" s="38"/>
      <c r="E1381" s="38"/>
      <c r="L1381" s="38"/>
      <c r="Q1381" s="39"/>
    </row>
    <row r="1382">
      <c r="B1382" s="38"/>
      <c r="C1382" s="38"/>
      <c r="D1382" s="38"/>
      <c r="E1382" s="38"/>
      <c r="L1382" s="38"/>
      <c r="Q1382" s="39"/>
    </row>
    <row r="1383">
      <c r="B1383" s="38"/>
      <c r="C1383" s="38"/>
      <c r="D1383" s="38"/>
      <c r="E1383" s="38"/>
      <c r="L1383" s="38"/>
      <c r="Q1383" s="39"/>
    </row>
    <row r="1384">
      <c r="B1384" s="38"/>
      <c r="C1384" s="38"/>
      <c r="D1384" s="38"/>
      <c r="E1384" s="38"/>
      <c r="L1384" s="38"/>
      <c r="Q1384" s="39"/>
    </row>
    <row r="1385">
      <c r="B1385" s="38"/>
      <c r="C1385" s="38"/>
      <c r="D1385" s="38"/>
      <c r="E1385" s="38"/>
      <c r="L1385" s="38"/>
      <c r="Q1385" s="39"/>
    </row>
    <row r="1386">
      <c r="B1386" s="38"/>
      <c r="C1386" s="38"/>
      <c r="D1386" s="38"/>
      <c r="E1386" s="38"/>
      <c r="L1386" s="38"/>
      <c r="Q1386" s="39"/>
    </row>
    <row r="1387">
      <c r="B1387" s="38"/>
      <c r="C1387" s="38"/>
      <c r="D1387" s="38"/>
      <c r="E1387" s="38"/>
      <c r="L1387" s="38"/>
      <c r="Q1387" s="39"/>
    </row>
    <row r="1388">
      <c r="B1388" s="38"/>
      <c r="C1388" s="38"/>
      <c r="D1388" s="38"/>
      <c r="E1388" s="38"/>
      <c r="L1388" s="38"/>
      <c r="Q1388" s="39"/>
    </row>
    <row r="1389">
      <c r="B1389" s="38"/>
      <c r="C1389" s="38"/>
      <c r="D1389" s="38"/>
      <c r="E1389" s="38"/>
      <c r="L1389" s="38"/>
      <c r="Q1389" s="39"/>
    </row>
    <row r="1390">
      <c r="B1390" s="38"/>
      <c r="C1390" s="38"/>
      <c r="D1390" s="38"/>
      <c r="E1390" s="38"/>
      <c r="L1390" s="38"/>
      <c r="Q1390" s="39"/>
    </row>
    <row r="1391">
      <c r="B1391" s="38"/>
      <c r="C1391" s="38"/>
      <c r="D1391" s="38"/>
      <c r="E1391" s="38"/>
      <c r="L1391" s="38"/>
      <c r="Q1391" s="39"/>
    </row>
    <row r="1392">
      <c r="B1392" s="38"/>
      <c r="C1392" s="38"/>
      <c r="D1392" s="38"/>
      <c r="E1392" s="38"/>
      <c r="L1392" s="38"/>
      <c r="Q1392" s="39"/>
    </row>
    <row r="1393">
      <c r="B1393" s="38"/>
      <c r="C1393" s="38"/>
      <c r="D1393" s="38"/>
      <c r="E1393" s="38"/>
      <c r="L1393" s="38"/>
      <c r="Q1393" s="39"/>
    </row>
    <row r="1394">
      <c r="B1394" s="38"/>
      <c r="C1394" s="38"/>
      <c r="D1394" s="38"/>
      <c r="E1394" s="38"/>
      <c r="L1394" s="38"/>
      <c r="Q1394" s="39"/>
    </row>
    <row r="1395">
      <c r="B1395" s="38"/>
      <c r="C1395" s="38"/>
      <c r="D1395" s="38"/>
      <c r="E1395" s="38"/>
      <c r="L1395" s="38"/>
      <c r="Q1395" s="39"/>
    </row>
    <row r="1396">
      <c r="B1396" s="38"/>
      <c r="C1396" s="38"/>
      <c r="D1396" s="38"/>
      <c r="E1396" s="38"/>
      <c r="L1396" s="38"/>
      <c r="Q1396" s="39"/>
    </row>
    <row r="1397">
      <c r="B1397" s="38"/>
      <c r="C1397" s="38"/>
      <c r="D1397" s="38"/>
      <c r="E1397" s="38"/>
      <c r="L1397" s="38"/>
      <c r="Q1397" s="39"/>
    </row>
    <row r="1398">
      <c r="B1398" s="38"/>
      <c r="C1398" s="38"/>
      <c r="D1398" s="38"/>
      <c r="E1398" s="38"/>
      <c r="L1398" s="38"/>
      <c r="Q1398" s="39"/>
    </row>
    <row r="1399">
      <c r="B1399" s="38"/>
      <c r="C1399" s="38"/>
      <c r="D1399" s="38"/>
      <c r="E1399" s="38"/>
      <c r="L1399" s="38"/>
      <c r="Q1399" s="39"/>
    </row>
    <row r="1400">
      <c r="B1400" s="38"/>
      <c r="C1400" s="38"/>
      <c r="D1400" s="38"/>
      <c r="E1400" s="38"/>
      <c r="L1400" s="38"/>
      <c r="Q1400" s="39"/>
    </row>
    <row r="1401">
      <c r="B1401" s="38"/>
      <c r="C1401" s="38"/>
      <c r="D1401" s="38"/>
      <c r="E1401" s="38"/>
      <c r="L1401" s="38"/>
      <c r="Q1401" s="39"/>
    </row>
    <row r="1402">
      <c r="B1402" s="38"/>
      <c r="C1402" s="38"/>
      <c r="D1402" s="38"/>
      <c r="E1402" s="38"/>
      <c r="L1402" s="38"/>
      <c r="Q1402" s="39"/>
    </row>
    <row r="1403">
      <c r="B1403" s="38"/>
      <c r="C1403" s="38"/>
      <c r="D1403" s="38"/>
      <c r="E1403" s="38"/>
      <c r="L1403" s="38"/>
      <c r="Q1403" s="39"/>
    </row>
    <row r="1404">
      <c r="B1404" s="38"/>
      <c r="C1404" s="38"/>
      <c r="D1404" s="38"/>
      <c r="E1404" s="38"/>
      <c r="L1404" s="38"/>
      <c r="Q1404" s="39"/>
    </row>
    <row r="1405">
      <c r="B1405" s="38"/>
      <c r="C1405" s="38"/>
      <c r="D1405" s="38"/>
      <c r="E1405" s="38"/>
      <c r="L1405" s="38"/>
      <c r="Q1405" s="39"/>
    </row>
    <row r="1406">
      <c r="B1406" s="38"/>
      <c r="C1406" s="38"/>
      <c r="D1406" s="38"/>
      <c r="E1406" s="38"/>
      <c r="L1406" s="38"/>
      <c r="Q1406" s="39"/>
    </row>
    <row r="1407">
      <c r="B1407" s="38"/>
      <c r="C1407" s="38"/>
      <c r="D1407" s="38"/>
      <c r="E1407" s="38"/>
      <c r="L1407" s="38"/>
      <c r="Q1407" s="39"/>
    </row>
    <row r="1408">
      <c r="B1408" s="38"/>
      <c r="C1408" s="38"/>
      <c r="D1408" s="38"/>
      <c r="E1408" s="38"/>
      <c r="L1408" s="38"/>
      <c r="Q1408" s="39"/>
    </row>
    <row r="1409">
      <c r="B1409" s="38"/>
      <c r="C1409" s="38"/>
      <c r="D1409" s="38"/>
      <c r="E1409" s="38"/>
      <c r="L1409" s="38"/>
      <c r="Q1409" s="39"/>
    </row>
    <row r="1410">
      <c r="B1410" s="38"/>
      <c r="C1410" s="38"/>
      <c r="D1410" s="38"/>
      <c r="E1410" s="38"/>
      <c r="L1410" s="38"/>
      <c r="Q1410" s="39"/>
    </row>
    <row r="1411">
      <c r="B1411" s="38"/>
      <c r="C1411" s="38"/>
      <c r="D1411" s="38"/>
      <c r="E1411" s="38"/>
      <c r="L1411" s="38"/>
      <c r="Q1411" s="39"/>
    </row>
    <row r="1412">
      <c r="B1412" s="38"/>
      <c r="C1412" s="38"/>
      <c r="D1412" s="38"/>
      <c r="E1412" s="38"/>
      <c r="L1412" s="38"/>
      <c r="Q1412" s="39"/>
    </row>
    <row r="1413">
      <c r="B1413" s="38"/>
      <c r="C1413" s="38"/>
      <c r="D1413" s="38"/>
      <c r="E1413" s="38"/>
      <c r="L1413" s="38"/>
      <c r="Q1413" s="39"/>
    </row>
    <row r="1414">
      <c r="B1414" s="38"/>
      <c r="C1414" s="38"/>
      <c r="D1414" s="38"/>
      <c r="E1414" s="38"/>
      <c r="L1414" s="38"/>
      <c r="Q1414" s="39"/>
    </row>
    <row r="1415">
      <c r="B1415" s="38"/>
      <c r="C1415" s="38"/>
      <c r="D1415" s="38"/>
      <c r="E1415" s="38"/>
      <c r="L1415" s="38"/>
      <c r="Q1415" s="39"/>
    </row>
    <row r="1416">
      <c r="B1416" s="38"/>
      <c r="C1416" s="38"/>
      <c r="D1416" s="38"/>
      <c r="E1416" s="38"/>
      <c r="L1416" s="38"/>
      <c r="Q1416" s="39"/>
    </row>
    <row r="1417">
      <c r="B1417" s="38"/>
      <c r="C1417" s="38"/>
      <c r="D1417" s="38"/>
      <c r="E1417" s="38"/>
      <c r="L1417" s="38"/>
      <c r="Q1417" s="39"/>
    </row>
    <row r="1418">
      <c r="B1418" s="38"/>
      <c r="C1418" s="38"/>
      <c r="D1418" s="38"/>
      <c r="E1418" s="38"/>
      <c r="L1418" s="38"/>
      <c r="Q1418" s="39"/>
    </row>
    <row r="1419">
      <c r="B1419" s="38"/>
      <c r="C1419" s="38"/>
      <c r="D1419" s="38"/>
      <c r="E1419" s="38"/>
      <c r="L1419" s="38"/>
      <c r="Q1419" s="39"/>
    </row>
    <row r="1420">
      <c r="B1420" s="38"/>
      <c r="C1420" s="38"/>
      <c r="D1420" s="38"/>
      <c r="E1420" s="38"/>
      <c r="L1420" s="38"/>
      <c r="Q1420" s="39"/>
    </row>
    <row r="1421">
      <c r="B1421" s="38"/>
      <c r="C1421" s="38"/>
      <c r="D1421" s="38"/>
      <c r="E1421" s="38"/>
      <c r="L1421" s="38"/>
      <c r="Q1421" s="39"/>
    </row>
    <row r="1422">
      <c r="B1422" s="38"/>
      <c r="C1422" s="38"/>
      <c r="D1422" s="38"/>
      <c r="E1422" s="38"/>
      <c r="L1422" s="38"/>
      <c r="Q1422" s="39"/>
    </row>
    <row r="1423">
      <c r="B1423" s="38"/>
      <c r="C1423" s="38"/>
      <c r="D1423" s="38"/>
      <c r="E1423" s="38"/>
      <c r="L1423" s="38"/>
      <c r="Q1423" s="39"/>
    </row>
    <row r="1424">
      <c r="B1424" s="38"/>
      <c r="C1424" s="38"/>
      <c r="D1424" s="38"/>
      <c r="E1424" s="38"/>
      <c r="L1424" s="38"/>
      <c r="Q1424" s="39"/>
    </row>
    <row r="1425">
      <c r="B1425" s="38"/>
      <c r="C1425" s="38"/>
      <c r="D1425" s="38"/>
      <c r="E1425" s="38"/>
      <c r="L1425" s="38"/>
      <c r="Q1425" s="39"/>
    </row>
    <row r="1426">
      <c r="B1426" s="38"/>
      <c r="C1426" s="38"/>
      <c r="D1426" s="38"/>
      <c r="E1426" s="38"/>
      <c r="L1426" s="38"/>
      <c r="Q1426" s="39"/>
    </row>
    <row r="1427">
      <c r="B1427" s="38"/>
      <c r="C1427" s="38"/>
      <c r="D1427" s="38"/>
      <c r="E1427" s="38"/>
      <c r="L1427" s="38"/>
      <c r="Q1427" s="39"/>
    </row>
    <row r="1428">
      <c r="B1428" s="38"/>
      <c r="C1428" s="38"/>
      <c r="D1428" s="38"/>
      <c r="E1428" s="38"/>
      <c r="L1428" s="38"/>
      <c r="Q1428" s="39"/>
    </row>
    <row r="1429">
      <c r="B1429" s="38"/>
      <c r="C1429" s="38"/>
      <c r="D1429" s="38"/>
      <c r="E1429" s="38"/>
      <c r="L1429" s="38"/>
      <c r="Q1429" s="39"/>
    </row>
    <row r="1430">
      <c r="B1430" s="38"/>
      <c r="C1430" s="38"/>
      <c r="D1430" s="38"/>
      <c r="E1430" s="38"/>
      <c r="L1430" s="38"/>
      <c r="Q1430" s="39"/>
    </row>
    <row r="1431">
      <c r="B1431" s="38"/>
      <c r="C1431" s="38"/>
      <c r="D1431" s="38"/>
      <c r="E1431" s="38"/>
      <c r="L1431" s="38"/>
      <c r="Q1431" s="39"/>
    </row>
    <row r="1432">
      <c r="B1432" s="38"/>
      <c r="C1432" s="38"/>
      <c r="D1432" s="38"/>
      <c r="E1432" s="38"/>
      <c r="L1432" s="38"/>
      <c r="Q1432" s="39"/>
    </row>
    <row r="1433">
      <c r="B1433" s="38"/>
      <c r="C1433" s="38"/>
      <c r="D1433" s="38"/>
      <c r="E1433" s="38"/>
      <c r="L1433" s="38"/>
      <c r="Q1433" s="39"/>
    </row>
    <row r="1434">
      <c r="B1434" s="38"/>
      <c r="C1434" s="38"/>
      <c r="D1434" s="38"/>
      <c r="E1434" s="38"/>
      <c r="L1434" s="38"/>
      <c r="Q1434" s="39"/>
    </row>
    <row r="1435">
      <c r="B1435" s="38"/>
      <c r="C1435" s="38"/>
      <c r="D1435" s="38"/>
      <c r="E1435" s="38"/>
      <c r="L1435" s="38"/>
      <c r="Q1435" s="39"/>
    </row>
    <row r="1436">
      <c r="B1436" s="38"/>
      <c r="C1436" s="38"/>
      <c r="D1436" s="38"/>
      <c r="E1436" s="38"/>
      <c r="L1436" s="38"/>
      <c r="Q1436" s="39"/>
    </row>
    <row r="1437">
      <c r="B1437" s="38"/>
      <c r="C1437" s="38"/>
      <c r="D1437" s="38"/>
      <c r="E1437" s="38"/>
      <c r="L1437" s="38"/>
      <c r="Q1437" s="39"/>
    </row>
    <row r="1438">
      <c r="B1438" s="38"/>
      <c r="C1438" s="38"/>
      <c r="D1438" s="38"/>
      <c r="E1438" s="38"/>
      <c r="L1438" s="38"/>
      <c r="Q1438" s="39"/>
    </row>
    <row r="1439">
      <c r="B1439" s="38"/>
      <c r="C1439" s="38"/>
      <c r="D1439" s="38"/>
      <c r="E1439" s="38"/>
      <c r="L1439" s="38"/>
      <c r="Q1439" s="39"/>
    </row>
    <row r="1440">
      <c r="B1440" s="38"/>
      <c r="C1440" s="38"/>
      <c r="D1440" s="38"/>
      <c r="E1440" s="38"/>
      <c r="L1440" s="38"/>
      <c r="Q1440" s="39"/>
    </row>
    <row r="1441">
      <c r="B1441" s="38"/>
      <c r="C1441" s="38"/>
      <c r="D1441" s="38"/>
      <c r="E1441" s="38"/>
      <c r="L1441" s="38"/>
      <c r="Q1441" s="39"/>
    </row>
    <row r="1442">
      <c r="B1442" s="38"/>
      <c r="C1442" s="38"/>
      <c r="D1442" s="38"/>
      <c r="E1442" s="38"/>
      <c r="L1442" s="38"/>
      <c r="Q1442" s="39"/>
    </row>
    <row r="1443">
      <c r="B1443" s="38"/>
      <c r="C1443" s="38"/>
      <c r="D1443" s="38"/>
      <c r="E1443" s="38"/>
      <c r="L1443" s="38"/>
      <c r="Q1443" s="39"/>
    </row>
    <row r="1444">
      <c r="B1444" s="38"/>
      <c r="C1444" s="38"/>
      <c r="D1444" s="38"/>
      <c r="E1444" s="38"/>
      <c r="L1444" s="38"/>
      <c r="Q1444" s="39"/>
    </row>
    <row r="1445">
      <c r="B1445" s="38"/>
      <c r="C1445" s="38"/>
      <c r="D1445" s="38"/>
      <c r="E1445" s="38"/>
      <c r="L1445" s="38"/>
      <c r="Q1445" s="39"/>
    </row>
    <row r="1446">
      <c r="B1446" s="38"/>
      <c r="C1446" s="38"/>
      <c r="D1446" s="38"/>
      <c r="E1446" s="38"/>
      <c r="L1446" s="38"/>
      <c r="Q1446" s="39"/>
    </row>
    <row r="1447">
      <c r="B1447" s="38"/>
      <c r="C1447" s="38"/>
      <c r="D1447" s="38"/>
      <c r="E1447" s="38"/>
      <c r="L1447" s="38"/>
      <c r="Q1447" s="39"/>
    </row>
  </sheetData>
  <autoFilter ref="$A$1:$Q$891"/>
  <mergeCells count="6">
    <mergeCell ref="O842:P842"/>
    <mergeCell ref="O844:P844"/>
    <mergeCell ref="O846:P846"/>
    <mergeCell ref="O848:P848"/>
    <mergeCell ref="O850:P850"/>
    <mergeCell ref="O852:P852"/>
  </mergeCells>
  <drawing r:id="rId1"/>
</worksheet>
</file>